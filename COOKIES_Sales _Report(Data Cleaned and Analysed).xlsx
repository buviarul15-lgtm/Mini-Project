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uvia\Downloads\"/>
    </mc:Choice>
  </mc:AlternateContent>
  <xr:revisionPtr revIDLastSave="0" documentId="8_{A0D40934-889E-4CAF-9699-B1CCD3246DD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 Report" sheetId="3" r:id="rId1"/>
    <sheet name="Product" sheetId="2" r:id="rId2"/>
    <sheet name="Analysis" sheetId="5" r:id="rId3"/>
    <sheet name="Sales  copy" sheetId="1" r:id="rId4"/>
  </sheets>
  <definedNames>
    <definedName name="_xlcn.WorksheetConnection_COOKIES_Sales_Report.xlsxTable2_11" hidden="1">Table2_1[]</definedName>
    <definedName name="Biscuit_Brand">Product!$D$8:$D$17</definedName>
    <definedName name="Butter_Crunch">Product!$D$9:$D$17</definedName>
    <definedName name="Cost">Product!$E$8:$E$17</definedName>
    <definedName name="ExternalData_1" localSheetId="0" hidden="1">'Sales Report'!$A$1:$J$1000</definedName>
    <definedName name="Pro01_">Product!$D$9:$F$17</definedName>
    <definedName name="Pro02_">Product!$D$9:$F$9</definedName>
    <definedName name="Pro03_">Product!$D$10:$F$10</definedName>
    <definedName name="Pro04_">Product!$D$11:$F$11</definedName>
    <definedName name="Pro05_">Product!$D$12:$F$12</definedName>
    <definedName name="Pro06_">Product!$D$13:$F$13</definedName>
    <definedName name="Pro07_">Product!$D$14:$F$14</definedName>
    <definedName name="Pro08_">Product!$D$15:$F$15</definedName>
    <definedName name="Pro09_">Product!$D$16:$F$16</definedName>
    <definedName name="Pro10_">Product!$D$17:$F$17</definedName>
    <definedName name="Product_Code">Product!$C$8:$C$17</definedName>
    <definedName name="Unit_Price">Product!$F$8:$F$17</definedName>
  </definedNames>
  <calcPr calcId="191029"/>
  <pivotCaches>
    <pivotCache cacheId="0" r:id="rId5"/>
    <pivotCache cacheId="1" r:id="rId6"/>
  </pivotCaches>
  <fileRecoveryPr repairLoad="1"/>
  <extLst>
    <ext xmlns:x15="http://schemas.microsoft.com/office/spreadsheetml/2010/11/main" uri="{FCE2AD5D-F65C-4FA6-A056-5C36A1767C68}">
      <x15:dataModel>
        <x15:modelTables>
          <x15:modelTable id="Table2_1" name="Table2_1" connection="WorksheetConnection_COOKIES_Sales _Report.xlsx!Table2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3" l="1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Q111" i="3"/>
  <c r="Q125" i="3"/>
  <c r="Q267" i="3"/>
  <c r="Q327" i="3"/>
  <c r="Q363" i="3"/>
  <c r="Q365" i="3"/>
  <c r="Q507" i="3"/>
  <c r="Q555" i="3"/>
  <c r="Q639" i="3"/>
  <c r="Q675" i="3"/>
  <c r="Q783" i="3"/>
  <c r="Q819" i="3"/>
  <c r="Q112" i="3"/>
  <c r="Q196" i="3"/>
  <c r="Q208" i="3"/>
  <c r="Q300" i="3"/>
  <c r="Q456" i="3"/>
  <c r="Q640" i="3"/>
  <c r="Q820" i="3"/>
  <c r="Q832" i="3"/>
  <c r="P75" i="3"/>
  <c r="Q75" i="3" s="1"/>
  <c r="P444" i="3"/>
  <c r="P445" i="3"/>
  <c r="P855" i="3"/>
  <c r="Q855" i="3" s="1"/>
  <c r="P939" i="3"/>
  <c r="Q939" i="3" s="1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M2" i="3"/>
  <c r="P2" i="3" s="1"/>
  <c r="Q2" i="3" s="1"/>
  <c r="M3" i="3"/>
  <c r="P3" i="3" s="1"/>
  <c r="Q3" i="3" s="1"/>
  <c r="M4" i="3"/>
  <c r="P4" i="3" s="1"/>
  <c r="M5" i="3"/>
  <c r="P5" i="3" s="1"/>
  <c r="Q5" i="3" s="1"/>
  <c r="M6" i="3"/>
  <c r="P6" i="3" s="1"/>
  <c r="M7" i="3"/>
  <c r="P7" i="3" s="1"/>
  <c r="M8" i="3"/>
  <c r="P8" i="3" s="1"/>
  <c r="Q8" i="3" s="1"/>
  <c r="M9" i="3"/>
  <c r="P9" i="3" s="1"/>
  <c r="Q9" i="3" s="1"/>
  <c r="M10" i="3"/>
  <c r="P10" i="3" s="1"/>
  <c r="Q10" i="3" s="1"/>
  <c r="M11" i="3"/>
  <c r="P11" i="3" s="1"/>
  <c r="Q11" i="3" s="1"/>
  <c r="M12" i="3"/>
  <c r="P12" i="3" s="1"/>
  <c r="Q12" i="3" s="1"/>
  <c r="M13" i="3"/>
  <c r="P13" i="3" s="1"/>
  <c r="Q13" i="3" s="1"/>
  <c r="M14" i="3"/>
  <c r="P14" i="3" s="1"/>
  <c r="Q14" i="3" s="1"/>
  <c r="M15" i="3"/>
  <c r="P15" i="3" s="1"/>
  <c r="Q15" i="3" s="1"/>
  <c r="M16" i="3"/>
  <c r="P16" i="3" s="1"/>
  <c r="M17" i="3"/>
  <c r="P17" i="3" s="1"/>
  <c r="Q17" i="3" s="1"/>
  <c r="M18" i="3"/>
  <c r="P18" i="3" s="1"/>
  <c r="M19" i="3"/>
  <c r="P19" i="3" s="1"/>
  <c r="M20" i="3"/>
  <c r="P20" i="3" s="1"/>
  <c r="Q20" i="3" s="1"/>
  <c r="M21" i="3"/>
  <c r="P21" i="3" s="1"/>
  <c r="Q21" i="3" s="1"/>
  <c r="M22" i="3"/>
  <c r="P22" i="3" s="1"/>
  <c r="Q22" i="3" s="1"/>
  <c r="M23" i="3"/>
  <c r="P23" i="3" s="1"/>
  <c r="M24" i="3"/>
  <c r="P24" i="3" s="1"/>
  <c r="Q24" i="3" s="1"/>
  <c r="M25" i="3"/>
  <c r="P25" i="3" s="1"/>
  <c r="Q25" i="3" s="1"/>
  <c r="M26" i="3"/>
  <c r="P26" i="3" s="1"/>
  <c r="Q26" i="3" s="1"/>
  <c r="M27" i="3"/>
  <c r="P27" i="3" s="1"/>
  <c r="Q27" i="3" s="1"/>
  <c r="M28" i="3"/>
  <c r="P28" i="3" s="1"/>
  <c r="M29" i="3"/>
  <c r="P29" i="3" s="1"/>
  <c r="Q29" i="3" s="1"/>
  <c r="M30" i="3"/>
  <c r="P30" i="3" s="1"/>
  <c r="M31" i="3"/>
  <c r="P31" i="3" s="1"/>
  <c r="M32" i="3"/>
  <c r="P32" i="3" s="1"/>
  <c r="Q32" i="3" s="1"/>
  <c r="M33" i="3"/>
  <c r="P33" i="3" s="1"/>
  <c r="Q33" i="3" s="1"/>
  <c r="M34" i="3"/>
  <c r="P34" i="3" s="1"/>
  <c r="Q34" i="3" s="1"/>
  <c r="M35" i="3"/>
  <c r="P35" i="3" s="1"/>
  <c r="M36" i="3"/>
  <c r="P36" i="3" s="1"/>
  <c r="M37" i="3"/>
  <c r="P37" i="3" s="1"/>
  <c r="M38" i="3"/>
  <c r="P38" i="3" s="1"/>
  <c r="Q38" i="3" s="1"/>
  <c r="M39" i="3"/>
  <c r="P39" i="3" s="1"/>
  <c r="Q39" i="3" s="1"/>
  <c r="M40" i="3"/>
  <c r="P40" i="3" s="1"/>
  <c r="M41" i="3"/>
  <c r="P41" i="3" s="1"/>
  <c r="M42" i="3"/>
  <c r="P42" i="3" s="1"/>
  <c r="M43" i="3"/>
  <c r="P43" i="3" s="1"/>
  <c r="M44" i="3"/>
  <c r="P44" i="3" s="1"/>
  <c r="Q44" i="3" s="1"/>
  <c r="M45" i="3"/>
  <c r="P45" i="3" s="1"/>
  <c r="Q45" i="3" s="1"/>
  <c r="M46" i="3"/>
  <c r="P46" i="3" s="1"/>
  <c r="Q46" i="3" s="1"/>
  <c r="M47" i="3"/>
  <c r="P47" i="3" s="1"/>
  <c r="M48" i="3"/>
  <c r="P48" i="3" s="1"/>
  <c r="Q48" i="3" s="1"/>
  <c r="M49" i="3"/>
  <c r="P49" i="3" s="1"/>
  <c r="Q49" i="3" s="1"/>
  <c r="M50" i="3"/>
  <c r="P50" i="3" s="1"/>
  <c r="Q50" i="3" s="1"/>
  <c r="M51" i="3"/>
  <c r="P51" i="3" s="1"/>
  <c r="Q51" i="3" s="1"/>
  <c r="M52" i="3"/>
  <c r="P52" i="3" s="1"/>
  <c r="M53" i="3"/>
  <c r="P53" i="3" s="1"/>
  <c r="M54" i="3"/>
  <c r="P54" i="3" s="1"/>
  <c r="M55" i="3"/>
  <c r="P55" i="3" s="1"/>
  <c r="M56" i="3"/>
  <c r="P56" i="3" s="1"/>
  <c r="Q56" i="3" s="1"/>
  <c r="M57" i="3"/>
  <c r="P57" i="3" s="1"/>
  <c r="Q57" i="3" s="1"/>
  <c r="M58" i="3"/>
  <c r="P58" i="3" s="1"/>
  <c r="Q58" i="3" s="1"/>
  <c r="M59" i="3"/>
  <c r="P59" i="3" s="1"/>
  <c r="M60" i="3"/>
  <c r="P60" i="3" s="1"/>
  <c r="M61" i="3"/>
  <c r="P61" i="3" s="1"/>
  <c r="M62" i="3"/>
  <c r="P62" i="3" s="1"/>
  <c r="Q62" i="3" s="1"/>
  <c r="M63" i="3"/>
  <c r="P63" i="3" s="1"/>
  <c r="Q63" i="3" s="1"/>
  <c r="M64" i="3"/>
  <c r="P64" i="3" s="1"/>
  <c r="M65" i="3"/>
  <c r="P65" i="3" s="1"/>
  <c r="M66" i="3"/>
  <c r="P66" i="3" s="1"/>
  <c r="M67" i="3"/>
  <c r="P67" i="3" s="1"/>
  <c r="M68" i="3"/>
  <c r="P68" i="3" s="1"/>
  <c r="Q68" i="3" s="1"/>
  <c r="M69" i="3"/>
  <c r="P69" i="3" s="1"/>
  <c r="Q69" i="3" s="1"/>
  <c r="M70" i="3"/>
  <c r="P70" i="3" s="1"/>
  <c r="Q70" i="3" s="1"/>
  <c r="M71" i="3"/>
  <c r="P71" i="3" s="1"/>
  <c r="M72" i="3"/>
  <c r="P72" i="3" s="1"/>
  <c r="Q72" i="3" s="1"/>
  <c r="M73" i="3"/>
  <c r="P73" i="3" s="1"/>
  <c r="M74" i="3"/>
  <c r="P74" i="3" s="1"/>
  <c r="Q74" i="3" s="1"/>
  <c r="M75" i="3"/>
  <c r="M76" i="3"/>
  <c r="P76" i="3" s="1"/>
  <c r="Q76" i="3" s="1"/>
  <c r="M77" i="3"/>
  <c r="P77" i="3" s="1"/>
  <c r="M78" i="3"/>
  <c r="P78" i="3" s="1"/>
  <c r="M79" i="3"/>
  <c r="P79" i="3" s="1"/>
  <c r="M80" i="3"/>
  <c r="P80" i="3" s="1"/>
  <c r="Q80" i="3" s="1"/>
  <c r="M81" i="3"/>
  <c r="P81" i="3" s="1"/>
  <c r="Q81" i="3" s="1"/>
  <c r="M82" i="3"/>
  <c r="P82" i="3" s="1"/>
  <c r="Q82" i="3" s="1"/>
  <c r="M83" i="3"/>
  <c r="P83" i="3" s="1"/>
  <c r="Q83" i="3" s="1"/>
  <c r="M84" i="3"/>
  <c r="P84" i="3" s="1"/>
  <c r="M85" i="3"/>
  <c r="P85" i="3" s="1"/>
  <c r="M86" i="3"/>
  <c r="P86" i="3" s="1"/>
  <c r="Q86" i="3" s="1"/>
  <c r="M87" i="3"/>
  <c r="P87" i="3" s="1"/>
  <c r="Q87" i="3" s="1"/>
  <c r="M88" i="3"/>
  <c r="P88" i="3" s="1"/>
  <c r="Q88" i="3" s="1"/>
  <c r="M89" i="3"/>
  <c r="P89" i="3" s="1"/>
  <c r="M90" i="3"/>
  <c r="P90" i="3" s="1"/>
  <c r="M91" i="3"/>
  <c r="P91" i="3" s="1"/>
  <c r="M92" i="3"/>
  <c r="P92" i="3" s="1"/>
  <c r="Q92" i="3" s="1"/>
  <c r="M93" i="3"/>
  <c r="P93" i="3" s="1"/>
  <c r="Q93" i="3" s="1"/>
  <c r="M94" i="3"/>
  <c r="P94" i="3" s="1"/>
  <c r="Q94" i="3" s="1"/>
  <c r="M95" i="3"/>
  <c r="P95" i="3" s="1"/>
  <c r="Q95" i="3" s="1"/>
  <c r="M96" i="3"/>
  <c r="P96" i="3" s="1"/>
  <c r="Q96" i="3" s="1"/>
  <c r="M97" i="3"/>
  <c r="P97" i="3" s="1"/>
  <c r="Q97" i="3" s="1"/>
  <c r="M98" i="3"/>
  <c r="P98" i="3" s="1"/>
  <c r="Q98" i="3" s="1"/>
  <c r="M99" i="3"/>
  <c r="P99" i="3" s="1"/>
  <c r="Q99" i="3" s="1"/>
  <c r="M100" i="3"/>
  <c r="P100" i="3" s="1"/>
  <c r="M101" i="3"/>
  <c r="P101" i="3" s="1"/>
  <c r="M102" i="3"/>
  <c r="P102" i="3" s="1"/>
  <c r="M103" i="3"/>
  <c r="P103" i="3" s="1"/>
  <c r="M104" i="3"/>
  <c r="P104" i="3" s="1"/>
  <c r="Q104" i="3" s="1"/>
  <c r="M105" i="3"/>
  <c r="P105" i="3" s="1"/>
  <c r="Q105" i="3" s="1"/>
  <c r="M106" i="3"/>
  <c r="P106" i="3" s="1"/>
  <c r="Q106" i="3" s="1"/>
  <c r="M107" i="3"/>
  <c r="P107" i="3" s="1"/>
  <c r="M108" i="3"/>
  <c r="P108" i="3" s="1"/>
  <c r="M109" i="3"/>
  <c r="P109" i="3" s="1"/>
  <c r="M110" i="3"/>
  <c r="P110" i="3" s="1"/>
  <c r="Q110" i="3" s="1"/>
  <c r="M111" i="3"/>
  <c r="P111" i="3" s="1"/>
  <c r="M112" i="3"/>
  <c r="P112" i="3" s="1"/>
  <c r="M113" i="3"/>
  <c r="P113" i="3" s="1"/>
  <c r="Q113" i="3" s="1"/>
  <c r="M114" i="3"/>
  <c r="P114" i="3" s="1"/>
  <c r="M115" i="3"/>
  <c r="P115" i="3" s="1"/>
  <c r="M116" i="3"/>
  <c r="P116" i="3" s="1"/>
  <c r="Q116" i="3" s="1"/>
  <c r="M117" i="3"/>
  <c r="P117" i="3" s="1"/>
  <c r="Q117" i="3" s="1"/>
  <c r="M118" i="3"/>
  <c r="P118" i="3" s="1"/>
  <c r="Q118" i="3" s="1"/>
  <c r="M119" i="3"/>
  <c r="P119" i="3" s="1"/>
  <c r="M120" i="3"/>
  <c r="P120" i="3" s="1"/>
  <c r="M121" i="3"/>
  <c r="P121" i="3" s="1"/>
  <c r="M122" i="3"/>
  <c r="P122" i="3" s="1"/>
  <c r="Q122" i="3" s="1"/>
  <c r="M123" i="3"/>
  <c r="P123" i="3" s="1"/>
  <c r="Q123" i="3" s="1"/>
  <c r="M124" i="3"/>
  <c r="P124" i="3" s="1"/>
  <c r="M125" i="3"/>
  <c r="P125" i="3" s="1"/>
  <c r="M126" i="3"/>
  <c r="P126" i="3" s="1"/>
  <c r="M127" i="3"/>
  <c r="P127" i="3" s="1"/>
  <c r="M128" i="3"/>
  <c r="P128" i="3" s="1"/>
  <c r="Q128" i="3" s="1"/>
  <c r="M129" i="3"/>
  <c r="P129" i="3" s="1"/>
  <c r="Q129" i="3" s="1"/>
  <c r="M130" i="3"/>
  <c r="P130" i="3" s="1"/>
  <c r="Q130" i="3" s="1"/>
  <c r="M131" i="3"/>
  <c r="P131" i="3" s="1"/>
  <c r="M132" i="3"/>
  <c r="P132" i="3" s="1"/>
  <c r="Q132" i="3" s="1"/>
  <c r="M133" i="3"/>
  <c r="P133" i="3" s="1"/>
  <c r="Q133" i="3" s="1"/>
  <c r="M134" i="3"/>
  <c r="P134" i="3" s="1"/>
  <c r="Q134" i="3" s="1"/>
  <c r="M135" i="3"/>
  <c r="P135" i="3" s="1"/>
  <c r="Q135" i="3" s="1"/>
  <c r="M136" i="3"/>
  <c r="P136" i="3" s="1"/>
  <c r="M137" i="3"/>
  <c r="P137" i="3" s="1"/>
  <c r="M138" i="3"/>
  <c r="P138" i="3" s="1"/>
  <c r="M139" i="3"/>
  <c r="P139" i="3" s="1"/>
  <c r="M140" i="3"/>
  <c r="P140" i="3" s="1"/>
  <c r="Q140" i="3" s="1"/>
  <c r="M141" i="3"/>
  <c r="P141" i="3" s="1"/>
  <c r="Q141" i="3" s="1"/>
  <c r="M142" i="3"/>
  <c r="P142" i="3" s="1"/>
  <c r="Q142" i="3" s="1"/>
  <c r="M143" i="3"/>
  <c r="P143" i="3" s="1"/>
  <c r="Q143" i="3" s="1"/>
  <c r="M144" i="3"/>
  <c r="P144" i="3" s="1"/>
  <c r="M145" i="3"/>
  <c r="P145" i="3" s="1"/>
  <c r="Q145" i="3" s="1"/>
  <c r="M146" i="3"/>
  <c r="P146" i="3" s="1"/>
  <c r="Q146" i="3" s="1"/>
  <c r="M147" i="3"/>
  <c r="P147" i="3" s="1"/>
  <c r="Q147" i="3" s="1"/>
  <c r="M148" i="3"/>
  <c r="P148" i="3" s="1"/>
  <c r="Q148" i="3" s="1"/>
  <c r="M149" i="3"/>
  <c r="P149" i="3" s="1"/>
  <c r="Q149" i="3" s="1"/>
  <c r="M150" i="3"/>
  <c r="P150" i="3" s="1"/>
  <c r="M151" i="3"/>
  <c r="P151" i="3" s="1"/>
  <c r="M152" i="3"/>
  <c r="P152" i="3" s="1"/>
  <c r="Q152" i="3" s="1"/>
  <c r="M153" i="3"/>
  <c r="P153" i="3" s="1"/>
  <c r="Q153" i="3" s="1"/>
  <c r="M154" i="3"/>
  <c r="P154" i="3" s="1"/>
  <c r="Q154" i="3" s="1"/>
  <c r="M155" i="3"/>
  <c r="P155" i="3" s="1"/>
  <c r="M156" i="3"/>
  <c r="P156" i="3" s="1"/>
  <c r="M157" i="3"/>
  <c r="P157" i="3" s="1"/>
  <c r="Q157" i="3" s="1"/>
  <c r="M158" i="3"/>
  <c r="P158" i="3" s="1"/>
  <c r="Q158" i="3" s="1"/>
  <c r="M159" i="3"/>
  <c r="P159" i="3" s="1"/>
  <c r="Q159" i="3" s="1"/>
  <c r="M160" i="3"/>
  <c r="P160" i="3" s="1"/>
  <c r="M161" i="3"/>
  <c r="P161" i="3" s="1"/>
  <c r="Q161" i="3" s="1"/>
  <c r="M162" i="3"/>
  <c r="P162" i="3" s="1"/>
  <c r="M163" i="3"/>
  <c r="P163" i="3" s="1"/>
  <c r="M164" i="3"/>
  <c r="P164" i="3" s="1"/>
  <c r="Q164" i="3" s="1"/>
  <c r="M165" i="3"/>
  <c r="P165" i="3" s="1"/>
  <c r="Q165" i="3" s="1"/>
  <c r="M166" i="3"/>
  <c r="P166" i="3" s="1"/>
  <c r="Q166" i="3" s="1"/>
  <c r="M167" i="3"/>
  <c r="P167" i="3" s="1"/>
  <c r="Q167" i="3" s="1"/>
  <c r="M168" i="3"/>
  <c r="P168" i="3" s="1"/>
  <c r="Q168" i="3" s="1"/>
  <c r="M169" i="3"/>
  <c r="P169" i="3" s="1"/>
  <c r="M170" i="3"/>
  <c r="P170" i="3" s="1"/>
  <c r="Q170" i="3" s="1"/>
  <c r="M171" i="3"/>
  <c r="P171" i="3" s="1"/>
  <c r="Q171" i="3" s="1"/>
  <c r="M172" i="3"/>
  <c r="P172" i="3" s="1"/>
  <c r="M173" i="3"/>
  <c r="P173" i="3" s="1"/>
  <c r="M174" i="3"/>
  <c r="P174" i="3" s="1"/>
  <c r="M175" i="3"/>
  <c r="P175" i="3" s="1"/>
  <c r="M176" i="3"/>
  <c r="P176" i="3" s="1"/>
  <c r="Q176" i="3" s="1"/>
  <c r="M177" i="3"/>
  <c r="P177" i="3" s="1"/>
  <c r="Q177" i="3" s="1"/>
  <c r="M178" i="3"/>
  <c r="P178" i="3" s="1"/>
  <c r="Q178" i="3" s="1"/>
  <c r="M179" i="3"/>
  <c r="P179" i="3" s="1"/>
  <c r="M180" i="3"/>
  <c r="P180" i="3" s="1"/>
  <c r="Q180" i="3" s="1"/>
  <c r="M181" i="3"/>
  <c r="P181" i="3" s="1"/>
  <c r="Q181" i="3" s="1"/>
  <c r="M182" i="3"/>
  <c r="P182" i="3" s="1"/>
  <c r="Q182" i="3" s="1"/>
  <c r="M183" i="3"/>
  <c r="P183" i="3" s="1"/>
  <c r="Q183" i="3" s="1"/>
  <c r="M184" i="3"/>
  <c r="P184" i="3" s="1"/>
  <c r="M185" i="3"/>
  <c r="P185" i="3" s="1"/>
  <c r="M186" i="3"/>
  <c r="P186" i="3" s="1"/>
  <c r="M187" i="3"/>
  <c r="P187" i="3" s="1"/>
  <c r="M188" i="3"/>
  <c r="P188" i="3" s="1"/>
  <c r="Q188" i="3" s="1"/>
  <c r="M189" i="3"/>
  <c r="P189" i="3" s="1"/>
  <c r="Q189" i="3" s="1"/>
  <c r="M190" i="3"/>
  <c r="P190" i="3" s="1"/>
  <c r="Q190" i="3" s="1"/>
  <c r="M191" i="3"/>
  <c r="P191" i="3" s="1"/>
  <c r="M192" i="3"/>
  <c r="P192" i="3" s="1"/>
  <c r="M193" i="3"/>
  <c r="P193" i="3" s="1"/>
  <c r="Q193" i="3" s="1"/>
  <c r="M194" i="3"/>
  <c r="P194" i="3" s="1"/>
  <c r="Q194" i="3" s="1"/>
  <c r="M195" i="3"/>
  <c r="P195" i="3" s="1"/>
  <c r="Q195" i="3" s="1"/>
  <c r="M196" i="3"/>
  <c r="P196" i="3" s="1"/>
  <c r="M197" i="3"/>
  <c r="P197" i="3" s="1"/>
  <c r="Q197" i="3" s="1"/>
  <c r="M198" i="3"/>
  <c r="P198" i="3" s="1"/>
  <c r="M199" i="3"/>
  <c r="P199" i="3" s="1"/>
  <c r="M200" i="3"/>
  <c r="P200" i="3" s="1"/>
  <c r="Q200" i="3" s="1"/>
  <c r="M201" i="3"/>
  <c r="P201" i="3" s="1"/>
  <c r="Q201" i="3" s="1"/>
  <c r="M202" i="3"/>
  <c r="P202" i="3" s="1"/>
  <c r="Q202" i="3" s="1"/>
  <c r="M203" i="3"/>
  <c r="P203" i="3" s="1"/>
  <c r="M204" i="3"/>
  <c r="P204" i="3" s="1"/>
  <c r="Q204" i="3" s="1"/>
  <c r="M205" i="3"/>
  <c r="P205" i="3" s="1"/>
  <c r="M206" i="3"/>
  <c r="P206" i="3" s="1"/>
  <c r="Q206" i="3" s="1"/>
  <c r="M207" i="3"/>
  <c r="P207" i="3" s="1"/>
  <c r="Q207" i="3" s="1"/>
  <c r="M208" i="3"/>
  <c r="P208" i="3" s="1"/>
  <c r="M209" i="3"/>
  <c r="P209" i="3" s="1"/>
  <c r="Q209" i="3" s="1"/>
  <c r="M210" i="3"/>
  <c r="P210" i="3" s="1"/>
  <c r="M211" i="3"/>
  <c r="P211" i="3" s="1"/>
  <c r="M212" i="3"/>
  <c r="P212" i="3" s="1"/>
  <c r="Q212" i="3" s="1"/>
  <c r="M213" i="3"/>
  <c r="P213" i="3" s="1"/>
  <c r="Q213" i="3" s="1"/>
  <c r="M214" i="3"/>
  <c r="P214" i="3" s="1"/>
  <c r="Q214" i="3" s="1"/>
  <c r="M215" i="3"/>
  <c r="P215" i="3" s="1"/>
  <c r="Q215" i="3" s="1"/>
  <c r="M216" i="3"/>
  <c r="P216" i="3" s="1"/>
  <c r="Q216" i="3" s="1"/>
  <c r="M217" i="3"/>
  <c r="P217" i="3" s="1"/>
  <c r="Q217" i="3" s="1"/>
  <c r="M218" i="3"/>
  <c r="P218" i="3" s="1"/>
  <c r="Q218" i="3" s="1"/>
  <c r="M219" i="3"/>
  <c r="P219" i="3" s="1"/>
  <c r="Q219" i="3" s="1"/>
  <c r="M220" i="3"/>
  <c r="P220" i="3" s="1"/>
  <c r="Q220" i="3" s="1"/>
  <c r="M221" i="3"/>
  <c r="P221" i="3" s="1"/>
  <c r="M222" i="3"/>
  <c r="P222" i="3" s="1"/>
  <c r="M223" i="3"/>
  <c r="P223" i="3" s="1"/>
  <c r="M224" i="3"/>
  <c r="P224" i="3" s="1"/>
  <c r="Q224" i="3" s="1"/>
  <c r="M225" i="3"/>
  <c r="P225" i="3" s="1"/>
  <c r="Q225" i="3" s="1"/>
  <c r="M226" i="3"/>
  <c r="P226" i="3" s="1"/>
  <c r="Q226" i="3" s="1"/>
  <c r="M227" i="3"/>
  <c r="P227" i="3" s="1"/>
  <c r="Q227" i="3" s="1"/>
  <c r="M228" i="3"/>
  <c r="P228" i="3" s="1"/>
  <c r="Q228" i="3" s="1"/>
  <c r="M229" i="3"/>
  <c r="P229" i="3" s="1"/>
  <c r="Q229" i="3" s="1"/>
  <c r="M230" i="3"/>
  <c r="P230" i="3" s="1"/>
  <c r="Q230" i="3" s="1"/>
  <c r="M231" i="3"/>
  <c r="P231" i="3" s="1"/>
  <c r="Q231" i="3" s="1"/>
  <c r="M232" i="3"/>
  <c r="P232" i="3" s="1"/>
  <c r="M233" i="3"/>
  <c r="P233" i="3" s="1"/>
  <c r="M234" i="3"/>
  <c r="P234" i="3" s="1"/>
  <c r="M235" i="3"/>
  <c r="P235" i="3" s="1"/>
  <c r="M236" i="3"/>
  <c r="P236" i="3" s="1"/>
  <c r="Q236" i="3" s="1"/>
  <c r="M237" i="3"/>
  <c r="P237" i="3" s="1"/>
  <c r="Q237" i="3" s="1"/>
  <c r="M238" i="3"/>
  <c r="P238" i="3" s="1"/>
  <c r="Q238" i="3" s="1"/>
  <c r="M239" i="3"/>
  <c r="P239" i="3" s="1"/>
  <c r="M240" i="3"/>
  <c r="P240" i="3" s="1"/>
  <c r="Q240" i="3" s="1"/>
  <c r="M241" i="3"/>
  <c r="P241" i="3" s="1"/>
  <c r="M242" i="3"/>
  <c r="P242" i="3" s="1"/>
  <c r="Q242" i="3" s="1"/>
  <c r="M243" i="3"/>
  <c r="P243" i="3" s="1"/>
  <c r="Q243" i="3" s="1"/>
  <c r="M244" i="3"/>
  <c r="P244" i="3" s="1"/>
  <c r="M245" i="3"/>
  <c r="P245" i="3" s="1"/>
  <c r="M246" i="3"/>
  <c r="P246" i="3" s="1"/>
  <c r="M247" i="3"/>
  <c r="P247" i="3" s="1"/>
  <c r="M248" i="3"/>
  <c r="P248" i="3" s="1"/>
  <c r="Q248" i="3" s="1"/>
  <c r="M249" i="3"/>
  <c r="P249" i="3" s="1"/>
  <c r="Q249" i="3" s="1"/>
  <c r="M250" i="3"/>
  <c r="P250" i="3" s="1"/>
  <c r="Q250" i="3" s="1"/>
  <c r="M251" i="3"/>
  <c r="P251" i="3" s="1"/>
  <c r="M252" i="3"/>
  <c r="P252" i="3" s="1"/>
  <c r="Q252" i="3" s="1"/>
  <c r="M253" i="3"/>
  <c r="P253" i="3" s="1"/>
  <c r="M254" i="3"/>
  <c r="P254" i="3" s="1"/>
  <c r="Q254" i="3" s="1"/>
  <c r="M255" i="3"/>
  <c r="P255" i="3" s="1"/>
  <c r="Q255" i="3" s="1"/>
  <c r="M256" i="3"/>
  <c r="P256" i="3" s="1"/>
  <c r="M257" i="3"/>
  <c r="P257" i="3" s="1"/>
  <c r="M258" i="3"/>
  <c r="P258" i="3" s="1"/>
  <c r="M259" i="3"/>
  <c r="P259" i="3" s="1"/>
  <c r="M260" i="3"/>
  <c r="P260" i="3" s="1"/>
  <c r="Q260" i="3" s="1"/>
  <c r="M261" i="3"/>
  <c r="P261" i="3" s="1"/>
  <c r="Q261" i="3" s="1"/>
  <c r="M262" i="3"/>
  <c r="P262" i="3" s="1"/>
  <c r="Q262" i="3" s="1"/>
  <c r="M263" i="3"/>
  <c r="P263" i="3" s="1"/>
  <c r="M264" i="3"/>
  <c r="P264" i="3" s="1"/>
  <c r="M265" i="3"/>
  <c r="P265" i="3" s="1"/>
  <c r="M266" i="3"/>
  <c r="P266" i="3" s="1"/>
  <c r="Q266" i="3" s="1"/>
  <c r="M267" i="3"/>
  <c r="P267" i="3" s="1"/>
  <c r="M268" i="3"/>
  <c r="P268" i="3" s="1"/>
  <c r="Q268" i="3" s="1"/>
  <c r="M269" i="3"/>
  <c r="P269" i="3" s="1"/>
  <c r="Q269" i="3" s="1"/>
  <c r="M270" i="3"/>
  <c r="P270" i="3" s="1"/>
  <c r="M271" i="3"/>
  <c r="P271" i="3" s="1"/>
  <c r="M272" i="3"/>
  <c r="P272" i="3" s="1"/>
  <c r="Q272" i="3" s="1"/>
  <c r="M273" i="3"/>
  <c r="P273" i="3" s="1"/>
  <c r="Q273" i="3" s="1"/>
  <c r="M274" i="3"/>
  <c r="P274" i="3" s="1"/>
  <c r="Q274" i="3" s="1"/>
  <c r="M275" i="3"/>
  <c r="P275" i="3" s="1"/>
  <c r="M276" i="3"/>
  <c r="P276" i="3" s="1"/>
  <c r="Q276" i="3" s="1"/>
  <c r="M277" i="3"/>
  <c r="P277" i="3" s="1"/>
  <c r="M278" i="3"/>
  <c r="P278" i="3" s="1"/>
  <c r="Q278" i="3" s="1"/>
  <c r="M279" i="3"/>
  <c r="P279" i="3" s="1"/>
  <c r="Q279" i="3" s="1"/>
  <c r="M280" i="3"/>
  <c r="P280" i="3" s="1"/>
  <c r="M281" i="3"/>
  <c r="P281" i="3" s="1"/>
  <c r="Q281" i="3" s="1"/>
  <c r="M282" i="3"/>
  <c r="P282" i="3" s="1"/>
  <c r="M283" i="3"/>
  <c r="P283" i="3" s="1"/>
  <c r="M284" i="3"/>
  <c r="P284" i="3" s="1"/>
  <c r="Q284" i="3" s="1"/>
  <c r="M285" i="3"/>
  <c r="P285" i="3" s="1"/>
  <c r="Q285" i="3" s="1"/>
  <c r="M286" i="3"/>
  <c r="P286" i="3" s="1"/>
  <c r="Q286" i="3" s="1"/>
  <c r="M287" i="3"/>
  <c r="P287" i="3" s="1"/>
  <c r="M288" i="3"/>
  <c r="P288" i="3" s="1"/>
  <c r="M289" i="3"/>
  <c r="P289" i="3" s="1"/>
  <c r="M290" i="3"/>
  <c r="P290" i="3" s="1"/>
  <c r="Q290" i="3" s="1"/>
  <c r="M291" i="3"/>
  <c r="P291" i="3" s="1"/>
  <c r="Q291" i="3" s="1"/>
  <c r="M292" i="3"/>
  <c r="P292" i="3" s="1"/>
  <c r="M293" i="3"/>
  <c r="P293" i="3" s="1"/>
  <c r="Q293" i="3" s="1"/>
  <c r="M294" i="3"/>
  <c r="P294" i="3" s="1"/>
  <c r="M295" i="3"/>
  <c r="P295" i="3" s="1"/>
  <c r="M296" i="3"/>
  <c r="P296" i="3" s="1"/>
  <c r="Q296" i="3" s="1"/>
  <c r="M297" i="3"/>
  <c r="P297" i="3" s="1"/>
  <c r="Q297" i="3" s="1"/>
  <c r="M298" i="3"/>
  <c r="P298" i="3" s="1"/>
  <c r="Q298" i="3" s="1"/>
  <c r="M299" i="3"/>
  <c r="P299" i="3" s="1"/>
  <c r="Q299" i="3" s="1"/>
  <c r="M300" i="3"/>
  <c r="P300" i="3" s="1"/>
  <c r="M301" i="3"/>
  <c r="P301" i="3" s="1"/>
  <c r="M302" i="3"/>
  <c r="P302" i="3" s="1"/>
  <c r="Q302" i="3" s="1"/>
  <c r="M303" i="3"/>
  <c r="P303" i="3" s="1"/>
  <c r="Q303" i="3" s="1"/>
  <c r="M304" i="3"/>
  <c r="P304" i="3" s="1"/>
  <c r="Q304" i="3" s="1"/>
  <c r="M305" i="3"/>
  <c r="P305" i="3" s="1"/>
  <c r="Q305" i="3" s="1"/>
  <c r="M306" i="3"/>
  <c r="P306" i="3" s="1"/>
  <c r="M307" i="3"/>
  <c r="P307" i="3" s="1"/>
  <c r="M308" i="3"/>
  <c r="P308" i="3" s="1"/>
  <c r="Q308" i="3" s="1"/>
  <c r="M309" i="3"/>
  <c r="P309" i="3" s="1"/>
  <c r="Q309" i="3" s="1"/>
  <c r="M310" i="3"/>
  <c r="P310" i="3" s="1"/>
  <c r="Q310" i="3" s="1"/>
  <c r="M311" i="3"/>
  <c r="P311" i="3" s="1"/>
  <c r="M312" i="3"/>
  <c r="P312" i="3" s="1"/>
  <c r="Q312" i="3" s="1"/>
  <c r="M313" i="3"/>
  <c r="P313" i="3" s="1"/>
  <c r="Q313" i="3" s="1"/>
  <c r="M314" i="3"/>
  <c r="P314" i="3" s="1"/>
  <c r="Q314" i="3" s="1"/>
  <c r="M315" i="3"/>
  <c r="P315" i="3" s="1"/>
  <c r="Q315" i="3" s="1"/>
  <c r="M316" i="3"/>
  <c r="P316" i="3" s="1"/>
  <c r="M317" i="3"/>
  <c r="P317" i="3" s="1"/>
  <c r="Q317" i="3" s="1"/>
  <c r="M318" i="3"/>
  <c r="P318" i="3" s="1"/>
  <c r="M319" i="3"/>
  <c r="P319" i="3" s="1"/>
  <c r="M320" i="3"/>
  <c r="P320" i="3" s="1"/>
  <c r="Q320" i="3" s="1"/>
  <c r="M321" i="3"/>
  <c r="P321" i="3" s="1"/>
  <c r="Q321" i="3" s="1"/>
  <c r="M322" i="3"/>
  <c r="P322" i="3" s="1"/>
  <c r="Q322" i="3" s="1"/>
  <c r="M323" i="3"/>
  <c r="P323" i="3" s="1"/>
  <c r="M324" i="3"/>
  <c r="P324" i="3" s="1"/>
  <c r="M325" i="3"/>
  <c r="P325" i="3" s="1"/>
  <c r="Q325" i="3" s="1"/>
  <c r="M326" i="3"/>
  <c r="P326" i="3" s="1"/>
  <c r="Q326" i="3" s="1"/>
  <c r="M327" i="3"/>
  <c r="P327" i="3" s="1"/>
  <c r="M328" i="3"/>
  <c r="P328" i="3" s="1"/>
  <c r="M329" i="3"/>
  <c r="P329" i="3" s="1"/>
  <c r="Q329" i="3" s="1"/>
  <c r="M330" i="3"/>
  <c r="P330" i="3" s="1"/>
  <c r="M331" i="3"/>
  <c r="P331" i="3" s="1"/>
  <c r="M332" i="3"/>
  <c r="P332" i="3" s="1"/>
  <c r="Q332" i="3" s="1"/>
  <c r="M333" i="3"/>
  <c r="P333" i="3" s="1"/>
  <c r="Q333" i="3" s="1"/>
  <c r="M334" i="3"/>
  <c r="P334" i="3" s="1"/>
  <c r="Q334" i="3" s="1"/>
  <c r="M335" i="3"/>
  <c r="P335" i="3" s="1"/>
  <c r="Q335" i="3" s="1"/>
  <c r="M336" i="3"/>
  <c r="P336" i="3" s="1"/>
  <c r="M337" i="3"/>
  <c r="P337" i="3" s="1"/>
  <c r="Q337" i="3" s="1"/>
  <c r="M338" i="3"/>
  <c r="P338" i="3" s="1"/>
  <c r="Q338" i="3" s="1"/>
  <c r="M339" i="3"/>
  <c r="P339" i="3" s="1"/>
  <c r="Q339" i="3" s="1"/>
  <c r="M340" i="3"/>
  <c r="P340" i="3" s="1"/>
  <c r="M341" i="3"/>
  <c r="P341" i="3" s="1"/>
  <c r="M342" i="3"/>
  <c r="P342" i="3" s="1"/>
  <c r="M343" i="3"/>
  <c r="P343" i="3" s="1"/>
  <c r="M344" i="3"/>
  <c r="P344" i="3" s="1"/>
  <c r="Q344" i="3" s="1"/>
  <c r="M345" i="3"/>
  <c r="P345" i="3" s="1"/>
  <c r="Q345" i="3" s="1"/>
  <c r="M346" i="3"/>
  <c r="P346" i="3" s="1"/>
  <c r="Q346" i="3" s="1"/>
  <c r="M347" i="3"/>
  <c r="P347" i="3" s="1"/>
  <c r="Q347" i="3" s="1"/>
  <c r="M348" i="3"/>
  <c r="P348" i="3" s="1"/>
  <c r="Q348" i="3" s="1"/>
  <c r="M349" i="3"/>
  <c r="P349" i="3" s="1"/>
  <c r="Q349" i="3" s="1"/>
  <c r="M350" i="3"/>
  <c r="P350" i="3" s="1"/>
  <c r="Q350" i="3" s="1"/>
  <c r="M351" i="3"/>
  <c r="P351" i="3" s="1"/>
  <c r="Q351" i="3" s="1"/>
  <c r="M352" i="3"/>
  <c r="P352" i="3" s="1"/>
  <c r="Q352" i="3" s="1"/>
  <c r="M353" i="3"/>
  <c r="P353" i="3" s="1"/>
  <c r="Q353" i="3" s="1"/>
  <c r="M354" i="3"/>
  <c r="P354" i="3" s="1"/>
  <c r="M355" i="3"/>
  <c r="P355" i="3" s="1"/>
  <c r="M356" i="3"/>
  <c r="P356" i="3" s="1"/>
  <c r="Q356" i="3" s="1"/>
  <c r="M357" i="3"/>
  <c r="P357" i="3" s="1"/>
  <c r="Q357" i="3" s="1"/>
  <c r="M358" i="3"/>
  <c r="P358" i="3" s="1"/>
  <c r="Q358" i="3" s="1"/>
  <c r="M359" i="3"/>
  <c r="P359" i="3" s="1"/>
  <c r="M360" i="3"/>
  <c r="P360" i="3" s="1"/>
  <c r="M361" i="3"/>
  <c r="P361" i="3" s="1"/>
  <c r="Q361" i="3" s="1"/>
  <c r="M362" i="3"/>
  <c r="P362" i="3" s="1"/>
  <c r="Q362" i="3" s="1"/>
  <c r="M363" i="3"/>
  <c r="P363" i="3" s="1"/>
  <c r="M364" i="3"/>
  <c r="P364" i="3" s="1"/>
  <c r="Q364" i="3" s="1"/>
  <c r="M365" i="3"/>
  <c r="P365" i="3" s="1"/>
  <c r="M366" i="3"/>
  <c r="P366" i="3" s="1"/>
  <c r="M367" i="3"/>
  <c r="P367" i="3" s="1"/>
  <c r="M368" i="3"/>
  <c r="P368" i="3" s="1"/>
  <c r="Q368" i="3" s="1"/>
  <c r="M369" i="3"/>
  <c r="P369" i="3" s="1"/>
  <c r="Q369" i="3" s="1"/>
  <c r="M370" i="3"/>
  <c r="P370" i="3" s="1"/>
  <c r="Q370" i="3" s="1"/>
  <c r="M371" i="3"/>
  <c r="P371" i="3" s="1"/>
  <c r="M372" i="3"/>
  <c r="P372" i="3" s="1"/>
  <c r="M373" i="3"/>
  <c r="P373" i="3" s="1"/>
  <c r="M374" i="3"/>
  <c r="P374" i="3" s="1"/>
  <c r="Q374" i="3" s="1"/>
  <c r="M375" i="3"/>
  <c r="P375" i="3" s="1"/>
  <c r="Q375" i="3" s="1"/>
  <c r="M376" i="3"/>
  <c r="P376" i="3" s="1"/>
  <c r="M377" i="3"/>
  <c r="P377" i="3" s="1"/>
  <c r="M378" i="3"/>
  <c r="P378" i="3" s="1"/>
  <c r="M379" i="3"/>
  <c r="P379" i="3" s="1"/>
  <c r="M380" i="3"/>
  <c r="P380" i="3" s="1"/>
  <c r="Q380" i="3" s="1"/>
  <c r="M381" i="3"/>
  <c r="P381" i="3" s="1"/>
  <c r="Q381" i="3" s="1"/>
  <c r="M382" i="3"/>
  <c r="P382" i="3" s="1"/>
  <c r="Q382" i="3" s="1"/>
  <c r="M383" i="3"/>
  <c r="P383" i="3" s="1"/>
  <c r="Q383" i="3" s="1"/>
  <c r="M384" i="3"/>
  <c r="P384" i="3" s="1"/>
  <c r="M385" i="3"/>
  <c r="P385" i="3" s="1"/>
  <c r="Q385" i="3" s="1"/>
  <c r="M386" i="3"/>
  <c r="P386" i="3" s="1"/>
  <c r="Q386" i="3" s="1"/>
  <c r="M387" i="3"/>
  <c r="P387" i="3" s="1"/>
  <c r="Q387" i="3" s="1"/>
  <c r="M388" i="3"/>
  <c r="P388" i="3" s="1"/>
  <c r="Q388" i="3" s="1"/>
  <c r="M389" i="3"/>
  <c r="P389" i="3" s="1"/>
  <c r="M390" i="3"/>
  <c r="P390" i="3" s="1"/>
  <c r="M391" i="3"/>
  <c r="P391" i="3" s="1"/>
  <c r="M392" i="3"/>
  <c r="P392" i="3" s="1"/>
  <c r="Q392" i="3" s="1"/>
  <c r="M393" i="3"/>
  <c r="P393" i="3" s="1"/>
  <c r="Q393" i="3" s="1"/>
  <c r="M394" i="3"/>
  <c r="P394" i="3" s="1"/>
  <c r="Q394" i="3" s="1"/>
  <c r="M395" i="3"/>
  <c r="P395" i="3" s="1"/>
  <c r="M396" i="3"/>
  <c r="P396" i="3" s="1"/>
  <c r="Q396" i="3" s="1"/>
  <c r="M397" i="3"/>
  <c r="P397" i="3" s="1"/>
  <c r="M398" i="3"/>
  <c r="P398" i="3" s="1"/>
  <c r="Q398" i="3" s="1"/>
  <c r="M399" i="3"/>
  <c r="P399" i="3" s="1"/>
  <c r="Q399" i="3" s="1"/>
  <c r="M400" i="3"/>
  <c r="P400" i="3" s="1"/>
  <c r="Q400" i="3" s="1"/>
  <c r="M401" i="3"/>
  <c r="P401" i="3" s="1"/>
  <c r="Q401" i="3" s="1"/>
  <c r="M402" i="3"/>
  <c r="P402" i="3" s="1"/>
  <c r="M403" i="3"/>
  <c r="P403" i="3" s="1"/>
  <c r="M404" i="3"/>
  <c r="P404" i="3" s="1"/>
  <c r="Q404" i="3" s="1"/>
  <c r="M405" i="3"/>
  <c r="P405" i="3" s="1"/>
  <c r="Q405" i="3" s="1"/>
  <c r="M406" i="3"/>
  <c r="P406" i="3" s="1"/>
  <c r="Q406" i="3" s="1"/>
  <c r="M407" i="3"/>
  <c r="P407" i="3" s="1"/>
  <c r="Q407" i="3" s="1"/>
  <c r="M408" i="3"/>
  <c r="P408" i="3" s="1"/>
  <c r="M409" i="3"/>
  <c r="P409" i="3" s="1"/>
  <c r="M410" i="3"/>
  <c r="P410" i="3" s="1"/>
  <c r="Q410" i="3" s="1"/>
  <c r="M411" i="3"/>
  <c r="P411" i="3" s="1"/>
  <c r="Q411" i="3" s="1"/>
  <c r="M412" i="3"/>
  <c r="P412" i="3" s="1"/>
  <c r="Q412" i="3" s="1"/>
  <c r="M413" i="3"/>
  <c r="P413" i="3" s="1"/>
  <c r="Q413" i="3" s="1"/>
  <c r="M414" i="3"/>
  <c r="P414" i="3" s="1"/>
  <c r="M415" i="3"/>
  <c r="P415" i="3" s="1"/>
  <c r="M416" i="3"/>
  <c r="P416" i="3" s="1"/>
  <c r="Q416" i="3" s="1"/>
  <c r="M417" i="3"/>
  <c r="P417" i="3" s="1"/>
  <c r="Q417" i="3" s="1"/>
  <c r="M418" i="3"/>
  <c r="P418" i="3" s="1"/>
  <c r="Q418" i="3" s="1"/>
  <c r="M419" i="3"/>
  <c r="P419" i="3" s="1"/>
  <c r="M420" i="3"/>
  <c r="P420" i="3" s="1"/>
  <c r="M421" i="3"/>
  <c r="P421" i="3" s="1"/>
  <c r="M422" i="3"/>
  <c r="P422" i="3" s="1"/>
  <c r="Q422" i="3" s="1"/>
  <c r="M423" i="3"/>
  <c r="P423" i="3" s="1"/>
  <c r="Q423" i="3" s="1"/>
  <c r="M424" i="3"/>
  <c r="P424" i="3" s="1"/>
  <c r="M425" i="3"/>
  <c r="P425" i="3" s="1"/>
  <c r="M426" i="3"/>
  <c r="P426" i="3" s="1"/>
  <c r="M427" i="3"/>
  <c r="P427" i="3" s="1"/>
  <c r="M428" i="3"/>
  <c r="P428" i="3" s="1"/>
  <c r="Q428" i="3" s="1"/>
  <c r="M429" i="3"/>
  <c r="P429" i="3" s="1"/>
  <c r="Q429" i="3" s="1"/>
  <c r="M430" i="3"/>
  <c r="P430" i="3" s="1"/>
  <c r="Q430" i="3" s="1"/>
  <c r="M431" i="3"/>
  <c r="P431" i="3" s="1"/>
  <c r="Q431" i="3" s="1"/>
  <c r="M432" i="3"/>
  <c r="P432" i="3" s="1"/>
  <c r="Q432" i="3" s="1"/>
  <c r="M433" i="3"/>
  <c r="P433" i="3" s="1"/>
  <c r="Q433" i="3" s="1"/>
  <c r="M434" i="3"/>
  <c r="P434" i="3" s="1"/>
  <c r="Q434" i="3" s="1"/>
  <c r="M435" i="3"/>
  <c r="P435" i="3" s="1"/>
  <c r="Q435" i="3" s="1"/>
  <c r="M436" i="3"/>
  <c r="P436" i="3" s="1"/>
  <c r="M437" i="3"/>
  <c r="P437" i="3" s="1"/>
  <c r="Q437" i="3" s="1"/>
  <c r="M438" i="3"/>
  <c r="P438" i="3" s="1"/>
  <c r="M439" i="3"/>
  <c r="P439" i="3" s="1"/>
  <c r="M440" i="3"/>
  <c r="P440" i="3" s="1"/>
  <c r="Q440" i="3" s="1"/>
  <c r="M441" i="3"/>
  <c r="P441" i="3" s="1"/>
  <c r="Q441" i="3" s="1"/>
  <c r="M442" i="3"/>
  <c r="P442" i="3" s="1"/>
  <c r="Q442" i="3" s="1"/>
  <c r="M443" i="3"/>
  <c r="P443" i="3" s="1"/>
  <c r="M444" i="3"/>
  <c r="M445" i="3"/>
  <c r="M446" i="3"/>
  <c r="P446" i="3" s="1"/>
  <c r="Q446" i="3" s="1"/>
  <c r="M447" i="3"/>
  <c r="P447" i="3" s="1"/>
  <c r="Q447" i="3" s="1"/>
  <c r="M448" i="3"/>
  <c r="P448" i="3" s="1"/>
  <c r="Q448" i="3" s="1"/>
  <c r="M449" i="3"/>
  <c r="P449" i="3" s="1"/>
  <c r="Q449" i="3" s="1"/>
  <c r="M450" i="3"/>
  <c r="P450" i="3" s="1"/>
  <c r="M451" i="3"/>
  <c r="P451" i="3" s="1"/>
  <c r="M452" i="3"/>
  <c r="P452" i="3" s="1"/>
  <c r="Q452" i="3" s="1"/>
  <c r="M453" i="3"/>
  <c r="P453" i="3" s="1"/>
  <c r="Q453" i="3" s="1"/>
  <c r="M454" i="3"/>
  <c r="P454" i="3" s="1"/>
  <c r="Q454" i="3" s="1"/>
  <c r="M455" i="3"/>
  <c r="P455" i="3" s="1"/>
  <c r="Q455" i="3" s="1"/>
  <c r="M456" i="3"/>
  <c r="P456" i="3" s="1"/>
  <c r="M457" i="3"/>
  <c r="P457" i="3" s="1"/>
  <c r="Q457" i="3" s="1"/>
  <c r="M458" i="3"/>
  <c r="P458" i="3" s="1"/>
  <c r="Q458" i="3" s="1"/>
  <c r="M459" i="3"/>
  <c r="P459" i="3" s="1"/>
  <c r="Q459" i="3" s="1"/>
  <c r="M460" i="3"/>
  <c r="P460" i="3" s="1"/>
  <c r="M461" i="3"/>
  <c r="P461" i="3" s="1"/>
  <c r="M462" i="3"/>
  <c r="P462" i="3" s="1"/>
  <c r="M463" i="3"/>
  <c r="P463" i="3" s="1"/>
  <c r="M464" i="3"/>
  <c r="P464" i="3" s="1"/>
  <c r="Q464" i="3" s="1"/>
  <c r="M465" i="3"/>
  <c r="P465" i="3" s="1"/>
  <c r="Q465" i="3" s="1"/>
  <c r="M466" i="3"/>
  <c r="P466" i="3" s="1"/>
  <c r="Q466" i="3" s="1"/>
  <c r="M467" i="3"/>
  <c r="P467" i="3" s="1"/>
  <c r="M468" i="3"/>
  <c r="P468" i="3" s="1"/>
  <c r="Q468" i="3" s="1"/>
  <c r="M469" i="3"/>
  <c r="P469" i="3" s="1"/>
  <c r="Q469" i="3" s="1"/>
  <c r="M470" i="3"/>
  <c r="P470" i="3" s="1"/>
  <c r="Q470" i="3" s="1"/>
  <c r="M471" i="3"/>
  <c r="P471" i="3" s="1"/>
  <c r="Q471" i="3" s="1"/>
  <c r="M472" i="3"/>
  <c r="P472" i="3" s="1"/>
  <c r="M473" i="3"/>
  <c r="P473" i="3" s="1"/>
  <c r="Q473" i="3" s="1"/>
  <c r="M474" i="3"/>
  <c r="P474" i="3" s="1"/>
  <c r="M475" i="3"/>
  <c r="P475" i="3" s="1"/>
  <c r="M476" i="3"/>
  <c r="P476" i="3" s="1"/>
  <c r="Q476" i="3" s="1"/>
  <c r="M477" i="3"/>
  <c r="P477" i="3" s="1"/>
  <c r="Q477" i="3" s="1"/>
  <c r="M478" i="3"/>
  <c r="P478" i="3" s="1"/>
  <c r="Q478" i="3" s="1"/>
  <c r="M479" i="3"/>
  <c r="P479" i="3" s="1"/>
  <c r="M480" i="3"/>
  <c r="P480" i="3" s="1"/>
  <c r="Q480" i="3" s="1"/>
  <c r="M481" i="3"/>
  <c r="P481" i="3" s="1"/>
  <c r="Q481" i="3" s="1"/>
  <c r="M482" i="3"/>
  <c r="P482" i="3" s="1"/>
  <c r="Q482" i="3" s="1"/>
  <c r="M483" i="3"/>
  <c r="P483" i="3" s="1"/>
  <c r="Q483" i="3" s="1"/>
  <c r="M484" i="3"/>
  <c r="P484" i="3" s="1"/>
  <c r="M485" i="3"/>
  <c r="P485" i="3" s="1"/>
  <c r="Q485" i="3" s="1"/>
  <c r="M486" i="3"/>
  <c r="P486" i="3" s="1"/>
  <c r="M487" i="3"/>
  <c r="P487" i="3" s="1"/>
  <c r="M488" i="3"/>
  <c r="P488" i="3" s="1"/>
  <c r="Q488" i="3" s="1"/>
  <c r="M489" i="3"/>
  <c r="P489" i="3" s="1"/>
  <c r="Q489" i="3" s="1"/>
  <c r="M490" i="3"/>
  <c r="P490" i="3" s="1"/>
  <c r="Q490" i="3" s="1"/>
  <c r="M491" i="3"/>
  <c r="P491" i="3" s="1"/>
  <c r="Q491" i="3" s="1"/>
  <c r="M492" i="3"/>
  <c r="P492" i="3" s="1"/>
  <c r="M493" i="3"/>
  <c r="P493" i="3" s="1"/>
  <c r="M494" i="3"/>
  <c r="P494" i="3" s="1"/>
  <c r="Q494" i="3" s="1"/>
  <c r="M495" i="3"/>
  <c r="P495" i="3" s="1"/>
  <c r="Q495" i="3" s="1"/>
  <c r="M496" i="3"/>
  <c r="P496" i="3" s="1"/>
  <c r="Q496" i="3" s="1"/>
  <c r="M497" i="3"/>
  <c r="P497" i="3" s="1"/>
  <c r="M498" i="3"/>
  <c r="P498" i="3" s="1"/>
  <c r="M499" i="3"/>
  <c r="P499" i="3" s="1"/>
  <c r="M500" i="3"/>
  <c r="P500" i="3" s="1"/>
  <c r="Q500" i="3" s="1"/>
  <c r="M501" i="3"/>
  <c r="P501" i="3" s="1"/>
  <c r="Q501" i="3" s="1"/>
  <c r="M502" i="3"/>
  <c r="P502" i="3" s="1"/>
  <c r="Q502" i="3" s="1"/>
  <c r="M503" i="3"/>
  <c r="P503" i="3" s="1"/>
  <c r="Q503" i="3" s="1"/>
  <c r="M504" i="3"/>
  <c r="P504" i="3" s="1"/>
  <c r="M505" i="3"/>
  <c r="P505" i="3" s="1"/>
  <c r="Q505" i="3" s="1"/>
  <c r="M506" i="3"/>
  <c r="P506" i="3" s="1"/>
  <c r="Q506" i="3" s="1"/>
  <c r="M507" i="3"/>
  <c r="P507" i="3" s="1"/>
  <c r="M508" i="3"/>
  <c r="P508" i="3" s="1"/>
  <c r="Q508" i="3" s="1"/>
  <c r="M509" i="3"/>
  <c r="P509" i="3" s="1"/>
  <c r="M510" i="3"/>
  <c r="P510" i="3" s="1"/>
  <c r="M511" i="3"/>
  <c r="P511" i="3" s="1"/>
  <c r="M512" i="3"/>
  <c r="P512" i="3" s="1"/>
  <c r="Q512" i="3" s="1"/>
  <c r="M513" i="3"/>
  <c r="P513" i="3" s="1"/>
  <c r="Q513" i="3" s="1"/>
  <c r="M514" i="3"/>
  <c r="P514" i="3" s="1"/>
  <c r="Q514" i="3" s="1"/>
  <c r="M515" i="3"/>
  <c r="P515" i="3" s="1"/>
  <c r="Q515" i="3" s="1"/>
  <c r="M516" i="3"/>
  <c r="P516" i="3" s="1"/>
  <c r="M517" i="3"/>
  <c r="P517" i="3" s="1"/>
  <c r="Q517" i="3" s="1"/>
  <c r="M518" i="3"/>
  <c r="P518" i="3" s="1"/>
  <c r="Q518" i="3" s="1"/>
  <c r="M519" i="3"/>
  <c r="P519" i="3" s="1"/>
  <c r="Q519" i="3" s="1"/>
  <c r="M520" i="3"/>
  <c r="P520" i="3" s="1"/>
  <c r="Q520" i="3" s="1"/>
  <c r="M521" i="3"/>
  <c r="P521" i="3" s="1"/>
  <c r="Q521" i="3" s="1"/>
  <c r="M522" i="3"/>
  <c r="P522" i="3" s="1"/>
  <c r="M523" i="3"/>
  <c r="P523" i="3" s="1"/>
  <c r="M524" i="3"/>
  <c r="P524" i="3" s="1"/>
  <c r="Q524" i="3" s="1"/>
  <c r="M525" i="3"/>
  <c r="P525" i="3" s="1"/>
  <c r="Q525" i="3" s="1"/>
  <c r="M526" i="3"/>
  <c r="P526" i="3" s="1"/>
  <c r="Q526" i="3" s="1"/>
  <c r="M527" i="3"/>
  <c r="P527" i="3" s="1"/>
  <c r="M528" i="3"/>
  <c r="P528" i="3" s="1"/>
  <c r="Q528" i="3" s="1"/>
  <c r="M529" i="3"/>
  <c r="P529" i="3" s="1"/>
  <c r="M530" i="3"/>
  <c r="P530" i="3" s="1"/>
  <c r="Q530" i="3" s="1"/>
  <c r="M531" i="3"/>
  <c r="P531" i="3" s="1"/>
  <c r="Q531" i="3" s="1"/>
  <c r="M532" i="3"/>
  <c r="P532" i="3" s="1"/>
  <c r="M533" i="3"/>
  <c r="P533" i="3" s="1"/>
  <c r="M534" i="3"/>
  <c r="P534" i="3" s="1"/>
  <c r="M535" i="3"/>
  <c r="P535" i="3" s="1"/>
  <c r="M536" i="3"/>
  <c r="P536" i="3" s="1"/>
  <c r="Q536" i="3" s="1"/>
  <c r="M537" i="3"/>
  <c r="P537" i="3" s="1"/>
  <c r="Q537" i="3" s="1"/>
  <c r="M538" i="3"/>
  <c r="P538" i="3" s="1"/>
  <c r="Q538" i="3" s="1"/>
  <c r="M539" i="3"/>
  <c r="P539" i="3" s="1"/>
  <c r="M540" i="3"/>
  <c r="P540" i="3" s="1"/>
  <c r="Q540" i="3" s="1"/>
  <c r="M541" i="3"/>
  <c r="P541" i="3" s="1"/>
  <c r="Q541" i="3" s="1"/>
  <c r="M542" i="3"/>
  <c r="P542" i="3" s="1"/>
  <c r="Q542" i="3" s="1"/>
  <c r="M543" i="3"/>
  <c r="P543" i="3" s="1"/>
  <c r="Q543" i="3" s="1"/>
  <c r="M544" i="3"/>
  <c r="P544" i="3" s="1"/>
  <c r="M545" i="3"/>
  <c r="P545" i="3" s="1"/>
  <c r="Q545" i="3" s="1"/>
  <c r="M546" i="3"/>
  <c r="P546" i="3" s="1"/>
  <c r="M547" i="3"/>
  <c r="P547" i="3" s="1"/>
  <c r="M548" i="3"/>
  <c r="P548" i="3" s="1"/>
  <c r="Q548" i="3" s="1"/>
  <c r="M549" i="3"/>
  <c r="P549" i="3" s="1"/>
  <c r="Q549" i="3" s="1"/>
  <c r="M550" i="3"/>
  <c r="P550" i="3" s="1"/>
  <c r="Q550" i="3" s="1"/>
  <c r="M551" i="3"/>
  <c r="P551" i="3" s="1"/>
  <c r="M552" i="3"/>
  <c r="P552" i="3" s="1"/>
  <c r="M553" i="3"/>
  <c r="P553" i="3" s="1"/>
  <c r="Q553" i="3" s="1"/>
  <c r="M554" i="3"/>
  <c r="P554" i="3" s="1"/>
  <c r="Q554" i="3" s="1"/>
  <c r="M555" i="3"/>
  <c r="P555" i="3" s="1"/>
  <c r="M556" i="3"/>
  <c r="P556" i="3" s="1"/>
  <c r="Q556" i="3" s="1"/>
  <c r="M557" i="3"/>
  <c r="P557" i="3" s="1"/>
  <c r="Q557" i="3" s="1"/>
  <c r="M558" i="3"/>
  <c r="P558" i="3" s="1"/>
  <c r="M559" i="3"/>
  <c r="P559" i="3" s="1"/>
  <c r="M560" i="3"/>
  <c r="P560" i="3" s="1"/>
  <c r="Q560" i="3" s="1"/>
  <c r="M561" i="3"/>
  <c r="P561" i="3" s="1"/>
  <c r="Q561" i="3" s="1"/>
  <c r="M562" i="3"/>
  <c r="P562" i="3" s="1"/>
  <c r="Q562" i="3" s="1"/>
  <c r="M563" i="3"/>
  <c r="P563" i="3" s="1"/>
  <c r="M564" i="3"/>
  <c r="P564" i="3" s="1"/>
  <c r="Q564" i="3" s="1"/>
  <c r="M565" i="3"/>
  <c r="P565" i="3" s="1"/>
  <c r="M566" i="3"/>
  <c r="P566" i="3" s="1"/>
  <c r="Q566" i="3" s="1"/>
  <c r="M567" i="3"/>
  <c r="P567" i="3" s="1"/>
  <c r="Q567" i="3" s="1"/>
  <c r="M568" i="3"/>
  <c r="P568" i="3" s="1"/>
  <c r="Q568" i="3" s="1"/>
  <c r="M569" i="3"/>
  <c r="P569" i="3" s="1"/>
  <c r="Q569" i="3" s="1"/>
  <c r="M570" i="3"/>
  <c r="P570" i="3" s="1"/>
  <c r="M571" i="3"/>
  <c r="P571" i="3" s="1"/>
  <c r="M572" i="3"/>
  <c r="P572" i="3" s="1"/>
  <c r="Q572" i="3" s="1"/>
  <c r="M573" i="3"/>
  <c r="P573" i="3" s="1"/>
  <c r="Q573" i="3" s="1"/>
  <c r="M574" i="3"/>
  <c r="P574" i="3" s="1"/>
  <c r="Q574" i="3" s="1"/>
  <c r="M575" i="3"/>
  <c r="P575" i="3" s="1"/>
  <c r="M576" i="3"/>
  <c r="P576" i="3" s="1"/>
  <c r="M577" i="3"/>
  <c r="P577" i="3" s="1"/>
  <c r="Q577" i="3" s="1"/>
  <c r="M578" i="3"/>
  <c r="P578" i="3" s="1"/>
  <c r="Q578" i="3" s="1"/>
  <c r="M579" i="3"/>
  <c r="P579" i="3" s="1"/>
  <c r="Q579" i="3" s="1"/>
  <c r="M580" i="3"/>
  <c r="P580" i="3" s="1"/>
  <c r="M581" i="3"/>
  <c r="P581" i="3" s="1"/>
  <c r="M582" i="3"/>
  <c r="P582" i="3" s="1"/>
  <c r="M583" i="3"/>
  <c r="P583" i="3" s="1"/>
  <c r="M584" i="3"/>
  <c r="P584" i="3" s="1"/>
  <c r="Q584" i="3" s="1"/>
  <c r="M585" i="3"/>
  <c r="P585" i="3" s="1"/>
  <c r="Q585" i="3" s="1"/>
  <c r="M586" i="3"/>
  <c r="P586" i="3" s="1"/>
  <c r="Q586" i="3" s="1"/>
  <c r="M587" i="3"/>
  <c r="P587" i="3" s="1"/>
  <c r="M588" i="3"/>
  <c r="P588" i="3" s="1"/>
  <c r="Q588" i="3" s="1"/>
  <c r="M589" i="3"/>
  <c r="P589" i="3" s="1"/>
  <c r="Q589" i="3" s="1"/>
  <c r="M590" i="3"/>
  <c r="P590" i="3" s="1"/>
  <c r="Q590" i="3" s="1"/>
  <c r="M591" i="3"/>
  <c r="P591" i="3" s="1"/>
  <c r="Q591" i="3" s="1"/>
  <c r="M592" i="3"/>
  <c r="P592" i="3" s="1"/>
  <c r="M593" i="3"/>
  <c r="P593" i="3" s="1"/>
  <c r="Q593" i="3" s="1"/>
  <c r="M594" i="3"/>
  <c r="P594" i="3" s="1"/>
  <c r="M595" i="3"/>
  <c r="P595" i="3" s="1"/>
  <c r="M596" i="3"/>
  <c r="P596" i="3" s="1"/>
  <c r="Q596" i="3" s="1"/>
  <c r="M597" i="3"/>
  <c r="P597" i="3" s="1"/>
  <c r="Q597" i="3" s="1"/>
  <c r="M598" i="3"/>
  <c r="P598" i="3" s="1"/>
  <c r="Q598" i="3" s="1"/>
  <c r="M599" i="3"/>
  <c r="P599" i="3" s="1"/>
  <c r="M600" i="3"/>
  <c r="P600" i="3" s="1"/>
  <c r="Q600" i="3" s="1"/>
  <c r="M601" i="3"/>
  <c r="P601" i="3" s="1"/>
  <c r="M602" i="3"/>
  <c r="P602" i="3" s="1"/>
  <c r="Q602" i="3" s="1"/>
  <c r="M603" i="3"/>
  <c r="P603" i="3" s="1"/>
  <c r="Q603" i="3" s="1"/>
  <c r="M604" i="3"/>
  <c r="P604" i="3" s="1"/>
  <c r="M605" i="3"/>
  <c r="P605" i="3" s="1"/>
  <c r="Q605" i="3" s="1"/>
  <c r="M606" i="3"/>
  <c r="P606" i="3" s="1"/>
  <c r="M607" i="3"/>
  <c r="P607" i="3" s="1"/>
  <c r="M608" i="3"/>
  <c r="P608" i="3" s="1"/>
  <c r="Q608" i="3" s="1"/>
  <c r="M609" i="3"/>
  <c r="P609" i="3" s="1"/>
  <c r="Q609" i="3" s="1"/>
  <c r="M610" i="3"/>
  <c r="P610" i="3" s="1"/>
  <c r="Q610" i="3" s="1"/>
  <c r="M611" i="3"/>
  <c r="P611" i="3" s="1"/>
  <c r="Q611" i="3" s="1"/>
  <c r="M612" i="3"/>
  <c r="P612" i="3" s="1"/>
  <c r="M613" i="3"/>
  <c r="P613" i="3" s="1"/>
  <c r="M614" i="3"/>
  <c r="P614" i="3" s="1"/>
  <c r="Q614" i="3" s="1"/>
  <c r="M615" i="3"/>
  <c r="P615" i="3" s="1"/>
  <c r="Q615" i="3" s="1"/>
  <c r="M616" i="3"/>
  <c r="P616" i="3" s="1"/>
  <c r="M617" i="3"/>
  <c r="P617" i="3" s="1"/>
  <c r="M618" i="3"/>
  <c r="P618" i="3" s="1"/>
  <c r="M619" i="3"/>
  <c r="P619" i="3" s="1"/>
  <c r="M620" i="3"/>
  <c r="P620" i="3" s="1"/>
  <c r="Q620" i="3" s="1"/>
  <c r="M621" i="3"/>
  <c r="P621" i="3" s="1"/>
  <c r="Q621" i="3" s="1"/>
  <c r="M622" i="3"/>
  <c r="P622" i="3" s="1"/>
  <c r="Q622" i="3" s="1"/>
  <c r="M623" i="3"/>
  <c r="P623" i="3" s="1"/>
  <c r="M624" i="3"/>
  <c r="P624" i="3" s="1"/>
  <c r="Q624" i="3" s="1"/>
  <c r="M625" i="3"/>
  <c r="P625" i="3" s="1"/>
  <c r="Q625" i="3" s="1"/>
  <c r="M626" i="3"/>
  <c r="P626" i="3" s="1"/>
  <c r="Q626" i="3" s="1"/>
  <c r="M627" i="3"/>
  <c r="P627" i="3" s="1"/>
  <c r="Q627" i="3" s="1"/>
  <c r="M628" i="3"/>
  <c r="P628" i="3" s="1"/>
  <c r="M629" i="3"/>
  <c r="P629" i="3" s="1"/>
  <c r="M630" i="3"/>
  <c r="P630" i="3" s="1"/>
  <c r="M631" i="3"/>
  <c r="P631" i="3" s="1"/>
  <c r="M632" i="3"/>
  <c r="P632" i="3" s="1"/>
  <c r="Q632" i="3" s="1"/>
  <c r="M633" i="3"/>
  <c r="P633" i="3" s="1"/>
  <c r="Q633" i="3" s="1"/>
  <c r="M634" i="3"/>
  <c r="P634" i="3" s="1"/>
  <c r="Q634" i="3" s="1"/>
  <c r="M635" i="3"/>
  <c r="P635" i="3" s="1"/>
  <c r="M636" i="3"/>
  <c r="P636" i="3" s="1"/>
  <c r="M637" i="3"/>
  <c r="P637" i="3" s="1"/>
  <c r="Q637" i="3" s="1"/>
  <c r="M638" i="3"/>
  <c r="P638" i="3" s="1"/>
  <c r="Q638" i="3" s="1"/>
  <c r="M639" i="3"/>
  <c r="P639" i="3" s="1"/>
  <c r="M640" i="3"/>
  <c r="P640" i="3" s="1"/>
  <c r="M641" i="3"/>
  <c r="P641" i="3" s="1"/>
  <c r="M642" i="3"/>
  <c r="P642" i="3" s="1"/>
  <c r="M643" i="3"/>
  <c r="P643" i="3" s="1"/>
  <c r="M644" i="3"/>
  <c r="P644" i="3" s="1"/>
  <c r="Q644" i="3" s="1"/>
  <c r="M645" i="3"/>
  <c r="P645" i="3" s="1"/>
  <c r="Q645" i="3" s="1"/>
  <c r="M646" i="3"/>
  <c r="P646" i="3" s="1"/>
  <c r="Q646" i="3" s="1"/>
  <c r="M647" i="3"/>
  <c r="P647" i="3" s="1"/>
  <c r="M648" i="3"/>
  <c r="P648" i="3" s="1"/>
  <c r="Q648" i="3" s="1"/>
  <c r="M649" i="3"/>
  <c r="P649" i="3" s="1"/>
  <c r="Q649" i="3" s="1"/>
  <c r="M650" i="3"/>
  <c r="P650" i="3" s="1"/>
  <c r="Q650" i="3" s="1"/>
  <c r="M651" i="3"/>
  <c r="P651" i="3" s="1"/>
  <c r="Q651" i="3" s="1"/>
  <c r="M652" i="3"/>
  <c r="P652" i="3" s="1"/>
  <c r="Q652" i="3" s="1"/>
  <c r="M653" i="3"/>
  <c r="P653" i="3" s="1"/>
  <c r="M654" i="3"/>
  <c r="P654" i="3" s="1"/>
  <c r="M655" i="3"/>
  <c r="P655" i="3" s="1"/>
  <c r="M656" i="3"/>
  <c r="P656" i="3" s="1"/>
  <c r="Q656" i="3" s="1"/>
  <c r="M657" i="3"/>
  <c r="P657" i="3" s="1"/>
  <c r="Q657" i="3" s="1"/>
  <c r="M658" i="3"/>
  <c r="P658" i="3" s="1"/>
  <c r="Q658" i="3" s="1"/>
  <c r="M659" i="3"/>
  <c r="P659" i="3" s="1"/>
  <c r="M660" i="3"/>
  <c r="P660" i="3" s="1"/>
  <c r="Q660" i="3" s="1"/>
  <c r="M661" i="3"/>
  <c r="P661" i="3" s="1"/>
  <c r="Q661" i="3" s="1"/>
  <c r="M662" i="3"/>
  <c r="P662" i="3" s="1"/>
  <c r="Q662" i="3" s="1"/>
  <c r="M663" i="3"/>
  <c r="P663" i="3" s="1"/>
  <c r="Q663" i="3" s="1"/>
  <c r="M664" i="3"/>
  <c r="P664" i="3" s="1"/>
  <c r="M665" i="3"/>
  <c r="P665" i="3" s="1"/>
  <c r="Q665" i="3" s="1"/>
  <c r="M666" i="3"/>
  <c r="P666" i="3" s="1"/>
  <c r="M667" i="3"/>
  <c r="P667" i="3" s="1"/>
  <c r="M668" i="3"/>
  <c r="P668" i="3" s="1"/>
  <c r="Q668" i="3" s="1"/>
  <c r="M669" i="3"/>
  <c r="P669" i="3" s="1"/>
  <c r="Q669" i="3" s="1"/>
  <c r="M670" i="3"/>
  <c r="P670" i="3" s="1"/>
  <c r="Q670" i="3" s="1"/>
  <c r="M671" i="3"/>
  <c r="P671" i="3" s="1"/>
  <c r="Q671" i="3" s="1"/>
  <c r="M672" i="3"/>
  <c r="P672" i="3" s="1"/>
  <c r="Q672" i="3" s="1"/>
  <c r="M673" i="3"/>
  <c r="P673" i="3" s="1"/>
  <c r="M674" i="3"/>
  <c r="P674" i="3" s="1"/>
  <c r="Q674" i="3" s="1"/>
  <c r="M675" i="3"/>
  <c r="P675" i="3" s="1"/>
  <c r="M676" i="3"/>
  <c r="P676" i="3" s="1"/>
  <c r="M677" i="3"/>
  <c r="P677" i="3" s="1"/>
  <c r="Q677" i="3" s="1"/>
  <c r="M678" i="3"/>
  <c r="P678" i="3" s="1"/>
  <c r="M679" i="3"/>
  <c r="P679" i="3" s="1"/>
  <c r="M680" i="3"/>
  <c r="P680" i="3" s="1"/>
  <c r="Q680" i="3" s="1"/>
  <c r="M681" i="3"/>
  <c r="P681" i="3" s="1"/>
  <c r="Q681" i="3" s="1"/>
  <c r="M682" i="3"/>
  <c r="P682" i="3" s="1"/>
  <c r="Q682" i="3" s="1"/>
  <c r="M683" i="3"/>
  <c r="P683" i="3" s="1"/>
  <c r="M684" i="3"/>
  <c r="P684" i="3" s="1"/>
  <c r="M685" i="3"/>
  <c r="P685" i="3" s="1"/>
  <c r="Q685" i="3" s="1"/>
  <c r="M686" i="3"/>
  <c r="P686" i="3" s="1"/>
  <c r="Q686" i="3" s="1"/>
  <c r="M687" i="3"/>
  <c r="P687" i="3" s="1"/>
  <c r="Q687" i="3" s="1"/>
  <c r="M688" i="3"/>
  <c r="P688" i="3" s="1"/>
  <c r="Q688" i="3" s="1"/>
  <c r="M689" i="3"/>
  <c r="P689" i="3" s="1"/>
  <c r="Q689" i="3" s="1"/>
  <c r="M690" i="3"/>
  <c r="P690" i="3" s="1"/>
  <c r="M691" i="3"/>
  <c r="P691" i="3" s="1"/>
  <c r="M692" i="3"/>
  <c r="P692" i="3" s="1"/>
  <c r="Q692" i="3" s="1"/>
  <c r="M693" i="3"/>
  <c r="P693" i="3" s="1"/>
  <c r="Q693" i="3" s="1"/>
  <c r="M694" i="3"/>
  <c r="P694" i="3" s="1"/>
  <c r="Q694" i="3" s="1"/>
  <c r="M695" i="3"/>
  <c r="P695" i="3" s="1"/>
  <c r="Q695" i="3" s="1"/>
  <c r="M696" i="3"/>
  <c r="P696" i="3" s="1"/>
  <c r="M697" i="3"/>
  <c r="P697" i="3" s="1"/>
  <c r="M698" i="3"/>
  <c r="P698" i="3" s="1"/>
  <c r="Q698" i="3" s="1"/>
  <c r="M699" i="3"/>
  <c r="P699" i="3" s="1"/>
  <c r="Q699" i="3" s="1"/>
  <c r="M700" i="3"/>
  <c r="P700" i="3" s="1"/>
  <c r="M701" i="3"/>
  <c r="P701" i="3" s="1"/>
  <c r="M702" i="3"/>
  <c r="P702" i="3" s="1"/>
  <c r="M703" i="3"/>
  <c r="P703" i="3" s="1"/>
  <c r="M704" i="3"/>
  <c r="P704" i="3" s="1"/>
  <c r="Q704" i="3" s="1"/>
  <c r="M705" i="3"/>
  <c r="P705" i="3" s="1"/>
  <c r="Q705" i="3" s="1"/>
  <c r="M706" i="3"/>
  <c r="P706" i="3" s="1"/>
  <c r="Q706" i="3" s="1"/>
  <c r="M707" i="3"/>
  <c r="P707" i="3" s="1"/>
  <c r="Q707" i="3" s="1"/>
  <c r="M708" i="3"/>
  <c r="P708" i="3" s="1"/>
  <c r="Q708" i="3" s="1"/>
  <c r="M709" i="3"/>
  <c r="P709" i="3" s="1"/>
  <c r="Q709" i="3" s="1"/>
  <c r="M710" i="3"/>
  <c r="P710" i="3" s="1"/>
  <c r="Q710" i="3" s="1"/>
  <c r="M711" i="3"/>
  <c r="P711" i="3" s="1"/>
  <c r="Q711" i="3" s="1"/>
  <c r="M712" i="3"/>
  <c r="P712" i="3" s="1"/>
  <c r="Q712" i="3" s="1"/>
  <c r="M713" i="3"/>
  <c r="P713" i="3" s="1"/>
  <c r="M714" i="3"/>
  <c r="P714" i="3" s="1"/>
  <c r="M715" i="3"/>
  <c r="P715" i="3" s="1"/>
  <c r="M716" i="3"/>
  <c r="P716" i="3" s="1"/>
  <c r="Q716" i="3" s="1"/>
  <c r="M717" i="3"/>
  <c r="P717" i="3" s="1"/>
  <c r="Q717" i="3" s="1"/>
  <c r="M718" i="3"/>
  <c r="P718" i="3" s="1"/>
  <c r="Q718" i="3" s="1"/>
  <c r="M719" i="3"/>
  <c r="P719" i="3" s="1"/>
  <c r="Q719" i="3" s="1"/>
  <c r="M720" i="3"/>
  <c r="P720" i="3" s="1"/>
  <c r="Q720" i="3" s="1"/>
  <c r="M721" i="3"/>
  <c r="P721" i="3" s="1"/>
  <c r="Q721" i="3" s="1"/>
  <c r="M722" i="3"/>
  <c r="P722" i="3" s="1"/>
  <c r="Q722" i="3" s="1"/>
  <c r="M723" i="3"/>
  <c r="P723" i="3" s="1"/>
  <c r="Q723" i="3" s="1"/>
  <c r="M724" i="3"/>
  <c r="P724" i="3" s="1"/>
  <c r="M725" i="3"/>
  <c r="P725" i="3" s="1"/>
  <c r="Q725" i="3" s="1"/>
  <c r="M726" i="3"/>
  <c r="P726" i="3" s="1"/>
  <c r="M727" i="3"/>
  <c r="P727" i="3" s="1"/>
  <c r="Q727" i="3" s="1"/>
  <c r="M728" i="3"/>
  <c r="P728" i="3" s="1"/>
  <c r="Q728" i="3" s="1"/>
  <c r="M729" i="3"/>
  <c r="P729" i="3" s="1"/>
  <c r="Q729" i="3" s="1"/>
  <c r="M730" i="3"/>
  <c r="P730" i="3" s="1"/>
  <c r="Q730" i="3" s="1"/>
  <c r="M731" i="3"/>
  <c r="P731" i="3" s="1"/>
  <c r="M732" i="3"/>
  <c r="P732" i="3" s="1"/>
  <c r="M733" i="3"/>
  <c r="P733" i="3" s="1"/>
  <c r="M734" i="3"/>
  <c r="P734" i="3" s="1"/>
  <c r="Q734" i="3" s="1"/>
  <c r="M735" i="3"/>
  <c r="P735" i="3" s="1"/>
  <c r="Q735" i="3" s="1"/>
  <c r="M736" i="3"/>
  <c r="P736" i="3" s="1"/>
  <c r="Q736" i="3" s="1"/>
  <c r="M737" i="3"/>
  <c r="P737" i="3" s="1"/>
  <c r="Q737" i="3" s="1"/>
  <c r="M738" i="3"/>
  <c r="P738" i="3" s="1"/>
  <c r="M739" i="3"/>
  <c r="P739" i="3" s="1"/>
  <c r="M740" i="3"/>
  <c r="P740" i="3" s="1"/>
  <c r="Q740" i="3" s="1"/>
  <c r="M741" i="3"/>
  <c r="P741" i="3" s="1"/>
  <c r="Q741" i="3" s="1"/>
  <c r="M742" i="3"/>
  <c r="P742" i="3" s="1"/>
  <c r="Q742" i="3" s="1"/>
  <c r="M743" i="3"/>
  <c r="P743" i="3" s="1"/>
  <c r="M744" i="3"/>
  <c r="P744" i="3" s="1"/>
  <c r="M745" i="3"/>
  <c r="P745" i="3" s="1"/>
  <c r="Q745" i="3" s="1"/>
  <c r="M746" i="3"/>
  <c r="P746" i="3" s="1"/>
  <c r="Q746" i="3" s="1"/>
  <c r="M747" i="3"/>
  <c r="P747" i="3" s="1"/>
  <c r="Q747" i="3" s="1"/>
  <c r="M748" i="3"/>
  <c r="P748" i="3" s="1"/>
  <c r="M749" i="3"/>
  <c r="P749" i="3" s="1"/>
  <c r="M750" i="3"/>
  <c r="P750" i="3" s="1"/>
  <c r="M751" i="3"/>
  <c r="P751" i="3" s="1"/>
  <c r="M752" i="3"/>
  <c r="P752" i="3" s="1"/>
  <c r="Q752" i="3" s="1"/>
  <c r="M753" i="3"/>
  <c r="P753" i="3" s="1"/>
  <c r="Q753" i="3" s="1"/>
  <c r="M754" i="3"/>
  <c r="P754" i="3" s="1"/>
  <c r="Q754" i="3" s="1"/>
  <c r="M755" i="3"/>
  <c r="P755" i="3" s="1"/>
  <c r="Q755" i="3" s="1"/>
  <c r="M756" i="3"/>
  <c r="P756" i="3" s="1"/>
  <c r="M757" i="3"/>
  <c r="P757" i="3" s="1"/>
  <c r="Q757" i="3" s="1"/>
  <c r="M758" i="3"/>
  <c r="P758" i="3" s="1"/>
  <c r="Q758" i="3" s="1"/>
  <c r="M759" i="3"/>
  <c r="P759" i="3" s="1"/>
  <c r="Q759" i="3" s="1"/>
  <c r="M760" i="3"/>
  <c r="P760" i="3" s="1"/>
  <c r="M761" i="3"/>
  <c r="P761" i="3" s="1"/>
  <c r="M762" i="3"/>
  <c r="P762" i="3" s="1"/>
  <c r="M763" i="3"/>
  <c r="P763" i="3" s="1"/>
  <c r="M764" i="3"/>
  <c r="P764" i="3" s="1"/>
  <c r="Q764" i="3" s="1"/>
  <c r="M765" i="3"/>
  <c r="P765" i="3" s="1"/>
  <c r="Q765" i="3" s="1"/>
  <c r="M766" i="3"/>
  <c r="P766" i="3" s="1"/>
  <c r="Q766" i="3" s="1"/>
  <c r="M767" i="3"/>
  <c r="P767" i="3" s="1"/>
  <c r="M768" i="3"/>
  <c r="P768" i="3" s="1"/>
  <c r="M769" i="3"/>
  <c r="P769" i="3" s="1"/>
  <c r="Q769" i="3" s="1"/>
  <c r="M770" i="3"/>
  <c r="P770" i="3" s="1"/>
  <c r="Q770" i="3" s="1"/>
  <c r="M771" i="3"/>
  <c r="P771" i="3" s="1"/>
  <c r="Q771" i="3" s="1"/>
  <c r="M772" i="3"/>
  <c r="P772" i="3" s="1"/>
  <c r="M773" i="3"/>
  <c r="P773" i="3" s="1"/>
  <c r="Q773" i="3" s="1"/>
  <c r="M774" i="3"/>
  <c r="P774" i="3" s="1"/>
  <c r="M775" i="3"/>
  <c r="P775" i="3" s="1"/>
  <c r="M776" i="3"/>
  <c r="P776" i="3" s="1"/>
  <c r="Q776" i="3" s="1"/>
  <c r="M777" i="3"/>
  <c r="P777" i="3" s="1"/>
  <c r="Q777" i="3" s="1"/>
  <c r="M778" i="3"/>
  <c r="P778" i="3" s="1"/>
  <c r="Q778" i="3" s="1"/>
  <c r="M779" i="3"/>
  <c r="P779" i="3" s="1"/>
  <c r="M780" i="3"/>
  <c r="P780" i="3" s="1"/>
  <c r="Q780" i="3" s="1"/>
  <c r="M781" i="3"/>
  <c r="P781" i="3" s="1"/>
  <c r="M782" i="3"/>
  <c r="P782" i="3" s="1"/>
  <c r="Q782" i="3" s="1"/>
  <c r="M783" i="3"/>
  <c r="P783" i="3" s="1"/>
  <c r="M784" i="3"/>
  <c r="P784" i="3" s="1"/>
  <c r="Q784" i="3" s="1"/>
  <c r="M785" i="3"/>
  <c r="P785" i="3" s="1"/>
  <c r="Q785" i="3" s="1"/>
  <c r="M786" i="3"/>
  <c r="P786" i="3" s="1"/>
  <c r="M787" i="3"/>
  <c r="P787" i="3" s="1"/>
  <c r="M788" i="3"/>
  <c r="P788" i="3" s="1"/>
  <c r="Q788" i="3" s="1"/>
  <c r="M789" i="3"/>
  <c r="P789" i="3" s="1"/>
  <c r="Q789" i="3" s="1"/>
  <c r="M790" i="3"/>
  <c r="P790" i="3" s="1"/>
  <c r="Q790" i="3" s="1"/>
  <c r="M791" i="3"/>
  <c r="P791" i="3" s="1"/>
  <c r="Q791" i="3" s="1"/>
  <c r="M792" i="3"/>
  <c r="P792" i="3" s="1"/>
  <c r="M793" i="3"/>
  <c r="P793" i="3" s="1"/>
  <c r="Q793" i="3" s="1"/>
  <c r="M794" i="3"/>
  <c r="P794" i="3" s="1"/>
  <c r="Q794" i="3" s="1"/>
  <c r="M795" i="3"/>
  <c r="P795" i="3" s="1"/>
  <c r="Q795" i="3" s="1"/>
  <c r="M796" i="3"/>
  <c r="P796" i="3" s="1"/>
  <c r="M797" i="3"/>
  <c r="P797" i="3" s="1"/>
  <c r="Q797" i="3" s="1"/>
  <c r="M798" i="3"/>
  <c r="P798" i="3" s="1"/>
  <c r="M799" i="3"/>
  <c r="P799" i="3" s="1"/>
  <c r="M800" i="3"/>
  <c r="P800" i="3" s="1"/>
  <c r="Q800" i="3" s="1"/>
  <c r="M801" i="3"/>
  <c r="P801" i="3" s="1"/>
  <c r="Q801" i="3" s="1"/>
  <c r="M802" i="3"/>
  <c r="P802" i="3" s="1"/>
  <c r="Q802" i="3" s="1"/>
  <c r="M803" i="3"/>
  <c r="P803" i="3" s="1"/>
  <c r="M804" i="3"/>
  <c r="P804" i="3" s="1"/>
  <c r="M805" i="3"/>
  <c r="P805" i="3" s="1"/>
  <c r="M806" i="3"/>
  <c r="P806" i="3" s="1"/>
  <c r="Q806" i="3" s="1"/>
  <c r="M807" i="3"/>
  <c r="P807" i="3" s="1"/>
  <c r="Q807" i="3" s="1"/>
  <c r="M808" i="3"/>
  <c r="P808" i="3" s="1"/>
  <c r="M809" i="3"/>
  <c r="P809" i="3" s="1"/>
  <c r="M810" i="3"/>
  <c r="P810" i="3" s="1"/>
  <c r="M811" i="3"/>
  <c r="P811" i="3" s="1"/>
  <c r="M812" i="3"/>
  <c r="P812" i="3" s="1"/>
  <c r="Q812" i="3" s="1"/>
  <c r="M813" i="3"/>
  <c r="P813" i="3" s="1"/>
  <c r="Q813" i="3" s="1"/>
  <c r="M814" i="3"/>
  <c r="P814" i="3" s="1"/>
  <c r="Q814" i="3" s="1"/>
  <c r="M815" i="3"/>
  <c r="P815" i="3" s="1"/>
  <c r="Q815" i="3" s="1"/>
  <c r="M816" i="3"/>
  <c r="P816" i="3" s="1"/>
  <c r="Q816" i="3" s="1"/>
  <c r="M817" i="3"/>
  <c r="P817" i="3" s="1"/>
  <c r="Q817" i="3" s="1"/>
  <c r="M818" i="3"/>
  <c r="P818" i="3" s="1"/>
  <c r="Q818" i="3" s="1"/>
  <c r="M819" i="3"/>
  <c r="P819" i="3" s="1"/>
  <c r="M820" i="3"/>
  <c r="P820" i="3" s="1"/>
  <c r="M821" i="3"/>
  <c r="P821" i="3" s="1"/>
  <c r="Q821" i="3" s="1"/>
  <c r="M822" i="3"/>
  <c r="P822" i="3" s="1"/>
  <c r="M823" i="3"/>
  <c r="P823" i="3" s="1"/>
  <c r="M824" i="3"/>
  <c r="P824" i="3" s="1"/>
  <c r="Q824" i="3" s="1"/>
  <c r="M825" i="3"/>
  <c r="P825" i="3" s="1"/>
  <c r="Q825" i="3" s="1"/>
  <c r="M826" i="3"/>
  <c r="P826" i="3" s="1"/>
  <c r="Q826" i="3" s="1"/>
  <c r="M827" i="3"/>
  <c r="P827" i="3" s="1"/>
  <c r="M828" i="3"/>
  <c r="P828" i="3" s="1"/>
  <c r="Q828" i="3" s="1"/>
  <c r="M829" i="3"/>
  <c r="P829" i="3" s="1"/>
  <c r="Q829" i="3" s="1"/>
  <c r="M830" i="3"/>
  <c r="P830" i="3" s="1"/>
  <c r="Q830" i="3" s="1"/>
  <c r="M831" i="3"/>
  <c r="P831" i="3" s="1"/>
  <c r="Q831" i="3" s="1"/>
  <c r="M832" i="3"/>
  <c r="P832" i="3" s="1"/>
  <c r="M833" i="3"/>
  <c r="P833" i="3" s="1"/>
  <c r="M834" i="3"/>
  <c r="P834" i="3" s="1"/>
  <c r="M835" i="3"/>
  <c r="P835" i="3" s="1"/>
  <c r="M836" i="3"/>
  <c r="P836" i="3" s="1"/>
  <c r="Q836" i="3" s="1"/>
  <c r="M837" i="3"/>
  <c r="P837" i="3" s="1"/>
  <c r="Q837" i="3" s="1"/>
  <c r="M838" i="3"/>
  <c r="P838" i="3" s="1"/>
  <c r="Q838" i="3" s="1"/>
  <c r="M839" i="3"/>
  <c r="P839" i="3" s="1"/>
  <c r="Q839" i="3" s="1"/>
  <c r="M840" i="3"/>
  <c r="P840" i="3" s="1"/>
  <c r="M841" i="3"/>
  <c r="P841" i="3" s="1"/>
  <c r="M842" i="3"/>
  <c r="P842" i="3" s="1"/>
  <c r="Q842" i="3" s="1"/>
  <c r="M843" i="3"/>
  <c r="P843" i="3" s="1"/>
  <c r="Q843" i="3" s="1"/>
  <c r="M844" i="3"/>
  <c r="P844" i="3" s="1"/>
  <c r="M845" i="3"/>
  <c r="P845" i="3" s="1"/>
  <c r="Q845" i="3" s="1"/>
  <c r="M846" i="3"/>
  <c r="P846" i="3" s="1"/>
  <c r="M847" i="3"/>
  <c r="P847" i="3" s="1"/>
  <c r="M848" i="3"/>
  <c r="P848" i="3" s="1"/>
  <c r="Q848" i="3" s="1"/>
  <c r="M849" i="3"/>
  <c r="P849" i="3" s="1"/>
  <c r="Q849" i="3" s="1"/>
  <c r="M850" i="3"/>
  <c r="P850" i="3" s="1"/>
  <c r="Q850" i="3" s="1"/>
  <c r="M851" i="3"/>
  <c r="P851" i="3" s="1"/>
  <c r="M852" i="3"/>
  <c r="P852" i="3" s="1"/>
  <c r="M853" i="3"/>
  <c r="P853" i="3" s="1"/>
  <c r="M854" i="3"/>
  <c r="P854" i="3" s="1"/>
  <c r="Q854" i="3" s="1"/>
  <c r="M855" i="3"/>
  <c r="M856" i="3"/>
  <c r="P856" i="3" s="1"/>
  <c r="M857" i="3"/>
  <c r="P857" i="3" s="1"/>
  <c r="Q857" i="3" s="1"/>
  <c r="M858" i="3"/>
  <c r="P858" i="3" s="1"/>
  <c r="M859" i="3"/>
  <c r="P859" i="3" s="1"/>
  <c r="M860" i="3"/>
  <c r="P860" i="3" s="1"/>
  <c r="Q860" i="3" s="1"/>
  <c r="M861" i="3"/>
  <c r="P861" i="3" s="1"/>
  <c r="Q861" i="3" s="1"/>
  <c r="M862" i="3"/>
  <c r="P862" i="3" s="1"/>
  <c r="Q862" i="3" s="1"/>
  <c r="M863" i="3"/>
  <c r="P863" i="3" s="1"/>
  <c r="M864" i="3"/>
  <c r="P864" i="3" s="1"/>
  <c r="M865" i="3"/>
  <c r="P865" i="3" s="1"/>
  <c r="Q865" i="3" s="1"/>
  <c r="M866" i="3"/>
  <c r="P866" i="3" s="1"/>
  <c r="Q866" i="3" s="1"/>
  <c r="M867" i="3"/>
  <c r="P867" i="3" s="1"/>
  <c r="Q867" i="3" s="1"/>
  <c r="M868" i="3"/>
  <c r="P868" i="3" s="1"/>
  <c r="M869" i="3"/>
  <c r="P869" i="3" s="1"/>
  <c r="Q869" i="3" s="1"/>
  <c r="M870" i="3"/>
  <c r="P870" i="3" s="1"/>
  <c r="M871" i="3"/>
  <c r="P871" i="3" s="1"/>
  <c r="M872" i="3"/>
  <c r="P872" i="3" s="1"/>
  <c r="Q872" i="3" s="1"/>
  <c r="M873" i="3"/>
  <c r="P873" i="3" s="1"/>
  <c r="Q873" i="3" s="1"/>
  <c r="M874" i="3"/>
  <c r="P874" i="3" s="1"/>
  <c r="Q874" i="3" s="1"/>
  <c r="M875" i="3"/>
  <c r="P875" i="3" s="1"/>
  <c r="Q875" i="3" s="1"/>
  <c r="M876" i="3"/>
  <c r="P876" i="3" s="1"/>
  <c r="Q876" i="3" s="1"/>
  <c r="M877" i="3"/>
  <c r="P877" i="3" s="1"/>
  <c r="Q877" i="3" s="1"/>
  <c r="M878" i="3"/>
  <c r="P878" i="3" s="1"/>
  <c r="Q878" i="3" s="1"/>
  <c r="M879" i="3"/>
  <c r="P879" i="3" s="1"/>
  <c r="Q879" i="3" s="1"/>
  <c r="M880" i="3"/>
  <c r="P880" i="3" s="1"/>
  <c r="Q880" i="3" s="1"/>
  <c r="M881" i="3"/>
  <c r="P881" i="3" s="1"/>
  <c r="Q881" i="3" s="1"/>
  <c r="M882" i="3"/>
  <c r="P882" i="3" s="1"/>
  <c r="M883" i="3"/>
  <c r="P883" i="3" s="1"/>
  <c r="M884" i="3"/>
  <c r="P884" i="3" s="1"/>
  <c r="Q884" i="3" s="1"/>
  <c r="M885" i="3"/>
  <c r="P885" i="3" s="1"/>
  <c r="Q885" i="3" s="1"/>
  <c r="M886" i="3"/>
  <c r="P886" i="3" s="1"/>
  <c r="Q886" i="3" s="1"/>
  <c r="M887" i="3"/>
  <c r="P887" i="3" s="1"/>
  <c r="M888" i="3"/>
  <c r="P888" i="3" s="1"/>
  <c r="M889" i="3"/>
  <c r="P889" i="3" s="1"/>
  <c r="Q889" i="3" s="1"/>
  <c r="M890" i="3"/>
  <c r="P890" i="3" s="1"/>
  <c r="Q890" i="3" s="1"/>
  <c r="M891" i="3"/>
  <c r="P891" i="3" s="1"/>
  <c r="Q891" i="3" s="1"/>
  <c r="M892" i="3"/>
  <c r="P892" i="3" s="1"/>
  <c r="M893" i="3"/>
  <c r="P893" i="3" s="1"/>
  <c r="Q893" i="3" s="1"/>
  <c r="M894" i="3"/>
  <c r="P894" i="3" s="1"/>
  <c r="M895" i="3"/>
  <c r="P895" i="3" s="1"/>
  <c r="M896" i="3"/>
  <c r="P896" i="3" s="1"/>
  <c r="Q896" i="3" s="1"/>
  <c r="M897" i="3"/>
  <c r="P897" i="3" s="1"/>
  <c r="Q897" i="3" s="1"/>
  <c r="M898" i="3"/>
  <c r="P898" i="3" s="1"/>
  <c r="Q898" i="3" s="1"/>
  <c r="M899" i="3"/>
  <c r="P899" i="3" s="1"/>
  <c r="Q899" i="3" s="1"/>
  <c r="M900" i="3"/>
  <c r="P900" i="3" s="1"/>
  <c r="M901" i="3"/>
  <c r="P901" i="3" s="1"/>
  <c r="M902" i="3"/>
  <c r="P902" i="3" s="1"/>
  <c r="Q902" i="3" s="1"/>
  <c r="M903" i="3"/>
  <c r="P903" i="3" s="1"/>
  <c r="Q903" i="3" s="1"/>
  <c r="M904" i="3"/>
  <c r="P904" i="3" s="1"/>
  <c r="M905" i="3"/>
  <c r="P905" i="3" s="1"/>
  <c r="M906" i="3"/>
  <c r="P906" i="3" s="1"/>
  <c r="M907" i="3"/>
  <c r="P907" i="3" s="1"/>
  <c r="M908" i="3"/>
  <c r="P908" i="3" s="1"/>
  <c r="Q908" i="3" s="1"/>
  <c r="M909" i="3"/>
  <c r="P909" i="3" s="1"/>
  <c r="Q909" i="3" s="1"/>
  <c r="M910" i="3"/>
  <c r="P910" i="3" s="1"/>
  <c r="Q910" i="3" s="1"/>
  <c r="M911" i="3"/>
  <c r="P911" i="3" s="1"/>
  <c r="Q911" i="3" s="1"/>
  <c r="M912" i="3"/>
  <c r="P912" i="3" s="1"/>
  <c r="Q912" i="3" s="1"/>
  <c r="M913" i="3"/>
  <c r="P913" i="3" s="1"/>
  <c r="Q913" i="3" s="1"/>
  <c r="M914" i="3"/>
  <c r="P914" i="3" s="1"/>
  <c r="Q914" i="3" s="1"/>
  <c r="M915" i="3"/>
  <c r="P915" i="3" s="1"/>
  <c r="Q915" i="3" s="1"/>
  <c r="M916" i="3"/>
  <c r="P916" i="3" s="1"/>
  <c r="Q916" i="3" s="1"/>
  <c r="M917" i="3"/>
  <c r="P917" i="3" s="1"/>
  <c r="M918" i="3"/>
  <c r="P918" i="3" s="1"/>
  <c r="M919" i="3"/>
  <c r="P919" i="3" s="1"/>
  <c r="M920" i="3"/>
  <c r="P920" i="3" s="1"/>
  <c r="Q920" i="3" s="1"/>
  <c r="M921" i="3"/>
  <c r="P921" i="3" s="1"/>
  <c r="Q921" i="3" s="1"/>
  <c r="M922" i="3"/>
  <c r="P922" i="3" s="1"/>
  <c r="Q922" i="3" s="1"/>
  <c r="M923" i="3"/>
  <c r="P923" i="3" s="1"/>
  <c r="Q923" i="3" s="1"/>
  <c r="M924" i="3"/>
  <c r="P924" i="3" s="1"/>
  <c r="M925" i="3"/>
  <c r="P925" i="3" s="1"/>
  <c r="M926" i="3"/>
  <c r="P926" i="3" s="1"/>
  <c r="Q926" i="3" s="1"/>
  <c r="M927" i="3"/>
  <c r="P927" i="3" s="1"/>
  <c r="Q927" i="3" s="1"/>
  <c r="M928" i="3"/>
  <c r="P928" i="3" s="1"/>
  <c r="Q928" i="3" s="1"/>
  <c r="M929" i="3"/>
  <c r="P929" i="3" s="1"/>
  <c r="M930" i="3"/>
  <c r="P930" i="3" s="1"/>
  <c r="M931" i="3"/>
  <c r="P931" i="3" s="1"/>
  <c r="M932" i="3"/>
  <c r="P932" i="3" s="1"/>
  <c r="Q932" i="3" s="1"/>
  <c r="M933" i="3"/>
  <c r="P933" i="3" s="1"/>
  <c r="Q933" i="3" s="1"/>
  <c r="M934" i="3"/>
  <c r="P934" i="3" s="1"/>
  <c r="Q934" i="3" s="1"/>
  <c r="M935" i="3"/>
  <c r="P935" i="3" s="1"/>
  <c r="M936" i="3"/>
  <c r="P936" i="3" s="1"/>
  <c r="M937" i="3"/>
  <c r="P937" i="3" s="1"/>
  <c r="Q937" i="3" s="1"/>
  <c r="M938" i="3"/>
  <c r="P938" i="3" s="1"/>
  <c r="Q938" i="3" s="1"/>
  <c r="M939" i="3"/>
  <c r="M940" i="3"/>
  <c r="P940" i="3" s="1"/>
  <c r="Q940" i="3" s="1"/>
  <c r="M941" i="3"/>
  <c r="P941" i="3" s="1"/>
  <c r="Q941" i="3" s="1"/>
  <c r="M942" i="3"/>
  <c r="P942" i="3" s="1"/>
  <c r="M943" i="3"/>
  <c r="P943" i="3" s="1"/>
  <c r="M944" i="3"/>
  <c r="P944" i="3" s="1"/>
  <c r="Q944" i="3" s="1"/>
  <c r="M945" i="3"/>
  <c r="P945" i="3" s="1"/>
  <c r="Q945" i="3" s="1"/>
  <c r="M946" i="3"/>
  <c r="P946" i="3" s="1"/>
  <c r="Q946" i="3" s="1"/>
  <c r="M947" i="3"/>
  <c r="P947" i="3" s="1"/>
  <c r="M948" i="3"/>
  <c r="P948" i="3" s="1"/>
  <c r="M949" i="3"/>
  <c r="P949" i="3" s="1"/>
  <c r="M950" i="3"/>
  <c r="P950" i="3" s="1"/>
  <c r="Q950" i="3" s="1"/>
  <c r="M951" i="3"/>
  <c r="P951" i="3" s="1"/>
  <c r="Q951" i="3" s="1"/>
  <c r="M952" i="3"/>
  <c r="P952" i="3" s="1"/>
  <c r="M953" i="3"/>
  <c r="P953" i="3" s="1"/>
  <c r="M954" i="3"/>
  <c r="P954" i="3" s="1"/>
  <c r="M955" i="3"/>
  <c r="P955" i="3" s="1"/>
  <c r="M956" i="3"/>
  <c r="P956" i="3" s="1"/>
  <c r="Q956" i="3" s="1"/>
  <c r="M957" i="3"/>
  <c r="P957" i="3" s="1"/>
  <c r="Q957" i="3" s="1"/>
  <c r="M958" i="3"/>
  <c r="P958" i="3" s="1"/>
  <c r="Q958" i="3" s="1"/>
  <c r="M959" i="3"/>
  <c r="P959" i="3" s="1"/>
  <c r="M960" i="3"/>
  <c r="P960" i="3" s="1"/>
  <c r="Q960" i="3" s="1"/>
  <c r="M961" i="3"/>
  <c r="P961" i="3" s="1"/>
  <c r="Q961" i="3" s="1"/>
  <c r="M962" i="3"/>
  <c r="P962" i="3" s="1"/>
  <c r="Q962" i="3" s="1"/>
  <c r="M963" i="3"/>
  <c r="P963" i="3" s="1"/>
  <c r="Q963" i="3" s="1"/>
  <c r="M964" i="3"/>
  <c r="P964" i="3" s="1"/>
  <c r="Q964" i="3" s="1"/>
  <c r="M965" i="3"/>
  <c r="P965" i="3" s="1"/>
  <c r="M966" i="3"/>
  <c r="P966" i="3" s="1"/>
  <c r="M967" i="3"/>
  <c r="P967" i="3" s="1"/>
  <c r="M968" i="3"/>
  <c r="P968" i="3" s="1"/>
  <c r="Q968" i="3" s="1"/>
  <c r="M969" i="3"/>
  <c r="P969" i="3" s="1"/>
  <c r="Q969" i="3" s="1"/>
  <c r="M970" i="3"/>
  <c r="P970" i="3" s="1"/>
  <c r="Q970" i="3" s="1"/>
  <c r="M971" i="3"/>
  <c r="P971" i="3" s="1"/>
  <c r="M972" i="3"/>
  <c r="P972" i="3" s="1"/>
  <c r="M973" i="3"/>
  <c r="P973" i="3" s="1"/>
  <c r="M974" i="3"/>
  <c r="P974" i="3" s="1"/>
  <c r="Q974" i="3" s="1"/>
  <c r="M975" i="3"/>
  <c r="P975" i="3" s="1"/>
  <c r="Q975" i="3" s="1"/>
  <c r="M976" i="3"/>
  <c r="P976" i="3" s="1"/>
  <c r="Q976" i="3" s="1"/>
  <c r="M977" i="3"/>
  <c r="P977" i="3" s="1"/>
  <c r="Q977" i="3" s="1"/>
  <c r="M978" i="3"/>
  <c r="P978" i="3" s="1"/>
  <c r="M979" i="3"/>
  <c r="P979" i="3" s="1"/>
  <c r="M980" i="3"/>
  <c r="P980" i="3" s="1"/>
  <c r="Q980" i="3" s="1"/>
  <c r="M981" i="3"/>
  <c r="P981" i="3" s="1"/>
  <c r="Q981" i="3" s="1"/>
  <c r="M982" i="3"/>
  <c r="P982" i="3" s="1"/>
  <c r="Q982" i="3" s="1"/>
  <c r="M983" i="3"/>
  <c r="P983" i="3" s="1"/>
  <c r="M984" i="3"/>
  <c r="P984" i="3" s="1"/>
  <c r="M985" i="3"/>
  <c r="P985" i="3" s="1"/>
  <c r="Q985" i="3" s="1"/>
  <c r="M986" i="3"/>
  <c r="P986" i="3" s="1"/>
  <c r="Q986" i="3" s="1"/>
  <c r="M987" i="3"/>
  <c r="P987" i="3" s="1"/>
  <c r="Q987" i="3" s="1"/>
  <c r="M988" i="3"/>
  <c r="P988" i="3" s="1"/>
  <c r="M989" i="3"/>
  <c r="P989" i="3" s="1"/>
  <c r="M990" i="3"/>
  <c r="P990" i="3" s="1"/>
  <c r="M991" i="3"/>
  <c r="P991" i="3" s="1"/>
  <c r="M992" i="3"/>
  <c r="P992" i="3" s="1"/>
  <c r="Q992" i="3" s="1"/>
  <c r="M993" i="3"/>
  <c r="P993" i="3" s="1"/>
  <c r="Q993" i="3" s="1"/>
  <c r="M994" i="3"/>
  <c r="P994" i="3" s="1"/>
  <c r="Q994" i="3" s="1"/>
  <c r="M995" i="3"/>
  <c r="P995" i="3" s="1"/>
  <c r="Q995" i="3" s="1"/>
  <c r="M996" i="3"/>
  <c r="P996" i="3" s="1"/>
  <c r="Q996" i="3" s="1"/>
  <c r="M997" i="3"/>
  <c r="P997" i="3" s="1"/>
  <c r="Q997" i="3" s="1"/>
  <c r="M998" i="3"/>
  <c r="P998" i="3" s="1"/>
  <c r="Q998" i="3" s="1"/>
  <c r="M999" i="3"/>
  <c r="P999" i="3" s="1"/>
  <c r="Q999" i="3" s="1"/>
  <c r="M1000" i="3"/>
  <c r="P1000" i="3" s="1"/>
  <c r="E4" i="5"/>
  <c r="Q984" i="3" l="1"/>
  <c r="Q636" i="3"/>
  <c r="Q972" i="3"/>
  <c r="Q796" i="3"/>
  <c r="Q552" i="3"/>
  <c r="Q1000" i="3"/>
  <c r="Q904" i="3"/>
  <c r="Q892" i="3"/>
  <c r="Q808" i="3"/>
  <c r="Q760" i="3"/>
  <c r="Q724" i="3"/>
  <c r="Q676" i="3"/>
  <c r="Q616" i="3"/>
  <c r="Q532" i="3"/>
  <c r="Q484" i="3"/>
  <c r="Q472" i="3"/>
  <c r="Q424" i="3"/>
  <c r="Q328" i="3"/>
  <c r="Q292" i="3"/>
  <c r="Q232" i="3"/>
  <c r="Q184" i="3"/>
  <c r="Q160" i="3"/>
  <c r="Q100" i="3"/>
  <c r="Q64" i="3"/>
  <c r="Q40" i="3"/>
  <c r="Q16" i="3"/>
  <c r="Q4" i="3"/>
  <c r="Q756" i="3"/>
  <c r="Q372" i="3"/>
  <c r="Q60" i="3"/>
  <c r="Q336" i="3"/>
  <c r="Q991" i="3"/>
  <c r="Q655" i="3"/>
  <c r="Q571" i="3"/>
  <c r="Q403" i="3"/>
  <c r="Q367" i="3"/>
  <c r="Q319" i="3"/>
  <c r="Q295" i="3"/>
  <c r="Q235" i="3"/>
  <c r="Q211" i="3"/>
  <c r="Q127" i="3"/>
  <c r="Q67" i="3"/>
  <c r="Q948" i="3"/>
  <c r="Q768" i="3"/>
  <c r="Q384" i="3"/>
  <c r="Q732" i="3"/>
  <c r="Q988" i="3"/>
  <c r="Q952" i="3"/>
  <c r="Q868" i="3"/>
  <c r="Q856" i="3"/>
  <c r="Q844" i="3"/>
  <c r="Q772" i="3"/>
  <c r="Q748" i="3"/>
  <c r="Q700" i="3"/>
  <c r="Q664" i="3"/>
  <c r="Q628" i="3"/>
  <c r="Q604" i="3"/>
  <c r="Q592" i="3"/>
  <c r="Q580" i="3"/>
  <c r="Q544" i="3"/>
  <c r="Q460" i="3"/>
  <c r="Q436" i="3"/>
  <c r="Q376" i="3"/>
  <c r="Q340" i="3"/>
  <c r="Q316" i="3"/>
  <c r="Q280" i="3"/>
  <c r="Q256" i="3"/>
  <c r="Q244" i="3"/>
  <c r="Q172" i="3"/>
  <c r="Q136" i="3"/>
  <c r="Q124" i="3"/>
  <c r="Q52" i="3"/>
  <c r="Q28" i="3"/>
  <c r="Q504" i="3"/>
  <c r="Q989" i="3"/>
  <c r="Q641" i="3"/>
  <c r="Q533" i="3"/>
  <c r="Q245" i="3"/>
  <c r="Q89" i="3"/>
  <c r="Q65" i="3"/>
  <c r="Q936" i="3"/>
  <c r="Q924" i="3"/>
  <c r="Q852" i="3"/>
  <c r="Q792" i="3"/>
  <c r="Q576" i="3"/>
  <c r="Q516" i="3"/>
  <c r="Q492" i="3"/>
  <c r="Q324" i="3"/>
  <c r="Q288" i="3"/>
  <c r="Q192" i="3"/>
  <c r="Q156" i="3"/>
  <c r="Q635" i="3"/>
  <c r="Q949" i="3"/>
  <c r="Q253" i="3"/>
  <c r="Q61" i="3"/>
  <c r="Q979" i="3"/>
  <c r="Q967" i="3"/>
  <c r="Q955" i="3"/>
  <c r="Q943" i="3"/>
  <c r="Q931" i="3"/>
  <c r="Q919" i="3"/>
  <c r="Q907" i="3"/>
  <c r="Q895" i="3"/>
  <c r="Q883" i="3"/>
  <c r="Q871" i="3"/>
  <c r="Q859" i="3"/>
  <c r="Q847" i="3"/>
  <c r="Q835" i="3"/>
  <c r="Q823" i="3"/>
  <c r="Q811" i="3"/>
  <c r="Q799" i="3"/>
  <c r="Q787" i="3"/>
  <c r="Q775" i="3"/>
  <c r="Q763" i="3"/>
  <c r="Q751" i="3"/>
  <c r="Q739" i="3"/>
  <c r="Q715" i="3"/>
  <c r="Q703" i="3"/>
  <c r="Q691" i="3"/>
  <c r="Q679" i="3"/>
  <c r="Q667" i="3"/>
  <c r="Q643" i="3"/>
  <c r="Q631" i="3"/>
  <c r="Q619" i="3"/>
  <c r="Q607" i="3"/>
  <c r="Q595" i="3"/>
  <c r="Q583" i="3"/>
  <c r="Q559" i="3"/>
  <c r="Q547" i="3"/>
  <c r="Q535" i="3"/>
  <c r="Q523" i="3"/>
  <c r="Q511" i="3"/>
  <c r="Q499" i="3"/>
  <c r="Q487" i="3"/>
  <c r="Q475" i="3"/>
  <c r="Q463" i="3"/>
  <c r="Q451" i="3"/>
  <c r="Q439" i="3"/>
  <c r="Q427" i="3"/>
  <c r="Q415" i="3"/>
  <c r="Q391" i="3"/>
  <c r="Q379" i="3"/>
  <c r="Q355" i="3"/>
  <c r="Q343" i="3"/>
  <c r="Q331" i="3"/>
  <c r="Q307" i="3"/>
  <c r="Q283" i="3"/>
  <c r="Q271" i="3"/>
  <c r="Q259" i="3"/>
  <c r="Q247" i="3"/>
  <c r="Q223" i="3"/>
  <c r="Q199" i="3"/>
  <c r="Q187" i="3"/>
  <c r="Q175" i="3"/>
  <c r="Q163" i="3"/>
  <c r="Q151" i="3"/>
  <c r="Q139" i="3"/>
  <c r="Q115" i="3"/>
  <c r="Q103" i="3"/>
  <c r="Q91" i="3"/>
  <c r="Q79" i="3"/>
  <c r="Q55" i="3"/>
  <c r="Q43" i="3"/>
  <c r="Q31" i="3"/>
  <c r="Q19" i="3"/>
  <c r="Q7" i="3"/>
  <c r="Q990" i="3"/>
  <c r="Q978" i="3"/>
  <c r="Q966" i="3"/>
  <c r="Q954" i="3"/>
  <c r="Q942" i="3"/>
  <c r="Q930" i="3"/>
  <c r="Q918" i="3"/>
  <c r="Q906" i="3"/>
  <c r="Q894" i="3"/>
  <c r="Q882" i="3"/>
  <c r="Q870" i="3"/>
  <c r="Q858" i="3"/>
  <c r="Q846" i="3"/>
  <c r="Q834" i="3"/>
  <c r="Q822" i="3"/>
  <c r="Q810" i="3"/>
  <c r="Q798" i="3"/>
  <c r="Q786" i="3"/>
  <c r="Q774" i="3"/>
  <c r="Q762" i="3"/>
  <c r="Q750" i="3"/>
  <c r="Q738" i="3"/>
  <c r="Q726" i="3"/>
  <c r="Q714" i="3"/>
  <c r="Q702" i="3"/>
  <c r="Q690" i="3"/>
  <c r="Q678" i="3"/>
  <c r="Q666" i="3"/>
  <c r="Q654" i="3"/>
  <c r="Q642" i="3"/>
  <c r="Q630" i="3"/>
  <c r="Q618" i="3"/>
  <c r="Q606" i="3"/>
  <c r="Q594" i="3"/>
  <c r="Q582" i="3"/>
  <c r="Q570" i="3"/>
  <c r="Q558" i="3"/>
  <c r="Q546" i="3"/>
  <c r="Q534" i="3"/>
  <c r="Q522" i="3"/>
  <c r="Q510" i="3"/>
  <c r="Q498" i="3"/>
  <c r="Q486" i="3"/>
  <c r="Q474" i="3"/>
  <c r="Q462" i="3"/>
  <c r="Q450" i="3"/>
  <c r="Q438" i="3"/>
  <c r="Q426" i="3"/>
  <c r="Q414" i="3"/>
  <c r="Q402" i="3"/>
  <c r="Q390" i="3"/>
  <c r="Q378" i="3"/>
  <c r="Q366" i="3"/>
  <c r="Q354" i="3"/>
  <c r="Q342" i="3"/>
  <c r="Q330" i="3"/>
  <c r="Q318" i="3"/>
  <c r="Q306" i="3"/>
  <c r="Q294" i="3"/>
  <c r="Q282" i="3"/>
  <c r="Q270" i="3"/>
  <c r="Q258" i="3"/>
  <c r="Q246" i="3"/>
  <c r="Q234" i="3"/>
  <c r="Q222" i="3"/>
  <c r="Q210" i="3"/>
  <c r="Q198" i="3"/>
  <c r="Q186" i="3"/>
  <c r="Q174" i="3"/>
  <c r="Q162" i="3"/>
  <c r="Q150" i="3"/>
  <c r="Q138" i="3"/>
  <c r="Q126" i="3"/>
  <c r="Q114" i="3"/>
  <c r="Q102" i="3"/>
  <c r="Q90" i="3"/>
  <c r="Q78" i="3"/>
  <c r="Q66" i="3"/>
  <c r="Q697" i="3"/>
  <c r="Q445" i="3"/>
  <c r="Q36" i="3"/>
  <c r="Q973" i="3"/>
  <c r="Q925" i="3"/>
  <c r="Q901" i="3"/>
  <c r="Q853" i="3"/>
  <c r="Q841" i="3"/>
  <c r="Q805" i="3"/>
  <c r="Q781" i="3"/>
  <c r="Q733" i="3"/>
  <c r="Q673" i="3"/>
  <c r="Q613" i="3"/>
  <c r="Q601" i="3"/>
  <c r="Q565" i="3"/>
  <c r="Q529" i="3"/>
  <c r="Q493" i="3"/>
  <c r="Q421" i="3"/>
  <c r="Q409" i="3"/>
  <c r="Q397" i="3"/>
  <c r="Q373" i="3"/>
  <c r="Q301" i="3"/>
  <c r="Q289" i="3"/>
  <c r="Q277" i="3"/>
  <c r="Q265" i="3"/>
  <c r="Q241" i="3"/>
  <c r="Q205" i="3"/>
  <c r="Q169" i="3"/>
  <c r="Q121" i="3"/>
  <c r="Q109" i="3"/>
  <c r="Q85" i="3"/>
  <c r="Q73" i="3"/>
  <c r="Q37" i="3"/>
  <c r="Q864" i="3"/>
  <c r="Q444" i="3"/>
  <c r="Q900" i="3"/>
  <c r="Q888" i="3"/>
  <c r="Q840" i="3"/>
  <c r="Q804" i="3"/>
  <c r="Q744" i="3"/>
  <c r="Q696" i="3"/>
  <c r="Q684" i="3"/>
  <c r="Q612" i="3"/>
  <c r="Q420" i="3"/>
  <c r="Q408" i="3"/>
  <c r="Q360" i="3"/>
  <c r="Q264" i="3"/>
  <c r="Q144" i="3"/>
  <c r="Q120" i="3"/>
  <c r="Q108" i="3"/>
  <c r="Q84" i="3"/>
  <c r="Q983" i="3"/>
  <c r="Q971" i="3"/>
  <c r="Q959" i="3"/>
  <c r="Q947" i="3"/>
  <c r="Q935" i="3"/>
  <c r="Q887" i="3"/>
  <c r="Q863" i="3"/>
  <c r="Q851" i="3"/>
  <c r="Q827" i="3"/>
  <c r="Q803" i="3"/>
  <c r="Q779" i="3"/>
  <c r="Q767" i="3"/>
  <c r="Q743" i="3"/>
  <c r="Q731" i="3"/>
  <c r="Q683" i="3"/>
  <c r="Q659" i="3"/>
  <c r="Q647" i="3"/>
  <c r="Q623" i="3"/>
  <c r="Q599" i="3"/>
  <c r="Q587" i="3"/>
  <c r="Q575" i="3"/>
  <c r="Q563" i="3"/>
  <c r="Q551" i="3"/>
  <c r="Q539" i="3"/>
  <c r="Q527" i="3"/>
  <c r="Q479" i="3"/>
  <c r="Q467" i="3"/>
  <c r="Q443" i="3"/>
  <c r="Q419" i="3"/>
  <c r="Q395" i="3"/>
  <c r="Q371" i="3"/>
  <c r="Q359" i="3"/>
  <c r="Q323" i="3"/>
  <c r="Q311" i="3"/>
  <c r="Q287" i="3"/>
  <c r="Q275" i="3"/>
  <c r="Q263" i="3"/>
  <c r="Q251" i="3"/>
  <c r="Q239" i="3"/>
  <c r="Q203" i="3"/>
  <c r="Q191" i="3"/>
  <c r="Q179" i="3"/>
  <c r="Q155" i="3"/>
  <c r="Q131" i="3"/>
  <c r="Q119" i="3"/>
  <c r="Q107" i="3"/>
  <c r="Q71" i="3"/>
  <c r="Q59" i="3"/>
  <c r="Q47" i="3"/>
  <c r="Q35" i="3"/>
  <c r="Q23" i="3"/>
  <c r="Q965" i="3"/>
  <c r="Q953" i="3"/>
  <c r="Q929" i="3"/>
  <c r="Q917" i="3"/>
  <c r="Q905" i="3"/>
  <c r="Q833" i="3"/>
  <c r="Q809" i="3"/>
  <c r="Q761" i="3"/>
  <c r="Q749" i="3"/>
  <c r="Q713" i="3"/>
  <c r="Q701" i="3"/>
  <c r="Q653" i="3"/>
  <c r="Q629" i="3"/>
  <c r="Q617" i="3"/>
  <c r="Q581" i="3"/>
  <c r="Q509" i="3"/>
  <c r="Q497" i="3"/>
  <c r="Q461" i="3"/>
  <c r="Q425" i="3"/>
  <c r="Q389" i="3"/>
  <c r="Q377" i="3"/>
  <c r="Q341" i="3"/>
  <c r="Q257" i="3"/>
  <c r="Q233" i="3"/>
  <c r="Q221" i="3"/>
  <c r="Q185" i="3"/>
  <c r="Q173" i="3"/>
  <c r="Q137" i="3"/>
  <c r="Q101" i="3"/>
  <c r="Q77" i="3"/>
  <c r="Q53" i="3"/>
  <c r="Q41" i="3"/>
  <c r="Q54" i="3"/>
  <c r="Q42" i="3"/>
  <c r="Q30" i="3"/>
  <c r="Q18" i="3"/>
  <c r="Q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211E2C-1AED-4999-A006-B52C8733E58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BB5E8A37-F5C8-49C4-9B32-A7AA719A8B01}" keepAlive="1" name="Query - Table2_1" description="Connection to the 'Table2_1' query in the workbook." type="5" refreshedVersion="8" background="1" saveData="1">
    <dbPr connection="Provider=Microsoft.Mashup.OleDb.1;Data Source=$Workbook$;Location=Table2_1;Extended Properties=&quot;&quot;" command="SELECT * FROM [Table2_1]"/>
  </connection>
  <connection id="3" xr16:uid="{35EB39E3-B47C-4D1B-B0C6-CA17F5A6A42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E58123D9-67EC-4BD1-B25C-BAA654ED3DDE}" name="WorksheetConnection_COOKIES_Sales _Report.xlsx!Table2_1" type="102" refreshedVersion="8" minRefreshableVersion="5" saveData="1">
    <extLst>
      <ext xmlns:x15="http://schemas.microsoft.com/office/spreadsheetml/2010/11/main" uri="{DE250136-89BD-433C-8126-D09CA5730AF9}">
        <x15:connection id="Table2_1" autoDelete="1">
          <x15:rangePr sourceName="_xlcn.WorksheetConnection_COOKIES_Sales_Report.xlsxTable2_11"/>
        </x15:connection>
      </ext>
    </extLst>
  </connection>
</connections>
</file>

<file path=xl/sharedStrings.xml><?xml version="1.0" encoding="utf-8"?>
<sst xmlns="http://schemas.openxmlformats.org/spreadsheetml/2006/main" count="14064" uniqueCount="1939">
  <si>
    <t>Transaction Date</t>
  </si>
  <si>
    <t>Buyer First Name</t>
  </si>
  <si>
    <t>Buyer Last Name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</si>
  <si>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</si>
  <si>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</si>
  <si>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</si>
  <si>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</si>
  <si>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</si>
  <si>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</si>
  <si>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</si>
  <si>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Discount</t>
  </si>
  <si>
    <t>Allen</t>
  </si>
  <si>
    <t>Santos</t>
  </si>
  <si>
    <t>San Jose</t>
  </si>
  <si>
    <t>Credit Card</t>
  </si>
  <si>
    <t>Pro04</t>
  </si>
  <si>
    <t>Travis Doyle</t>
  </si>
  <si>
    <t>Male</t>
  </si>
  <si>
    <t>Brenda</t>
  </si>
  <si>
    <t>Shaw</t>
  </si>
  <si>
    <t>Cash</t>
  </si>
  <si>
    <t>Pro09</t>
  </si>
  <si>
    <t>Joseph Hill</t>
  </si>
  <si>
    <t>Female</t>
  </si>
  <si>
    <t>Robert</t>
  </si>
  <si>
    <t>Hernandez</t>
  </si>
  <si>
    <t>San Antonio</t>
  </si>
  <si>
    <t>Pro02</t>
  </si>
  <si>
    <t>April Watkins</t>
  </si>
  <si>
    <t>Other</t>
  </si>
  <si>
    <t>Alexander</t>
  </si>
  <si>
    <t>Smith</t>
  </si>
  <si>
    <t>Unknown</t>
  </si>
  <si>
    <t>Debit Card</t>
  </si>
  <si>
    <t>Pro05</t>
  </si>
  <si>
    <t>Elizabeth Guerrero</t>
  </si>
  <si>
    <t>Mary</t>
  </si>
  <si>
    <t>Rodriguez</t>
  </si>
  <si>
    <t>Philadelphia</t>
  </si>
  <si>
    <t>Tracy Lee</t>
  </si>
  <si>
    <t>Clinton</t>
  </si>
  <si>
    <t>Haynes</t>
  </si>
  <si>
    <t>Pro01</t>
  </si>
  <si>
    <t>Sara Robertson</t>
  </si>
  <si>
    <t>Jamie</t>
  </si>
  <si>
    <t>Steele</t>
  </si>
  <si>
    <t>San Diego</t>
  </si>
  <si>
    <t>Pro06</t>
  </si>
  <si>
    <t>Katie Stanton</t>
  </si>
  <si>
    <t xml:space="preserve">  DAVID </t>
  </si>
  <si>
    <t>Hunt</t>
  </si>
  <si>
    <t>Chicago</t>
  </si>
  <si>
    <t>Susan Dean</t>
  </si>
  <si>
    <t>Samantha</t>
  </si>
  <si>
    <t>Wong</t>
  </si>
  <si>
    <t>New York</t>
  </si>
  <si>
    <t>Pro10</t>
  </si>
  <si>
    <t>Gregory</t>
  </si>
  <si>
    <t>Gibson</t>
  </si>
  <si>
    <t>Pro07</t>
  </si>
  <si>
    <t xml:space="preserve">  SARAH </t>
  </si>
  <si>
    <t>Case</t>
  </si>
  <si>
    <t>Taylor</t>
  </si>
  <si>
    <t>Wilson</t>
  </si>
  <si>
    <t>Pro08</t>
  </si>
  <si>
    <t>Pro03</t>
  </si>
  <si>
    <t>Michelle</t>
  </si>
  <si>
    <t>Gonzales</t>
  </si>
  <si>
    <t>Mobile Payment</t>
  </si>
  <si>
    <t>Stephen</t>
  </si>
  <si>
    <t>Ellis</t>
  </si>
  <si>
    <t>Houston</t>
  </si>
  <si>
    <t xml:space="preserve">  MARY </t>
  </si>
  <si>
    <t>Jason</t>
  </si>
  <si>
    <t>Terri</t>
  </si>
  <si>
    <t>Bailey</t>
  </si>
  <si>
    <t>April</t>
  </si>
  <si>
    <t>Mendez</t>
  </si>
  <si>
    <t>Los Angeles</t>
  </si>
  <si>
    <t>Dennis</t>
  </si>
  <si>
    <t>Norris</t>
  </si>
  <si>
    <t>Andrea</t>
  </si>
  <si>
    <t>Davis</t>
  </si>
  <si>
    <t>Dallas</t>
  </si>
  <si>
    <t>Teresa</t>
  </si>
  <si>
    <t>Coleman</t>
  </si>
  <si>
    <t>Justin</t>
  </si>
  <si>
    <t>Sanchez</t>
  </si>
  <si>
    <t>Sean</t>
  </si>
  <si>
    <t>Garcia</t>
  </si>
  <si>
    <t>Erica</t>
  </si>
  <si>
    <t>Collins</t>
  </si>
  <si>
    <t xml:space="preserve">  JOSEPH </t>
  </si>
  <si>
    <t>Perez</t>
  </si>
  <si>
    <t>Phoenix</t>
  </si>
  <si>
    <t>Monica</t>
  </si>
  <si>
    <t>Hogan</t>
  </si>
  <si>
    <t>Wendy</t>
  </si>
  <si>
    <t>Olsen</t>
  </si>
  <si>
    <t>Kathy</t>
  </si>
  <si>
    <t>Morris</t>
  </si>
  <si>
    <t>Mario</t>
  </si>
  <si>
    <t>Rubio</t>
  </si>
  <si>
    <t>Julie</t>
  </si>
  <si>
    <t>Ortiz</t>
  </si>
  <si>
    <t>Nancy</t>
  </si>
  <si>
    <t>Lee</t>
  </si>
  <si>
    <t>Christopher</t>
  </si>
  <si>
    <t>Martin</t>
  </si>
  <si>
    <t>Nathan</t>
  </si>
  <si>
    <t>Williams</t>
  </si>
  <si>
    <t>Donna</t>
  </si>
  <si>
    <t>Jacobs</t>
  </si>
  <si>
    <t>Sherri</t>
  </si>
  <si>
    <t>Watts</t>
  </si>
  <si>
    <t>Brandon</t>
  </si>
  <si>
    <t>Clark</t>
  </si>
  <si>
    <t>Michael</t>
  </si>
  <si>
    <t>Oneill</t>
  </si>
  <si>
    <t>Hannah</t>
  </si>
  <si>
    <t>Gonzalez</t>
  </si>
  <si>
    <t>Joan</t>
  </si>
  <si>
    <t>Hodges</t>
  </si>
  <si>
    <t xml:space="preserve">  RYAN </t>
  </si>
  <si>
    <t>Romero</t>
  </si>
  <si>
    <t>Shannon</t>
  </si>
  <si>
    <t>Butler</t>
  </si>
  <si>
    <t>Theodore</t>
  </si>
  <si>
    <t>Peterson</t>
  </si>
  <si>
    <t xml:space="preserve">  KATHRYN </t>
  </si>
  <si>
    <t>Marissa</t>
  </si>
  <si>
    <t>Torres</t>
  </si>
  <si>
    <t xml:space="preserve">  ELIZABETH </t>
  </si>
  <si>
    <t>Nicholson</t>
  </si>
  <si>
    <t xml:space="preserve">  EDWARD </t>
  </si>
  <si>
    <t>Roberts</t>
  </si>
  <si>
    <t>Matthew</t>
  </si>
  <si>
    <t>Franklin</t>
  </si>
  <si>
    <t xml:space="preserve">  LINDSEY </t>
  </si>
  <si>
    <t>Oconnell</t>
  </si>
  <si>
    <t>Kayla</t>
  </si>
  <si>
    <t>Hall</t>
  </si>
  <si>
    <t xml:space="preserve">  VIRGINIA </t>
  </si>
  <si>
    <t>Bean</t>
  </si>
  <si>
    <t xml:space="preserve">  EMILY </t>
  </si>
  <si>
    <t>Beth</t>
  </si>
  <si>
    <t>Kennedy</t>
  </si>
  <si>
    <t xml:space="preserve">  CAMERON </t>
  </si>
  <si>
    <t>Berger</t>
  </si>
  <si>
    <t>Randy</t>
  </si>
  <si>
    <t>Foster</t>
  </si>
  <si>
    <t>James</t>
  </si>
  <si>
    <t>Marcia</t>
  </si>
  <si>
    <t>Johnson</t>
  </si>
  <si>
    <t>Tracy</t>
  </si>
  <si>
    <t>Calderon</t>
  </si>
  <si>
    <t>Judy</t>
  </si>
  <si>
    <t>Anderson</t>
  </si>
  <si>
    <t>Nicolas</t>
  </si>
  <si>
    <t>Werner</t>
  </si>
  <si>
    <t>Steven</t>
  </si>
  <si>
    <t>Timothy</t>
  </si>
  <si>
    <t>Jones</t>
  </si>
  <si>
    <t>Scott</t>
  </si>
  <si>
    <t>Day</t>
  </si>
  <si>
    <t>Wesley</t>
  </si>
  <si>
    <t>Horne</t>
  </si>
  <si>
    <t>Patricia</t>
  </si>
  <si>
    <t>Reed</t>
  </si>
  <si>
    <t>Willie</t>
  </si>
  <si>
    <t>Robertson</t>
  </si>
  <si>
    <t>Murray</t>
  </si>
  <si>
    <t>Rodney</t>
  </si>
  <si>
    <t>Diaz</t>
  </si>
  <si>
    <t>Emily</t>
  </si>
  <si>
    <t>Bird</t>
  </si>
  <si>
    <t>Pitts</t>
  </si>
  <si>
    <t>Marcus</t>
  </si>
  <si>
    <t>Dickson</t>
  </si>
  <si>
    <t>Parrish</t>
  </si>
  <si>
    <t>Marvin</t>
  </si>
  <si>
    <t>Rivera</t>
  </si>
  <si>
    <t>Cooke</t>
  </si>
  <si>
    <t>Padilla</t>
  </si>
  <si>
    <t>Jeremy</t>
  </si>
  <si>
    <t>Rios</t>
  </si>
  <si>
    <t>Zachary</t>
  </si>
  <si>
    <t>Joseph</t>
  </si>
  <si>
    <t>Woodward</t>
  </si>
  <si>
    <t>Sharon</t>
  </si>
  <si>
    <t>Yates</t>
  </si>
  <si>
    <t>Melissa</t>
  </si>
  <si>
    <t>Curtis</t>
  </si>
  <si>
    <t>Jacob</t>
  </si>
  <si>
    <t>Kelly</t>
  </si>
  <si>
    <t>Mark</t>
  </si>
  <si>
    <t>Gray</t>
  </si>
  <si>
    <t>Roger</t>
  </si>
  <si>
    <t>Mason</t>
  </si>
  <si>
    <t>Brett</t>
  </si>
  <si>
    <t>Jennifer</t>
  </si>
  <si>
    <t>Tammy</t>
  </si>
  <si>
    <t>Nichols</t>
  </si>
  <si>
    <t>Juan</t>
  </si>
  <si>
    <t>Porter</t>
  </si>
  <si>
    <t>Valencia</t>
  </si>
  <si>
    <t>Carlos</t>
  </si>
  <si>
    <t>Gallegos</t>
  </si>
  <si>
    <t>Pamela</t>
  </si>
  <si>
    <t>Kramer</t>
  </si>
  <si>
    <t>Ethan</t>
  </si>
  <si>
    <t>Ford</t>
  </si>
  <si>
    <t>Danny</t>
  </si>
  <si>
    <t>Armstrong</t>
  </si>
  <si>
    <t>Nathaniel</t>
  </si>
  <si>
    <t>Reynolds</t>
  </si>
  <si>
    <t>Schmidt</t>
  </si>
  <si>
    <t>Ana</t>
  </si>
  <si>
    <t>Wallace</t>
  </si>
  <si>
    <t>Gerald</t>
  </si>
  <si>
    <t>Calhoun</t>
  </si>
  <si>
    <t>Karen</t>
  </si>
  <si>
    <t>Andre</t>
  </si>
  <si>
    <t>Lewis</t>
  </si>
  <si>
    <t>Logan</t>
  </si>
  <si>
    <t>Miller</t>
  </si>
  <si>
    <t>Christina</t>
  </si>
  <si>
    <t>Richard</t>
  </si>
  <si>
    <t>Mendoza</t>
  </si>
  <si>
    <t>Sabrina</t>
  </si>
  <si>
    <t>Fischer</t>
  </si>
  <si>
    <t xml:space="preserve">  MICHELLE </t>
  </si>
  <si>
    <t>Juarez</t>
  </si>
  <si>
    <t>Daniel</t>
  </si>
  <si>
    <t>Roberson</t>
  </si>
  <si>
    <t>Candace</t>
  </si>
  <si>
    <t>Odonnell</t>
  </si>
  <si>
    <t>Danielle</t>
  </si>
  <si>
    <t>Palmer</t>
  </si>
  <si>
    <t>Livingston</t>
  </si>
  <si>
    <t>Adrienne</t>
  </si>
  <si>
    <t>Nicholas</t>
  </si>
  <si>
    <t>Rogers</t>
  </si>
  <si>
    <t>Alexandra</t>
  </si>
  <si>
    <t>Potter</t>
  </si>
  <si>
    <t>Diana</t>
  </si>
  <si>
    <t>Dawn</t>
  </si>
  <si>
    <t>Daniels</t>
  </si>
  <si>
    <t>George</t>
  </si>
  <si>
    <t>Brown</t>
  </si>
  <si>
    <t>Marilyn</t>
  </si>
  <si>
    <t>Cunningham</t>
  </si>
  <si>
    <t xml:space="preserve">  SAMANTHA </t>
  </si>
  <si>
    <t>Howard</t>
  </si>
  <si>
    <t>Frazier</t>
  </si>
  <si>
    <t>Thomas</t>
  </si>
  <si>
    <t>Richardson</t>
  </si>
  <si>
    <t>Stephanie</t>
  </si>
  <si>
    <t>Hawkins</t>
  </si>
  <si>
    <t>Emma</t>
  </si>
  <si>
    <t>Hoffman</t>
  </si>
  <si>
    <t>Lisa</t>
  </si>
  <si>
    <t>Austin</t>
  </si>
  <si>
    <t>Luis</t>
  </si>
  <si>
    <t>Sheppard</t>
  </si>
  <si>
    <t>Sarah</t>
  </si>
  <si>
    <t>May</t>
  </si>
  <si>
    <t>Johns</t>
  </si>
  <si>
    <t>Gary</t>
  </si>
  <si>
    <t>Charlotte</t>
  </si>
  <si>
    <t>Mueller</t>
  </si>
  <si>
    <t>Carter</t>
  </si>
  <si>
    <t>Katie</t>
  </si>
  <si>
    <t>Love</t>
  </si>
  <si>
    <t>Caitlin</t>
  </si>
  <si>
    <t>Kathryn</t>
  </si>
  <si>
    <t>Anna</t>
  </si>
  <si>
    <t>Hopkins</t>
  </si>
  <si>
    <t>Brian</t>
  </si>
  <si>
    <t>Kelley</t>
  </si>
  <si>
    <t>Tina</t>
  </si>
  <si>
    <t>Caitlyn</t>
  </si>
  <si>
    <t>Sims</t>
  </si>
  <si>
    <t>Maria</t>
  </si>
  <si>
    <t>Cooper</t>
  </si>
  <si>
    <t>Weaver</t>
  </si>
  <si>
    <t>Aaron</t>
  </si>
  <si>
    <t>Young</t>
  </si>
  <si>
    <t>Theresa</t>
  </si>
  <si>
    <t>Duran</t>
  </si>
  <si>
    <t>Ronald</t>
  </si>
  <si>
    <t>Holden</t>
  </si>
  <si>
    <t>Ian</t>
  </si>
  <si>
    <t>Knight</t>
  </si>
  <si>
    <t>Oscar</t>
  </si>
  <si>
    <t>Wright</t>
  </si>
  <si>
    <t>Kim</t>
  </si>
  <si>
    <t>Deborah</t>
  </si>
  <si>
    <t>Ray</t>
  </si>
  <si>
    <t>Perry</t>
  </si>
  <si>
    <t>Amber</t>
  </si>
  <si>
    <t>Stafford</t>
  </si>
  <si>
    <t>Stacie</t>
  </si>
  <si>
    <t>Cox</t>
  </si>
  <si>
    <t>Randall</t>
  </si>
  <si>
    <t>Medina</t>
  </si>
  <si>
    <t>Rojas</t>
  </si>
  <si>
    <t xml:space="preserve">  JACOB </t>
  </si>
  <si>
    <t>White</t>
  </si>
  <si>
    <t>Boone</t>
  </si>
  <si>
    <t>Angela</t>
  </si>
  <si>
    <t>Farley</t>
  </si>
  <si>
    <t xml:space="preserve">  MEAGAN </t>
  </si>
  <si>
    <t>Roman</t>
  </si>
  <si>
    <t>Jessica</t>
  </si>
  <si>
    <t>Lucas</t>
  </si>
  <si>
    <t>Adam</t>
  </si>
  <si>
    <t>Marshall</t>
  </si>
  <si>
    <t>Kevin</t>
  </si>
  <si>
    <t>Beltran</t>
  </si>
  <si>
    <t>Eric</t>
  </si>
  <si>
    <t>Sara</t>
  </si>
  <si>
    <t>Evan</t>
  </si>
  <si>
    <t>Ruiz</t>
  </si>
  <si>
    <t>Gabriel</t>
  </si>
  <si>
    <t>Friedman</t>
  </si>
  <si>
    <t xml:space="preserve">  REBECCA </t>
  </si>
  <si>
    <t>Larson</t>
  </si>
  <si>
    <t>Mandy</t>
  </si>
  <si>
    <t>Lopez</t>
  </si>
  <si>
    <t>Lawrence</t>
  </si>
  <si>
    <t>Jackson</t>
  </si>
  <si>
    <t>David</t>
  </si>
  <si>
    <t>Barr</t>
  </si>
  <si>
    <t>Vincent</t>
  </si>
  <si>
    <t>Benson</t>
  </si>
  <si>
    <t>Raymond</t>
  </si>
  <si>
    <t>Wade</t>
  </si>
  <si>
    <t>William</t>
  </si>
  <si>
    <t>Harper</t>
  </si>
  <si>
    <t>Alex</t>
  </si>
  <si>
    <t>Rosario</t>
  </si>
  <si>
    <t>Morgan</t>
  </si>
  <si>
    <t>Tamara</t>
  </si>
  <si>
    <t>Edwards</t>
  </si>
  <si>
    <t>Luke</t>
  </si>
  <si>
    <t>Phillips</t>
  </si>
  <si>
    <t>Martinez</t>
  </si>
  <si>
    <t>Sullivan</t>
  </si>
  <si>
    <t>Linda</t>
  </si>
  <si>
    <t>Heather</t>
  </si>
  <si>
    <t>Cohen</t>
  </si>
  <si>
    <t>Audrey</t>
  </si>
  <si>
    <t>Bishop</t>
  </si>
  <si>
    <t>Weeks</t>
  </si>
  <si>
    <t>Chandler</t>
  </si>
  <si>
    <t>Ann</t>
  </si>
  <si>
    <t>Todd</t>
  </si>
  <si>
    <t>Megan</t>
  </si>
  <si>
    <t>Walker</t>
  </si>
  <si>
    <t>Ashley</t>
  </si>
  <si>
    <t>Mitchell</t>
  </si>
  <si>
    <t>Nash</t>
  </si>
  <si>
    <t>Warren</t>
  </si>
  <si>
    <t>Paula</t>
  </si>
  <si>
    <t>Moore</t>
  </si>
  <si>
    <t>Nina</t>
  </si>
  <si>
    <t>Oconnor</t>
  </si>
  <si>
    <t>Jillian</t>
  </si>
  <si>
    <t>Skinner</t>
  </si>
  <si>
    <t>Holt</t>
  </si>
  <si>
    <t>Miranda</t>
  </si>
  <si>
    <t>Bradford</t>
  </si>
  <si>
    <t>Laura</t>
  </si>
  <si>
    <t>Parks</t>
  </si>
  <si>
    <t xml:space="preserve">  LINDA </t>
  </si>
  <si>
    <t>Gomez</t>
  </si>
  <si>
    <t>Victoria</t>
  </si>
  <si>
    <t>Ramsey</t>
  </si>
  <si>
    <t>Patrick</t>
  </si>
  <si>
    <t>Parker</t>
  </si>
  <si>
    <t>John</t>
  </si>
  <si>
    <t>Lynn</t>
  </si>
  <si>
    <t>Amanda</t>
  </si>
  <si>
    <t>Rita</t>
  </si>
  <si>
    <t>Carey</t>
  </si>
  <si>
    <t xml:space="preserve">  WILLIAM </t>
  </si>
  <si>
    <t>Solis</t>
  </si>
  <si>
    <t>Cruz</t>
  </si>
  <si>
    <t>Julian</t>
  </si>
  <si>
    <t>Gutierrez</t>
  </si>
  <si>
    <t>Doyle</t>
  </si>
  <si>
    <t>Rachel</t>
  </si>
  <si>
    <t>Carson</t>
  </si>
  <si>
    <t>Short</t>
  </si>
  <si>
    <t>Keith</t>
  </si>
  <si>
    <t>Hansen</t>
  </si>
  <si>
    <t>Kelli</t>
  </si>
  <si>
    <t>Bell</t>
  </si>
  <si>
    <t>Jared</t>
  </si>
  <si>
    <t>Marsh</t>
  </si>
  <si>
    <t>Samuel</t>
  </si>
  <si>
    <t>Nunez</t>
  </si>
  <si>
    <t>Kenneth</t>
  </si>
  <si>
    <t>Bryan</t>
  </si>
  <si>
    <t xml:space="preserve">  RACHEL </t>
  </si>
  <si>
    <t>Turner</t>
  </si>
  <si>
    <t>Harris</t>
  </si>
  <si>
    <t>Stevens</t>
  </si>
  <si>
    <t>Jonathan</t>
  </si>
  <si>
    <t>Cisneros</t>
  </si>
  <si>
    <t xml:space="preserve">  MICHAEL </t>
  </si>
  <si>
    <t>Willis</t>
  </si>
  <si>
    <t>Paul</t>
  </si>
  <si>
    <t>Valdez</t>
  </si>
  <si>
    <t>King</t>
  </si>
  <si>
    <t xml:space="preserve">  THOMAS </t>
  </si>
  <si>
    <t>Tanya</t>
  </si>
  <si>
    <t>Davenport</t>
  </si>
  <si>
    <t>Vickie</t>
  </si>
  <si>
    <t>Hull</t>
  </si>
  <si>
    <t>Chris</t>
  </si>
  <si>
    <t>Long</t>
  </si>
  <si>
    <t>Santiago</t>
  </si>
  <si>
    <t>Vasquez</t>
  </si>
  <si>
    <t>Baker</t>
  </si>
  <si>
    <t xml:space="preserve">  CAROL </t>
  </si>
  <si>
    <t>Brandy</t>
  </si>
  <si>
    <t>Myers</t>
  </si>
  <si>
    <t>Anthony</t>
  </si>
  <si>
    <t>Kirk</t>
  </si>
  <si>
    <t>Holly</t>
  </si>
  <si>
    <t>Fields</t>
  </si>
  <si>
    <t>West</t>
  </si>
  <si>
    <t>Caleb</t>
  </si>
  <si>
    <t>Reyes</t>
  </si>
  <si>
    <t>Elizabeth</t>
  </si>
  <si>
    <t>Bryant</t>
  </si>
  <si>
    <t xml:space="preserve">  KATHERINE </t>
  </si>
  <si>
    <t>Abbott</t>
  </si>
  <si>
    <t>Rose</t>
  </si>
  <si>
    <t>Heidi</t>
  </si>
  <si>
    <t>Peter</t>
  </si>
  <si>
    <t>Ballard</t>
  </si>
  <si>
    <t>Hughes</t>
  </si>
  <si>
    <t xml:space="preserve">  CRYSTAL </t>
  </si>
  <si>
    <t>Heath</t>
  </si>
  <si>
    <t>Cheryl</t>
  </si>
  <si>
    <t>Lang</t>
  </si>
  <si>
    <t>Bradley</t>
  </si>
  <si>
    <t>Micheal</t>
  </si>
  <si>
    <t>Murillo</t>
  </si>
  <si>
    <t>Ferguson</t>
  </si>
  <si>
    <t>Andrew</t>
  </si>
  <si>
    <t>Browning</t>
  </si>
  <si>
    <t>Gilbert</t>
  </si>
  <si>
    <t>Harrington</t>
  </si>
  <si>
    <t>Breanna</t>
  </si>
  <si>
    <t xml:space="preserve">  JULIE </t>
  </si>
  <si>
    <t>Holmes</t>
  </si>
  <si>
    <t>Glenn</t>
  </si>
  <si>
    <t>Church</t>
  </si>
  <si>
    <t>Rebekah</t>
  </si>
  <si>
    <t>Amy</t>
  </si>
  <si>
    <t>Malik</t>
  </si>
  <si>
    <t>Chan</t>
  </si>
  <si>
    <t>Vanessa</t>
  </si>
  <si>
    <t>Dean</t>
  </si>
  <si>
    <t>Brianna</t>
  </si>
  <si>
    <t>Kimberly</t>
  </si>
  <si>
    <t>Antonio</t>
  </si>
  <si>
    <t>Hill</t>
  </si>
  <si>
    <t>Mckenzie</t>
  </si>
  <si>
    <t>Claudia</t>
  </si>
  <si>
    <t>Mcdonald</t>
  </si>
  <si>
    <t xml:space="preserve">  KIMBERLY </t>
  </si>
  <si>
    <t>Phillip</t>
  </si>
  <si>
    <t>Robin</t>
  </si>
  <si>
    <t>Hayes</t>
  </si>
  <si>
    <t xml:space="preserve">  DUSTIN </t>
  </si>
  <si>
    <t>Patton</t>
  </si>
  <si>
    <t>Kathleen</t>
  </si>
  <si>
    <t>Jeffery</t>
  </si>
  <si>
    <t>Alvarado</t>
  </si>
  <si>
    <t>Edward</t>
  </si>
  <si>
    <t>Allison</t>
  </si>
  <si>
    <t>Shepherd</t>
  </si>
  <si>
    <t>Rollins</t>
  </si>
  <si>
    <t>Simmons</t>
  </si>
  <si>
    <t>Lauren</t>
  </si>
  <si>
    <t>Sheila</t>
  </si>
  <si>
    <t>Sampson</t>
  </si>
  <si>
    <t>Alvarez</t>
  </si>
  <si>
    <t>Nicole</t>
  </si>
  <si>
    <t>Cole</t>
  </si>
  <si>
    <t>Flynn</t>
  </si>
  <si>
    <t>Cindy</t>
  </si>
  <si>
    <t>Glover</t>
  </si>
  <si>
    <t>Mccormick</t>
  </si>
  <si>
    <t>Bush</t>
  </si>
  <si>
    <t>Reeves</t>
  </si>
  <si>
    <t>Schneider</t>
  </si>
  <si>
    <t>Leslie</t>
  </si>
  <si>
    <t>Singleton</t>
  </si>
  <si>
    <t>Dillon</t>
  </si>
  <si>
    <t>Susan</t>
  </si>
  <si>
    <t>Thompson</t>
  </si>
  <si>
    <t>Frederick</t>
  </si>
  <si>
    <t>Cynthia</t>
  </si>
  <si>
    <t>Joshua</t>
  </si>
  <si>
    <t>Stone</t>
  </si>
  <si>
    <t>Henderson</t>
  </si>
  <si>
    <t>Adkins</t>
  </si>
  <si>
    <t xml:space="preserve">  LISA </t>
  </si>
  <si>
    <t>Mata</t>
  </si>
  <si>
    <t>Mcmillan</t>
  </si>
  <si>
    <t>Carmen</t>
  </si>
  <si>
    <t>Navarro</t>
  </si>
  <si>
    <t>Courtney</t>
  </si>
  <si>
    <t>Johnston</t>
  </si>
  <si>
    <t>Alexa</t>
  </si>
  <si>
    <t>Jacqueline</t>
  </si>
  <si>
    <t>Rowland</t>
  </si>
  <si>
    <t>Cook</t>
  </si>
  <si>
    <t>Zuniga</t>
  </si>
  <si>
    <t>Jenkins</t>
  </si>
  <si>
    <t>Corey</t>
  </si>
  <si>
    <t>Manuel</t>
  </si>
  <si>
    <t>Arthur</t>
  </si>
  <si>
    <t>Hicks</t>
  </si>
  <si>
    <t>Fernandez</t>
  </si>
  <si>
    <t>Saunders</t>
  </si>
  <si>
    <t>Salas</t>
  </si>
  <si>
    <t>Burns</t>
  </si>
  <si>
    <t>Charles</t>
  </si>
  <si>
    <t>Vargas</t>
  </si>
  <si>
    <t>Drake</t>
  </si>
  <si>
    <t>Adriana</t>
  </si>
  <si>
    <t>Roach</t>
  </si>
  <si>
    <t>Alicia</t>
  </si>
  <si>
    <t>Gardner</t>
  </si>
  <si>
    <t>Paige</t>
  </si>
  <si>
    <t>Weber</t>
  </si>
  <si>
    <t>Pearson</t>
  </si>
  <si>
    <t>Montes</t>
  </si>
  <si>
    <t>Tony</t>
  </si>
  <si>
    <t>Wagner</t>
  </si>
  <si>
    <t>Burke</t>
  </si>
  <si>
    <t>Kristen</t>
  </si>
  <si>
    <t>Wells</t>
  </si>
  <si>
    <t>Harvey</t>
  </si>
  <si>
    <t>Calvin</t>
  </si>
  <si>
    <t>Douglas</t>
  </si>
  <si>
    <t>Mayer</t>
  </si>
  <si>
    <t>Krista</t>
  </si>
  <si>
    <t>Jesse</t>
  </si>
  <si>
    <t>Moreno</t>
  </si>
  <si>
    <t>Sawyer</t>
  </si>
  <si>
    <t>Katherine</t>
  </si>
  <si>
    <t>Campbell</t>
  </si>
  <si>
    <t>Diane</t>
  </si>
  <si>
    <t>Nguyen</t>
  </si>
  <si>
    <t>Ramirez</t>
  </si>
  <si>
    <t>Savannah</t>
  </si>
  <si>
    <t>Zimmerman</t>
  </si>
  <si>
    <t>Marks</t>
  </si>
  <si>
    <t>Michele</t>
  </si>
  <si>
    <t>Fitzpatrick</t>
  </si>
  <si>
    <t>Davidson</t>
  </si>
  <si>
    <t>Barbara</t>
  </si>
  <si>
    <t>Lonnie</t>
  </si>
  <si>
    <t xml:space="preserve">  STEVEN </t>
  </si>
  <si>
    <t>Stephens</t>
  </si>
  <si>
    <t>Jordan</t>
  </si>
  <si>
    <t>Erin</t>
  </si>
  <si>
    <t>Lozano</t>
  </si>
  <si>
    <t>Billy</t>
  </si>
  <si>
    <t>Angel</t>
  </si>
  <si>
    <t>Jensen</t>
  </si>
  <si>
    <t>Morales</t>
  </si>
  <si>
    <t>Robinson</t>
  </si>
  <si>
    <t>Vaughan</t>
  </si>
  <si>
    <t>Terry</t>
  </si>
  <si>
    <t>Huffman</t>
  </si>
  <si>
    <t>Obrien</t>
  </si>
  <si>
    <t>Kristin</t>
  </si>
  <si>
    <t>Jimenez</t>
  </si>
  <si>
    <t xml:space="preserve">  VALERIE </t>
  </si>
  <si>
    <t>Gould</t>
  </si>
  <si>
    <t>Best</t>
  </si>
  <si>
    <t>Marquez</t>
  </si>
  <si>
    <t>Carl</t>
  </si>
  <si>
    <t>Sharp</t>
  </si>
  <si>
    <t>Grimes</t>
  </si>
  <si>
    <t>Jose</t>
  </si>
  <si>
    <t>Caldwell</t>
  </si>
  <si>
    <t>Simpson</t>
  </si>
  <si>
    <t>Fernando</t>
  </si>
  <si>
    <t>House</t>
  </si>
  <si>
    <t>Goodman</t>
  </si>
  <si>
    <t>Wanda</t>
  </si>
  <si>
    <t>Haley</t>
  </si>
  <si>
    <t xml:space="preserve">  LEAH </t>
  </si>
  <si>
    <t>Brennan</t>
  </si>
  <si>
    <t>Nelson</t>
  </si>
  <si>
    <t>Fowler</t>
  </si>
  <si>
    <t>Whitney</t>
  </si>
  <si>
    <t>Lance</t>
  </si>
  <si>
    <t>Neal</t>
  </si>
  <si>
    <t>Hutchinson</t>
  </si>
  <si>
    <t>Frank</t>
  </si>
  <si>
    <t>Anne</t>
  </si>
  <si>
    <t>Brewer</t>
  </si>
  <si>
    <t>Boyer</t>
  </si>
  <si>
    <t xml:space="preserve">  CYNTHIA </t>
  </si>
  <si>
    <t>Graham</t>
  </si>
  <si>
    <t>Christian</t>
  </si>
  <si>
    <t>Burnett</t>
  </si>
  <si>
    <t>Tyrone</t>
  </si>
  <si>
    <t>Ingram</t>
  </si>
  <si>
    <t xml:space="preserve">  GARRETT </t>
  </si>
  <si>
    <t>Green</t>
  </si>
  <si>
    <t>Oneal</t>
  </si>
  <si>
    <t>Derek</t>
  </si>
  <si>
    <t>Curry</t>
  </si>
  <si>
    <t>Fuentes</t>
  </si>
  <si>
    <t>Bullock</t>
  </si>
  <si>
    <t>Owens</t>
  </si>
  <si>
    <t>Baxter</t>
  </si>
  <si>
    <t>Ball</t>
  </si>
  <si>
    <t>Crystal</t>
  </si>
  <si>
    <t>Robbins</t>
  </si>
  <si>
    <t>Rebecca</t>
  </si>
  <si>
    <t>Duke</t>
  </si>
  <si>
    <t>Farrell</t>
  </si>
  <si>
    <t>Jean</t>
  </si>
  <si>
    <t>Farmer</t>
  </si>
  <si>
    <t>Chelsey</t>
  </si>
  <si>
    <t>Reid</t>
  </si>
  <si>
    <t>Carlson</t>
  </si>
  <si>
    <t>Laurie</t>
  </si>
  <si>
    <t>Tucker</t>
  </si>
  <si>
    <t>Debra</t>
  </si>
  <si>
    <t>Small</t>
  </si>
  <si>
    <t>Delgado</t>
  </si>
  <si>
    <t>Shawn</t>
  </si>
  <si>
    <t>Cervantes</t>
  </si>
  <si>
    <t>Andrade</t>
  </si>
  <si>
    <t>Boyd</t>
  </si>
  <si>
    <t xml:space="preserve">  REBEKAH </t>
  </si>
  <si>
    <t>Garrett</t>
  </si>
  <si>
    <t>Collin</t>
  </si>
  <si>
    <t>Louis</t>
  </si>
  <si>
    <t>Dustin</t>
  </si>
  <si>
    <t>Christensen</t>
  </si>
  <si>
    <t>Chang</t>
  </si>
  <si>
    <t>Washington</t>
  </si>
  <si>
    <t>Jeffrey</t>
  </si>
  <si>
    <t>Velasquez</t>
  </si>
  <si>
    <t>Molly</t>
  </si>
  <si>
    <t>Stewart</t>
  </si>
  <si>
    <t xml:space="preserve">  PATRICK </t>
  </si>
  <si>
    <t>Alyssa</t>
  </si>
  <si>
    <t>Leah</t>
  </si>
  <si>
    <t xml:space="preserve">  JOSHUA </t>
  </si>
  <si>
    <t>Howell</t>
  </si>
  <si>
    <t>Brittany</t>
  </si>
  <si>
    <t xml:space="preserve">  CAROLINE </t>
  </si>
  <si>
    <t xml:space="preserve">  DEANNA </t>
  </si>
  <si>
    <t>Conrad</t>
  </si>
  <si>
    <t xml:space="preserve">  GEORGE </t>
  </si>
  <si>
    <t>Mcgrath</t>
  </si>
  <si>
    <t>Isaac</t>
  </si>
  <si>
    <t>Gallagher</t>
  </si>
  <si>
    <t>Sherry</t>
  </si>
  <si>
    <t>Kyle</t>
  </si>
  <si>
    <t>Lindsey</t>
  </si>
  <si>
    <t>Bender</t>
  </si>
  <si>
    <t>Barnes</t>
  </si>
  <si>
    <t>Brock</t>
  </si>
  <si>
    <t>Walton</t>
  </si>
  <si>
    <t>Daugherty</t>
  </si>
  <si>
    <t>Dominguez</t>
  </si>
  <si>
    <t>Erickson</t>
  </si>
  <si>
    <t>Clayton</t>
  </si>
  <si>
    <t>Grant</t>
  </si>
  <si>
    <t>Madison</t>
  </si>
  <si>
    <t>Bolton</t>
  </si>
  <si>
    <t>Parsons</t>
  </si>
  <si>
    <t>Benjamin</t>
  </si>
  <si>
    <t>Denise</t>
  </si>
  <si>
    <t>Harrison</t>
  </si>
  <si>
    <t>Vazquez</t>
  </si>
  <si>
    <t xml:space="preserve">  SUMMER </t>
  </si>
  <si>
    <t>Mccullough</t>
  </si>
  <si>
    <t>Kelsey</t>
  </si>
  <si>
    <t>Roth</t>
  </si>
  <si>
    <t>Tran</t>
  </si>
  <si>
    <t>Moody</t>
  </si>
  <si>
    <t>Villarreal</t>
  </si>
  <si>
    <t>Becker</t>
  </si>
  <si>
    <t>Barton</t>
  </si>
  <si>
    <t>Erika</t>
  </si>
  <si>
    <t>Davies</t>
  </si>
  <si>
    <t xml:space="preserve">  JENNIFER </t>
  </si>
  <si>
    <t>Ewing</t>
  </si>
  <si>
    <t>Catherine</t>
  </si>
  <si>
    <t>Debbie</t>
  </si>
  <si>
    <t>Mills</t>
  </si>
  <si>
    <t>Branch</t>
  </si>
  <si>
    <t>Bauer</t>
  </si>
  <si>
    <t>Hardin</t>
  </si>
  <si>
    <t>Lori</t>
  </si>
  <si>
    <t>Felicia</t>
  </si>
  <si>
    <t>Suarez</t>
  </si>
  <si>
    <t>Rich</t>
  </si>
  <si>
    <t>Summers</t>
  </si>
  <si>
    <t>Edgar</t>
  </si>
  <si>
    <t>Watson</t>
  </si>
  <si>
    <t>Olivia</t>
  </si>
  <si>
    <t>Colleen</t>
  </si>
  <si>
    <t xml:space="preserve">  NINA </t>
  </si>
  <si>
    <t>Chelsea</t>
  </si>
  <si>
    <t>Rosales</t>
  </si>
  <si>
    <t>Donald</t>
  </si>
  <si>
    <t>Hart</t>
  </si>
  <si>
    <t>Hensley</t>
  </si>
  <si>
    <t>Tara</t>
  </si>
  <si>
    <t xml:space="preserve">  ALEXANDER </t>
  </si>
  <si>
    <t>Garza</t>
  </si>
  <si>
    <t>Greene</t>
  </si>
  <si>
    <t>Larry</t>
  </si>
  <si>
    <t>Berry</t>
  </si>
  <si>
    <t>Cannon</t>
  </si>
  <si>
    <t>Chloe</t>
  </si>
  <si>
    <t>Hamilton</t>
  </si>
  <si>
    <t>Fitzgerald</t>
  </si>
  <si>
    <t xml:space="preserve">  CHRISTOPHER </t>
  </si>
  <si>
    <t>Adams</t>
  </si>
  <si>
    <t xml:space="preserve">  JOHN </t>
  </si>
  <si>
    <t>Jo</t>
  </si>
  <si>
    <t>Berg</t>
  </si>
  <si>
    <t>Maldonado</t>
  </si>
  <si>
    <t>Murphy</t>
  </si>
  <si>
    <t>Brandi</t>
  </si>
  <si>
    <t>Gillespie</t>
  </si>
  <si>
    <t>Hayden</t>
  </si>
  <si>
    <t>Bond</t>
  </si>
  <si>
    <t>Osborne</t>
  </si>
  <si>
    <t>Lindsay</t>
  </si>
  <si>
    <t>Valerie</t>
  </si>
  <si>
    <t>Estes</t>
  </si>
  <si>
    <t>Destiny</t>
  </si>
  <si>
    <t>Chambers</t>
  </si>
  <si>
    <t xml:space="preserve">  ASHLEY </t>
  </si>
  <si>
    <t>Espinoza</t>
  </si>
  <si>
    <t xml:space="preserve">  JUAN </t>
  </si>
  <si>
    <t xml:space="preserve">  FRANK </t>
  </si>
  <si>
    <t xml:space="preserve">  MIA </t>
  </si>
  <si>
    <t>Macias</t>
  </si>
  <si>
    <t>Chase</t>
  </si>
  <si>
    <t>Hoover</t>
  </si>
  <si>
    <t>Randolph</t>
  </si>
  <si>
    <t xml:space="preserve">  BRUCE </t>
  </si>
  <si>
    <t>Brady</t>
  </si>
  <si>
    <t>Jerry</t>
  </si>
  <si>
    <t>Arnold</t>
  </si>
  <si>
    <t>Kaitlin</t>
  </si>
  <si>
    <t xml:space="preserve">  ANGELICA </t>
  </si>
  <si>
    <t xml:space="preserve">  LINDSAY </t>
  </si>
  <si>
    <t>Villanueva</t>
  </si>
  <si>
    <t>Carol</t>
  </si>
  <si>
    <t>Conley</t>
  </si>
  <si>
    <t>Monique</t>
  </si>
  <si>
    <t>Christine</t>
  </si>
  <si>
    <t>Sandra</t>
  </si>
  <si>
    <t>Leonard</t>
  </si>
  <si>
    <t>Angelica</t>
  </si>
  <si>
    <t>Tyler</t>
  </si>
  <si>
    <t xml:space="preserve">  TYLER </t>
  </si>
  <si>
    <t>Mooney</t>
  </si>
  <si>
    <t>Mercado</t>
  </si>
  <si>
    <t>Beck</t>
  </si>
  <si>
    <t>Sanford</t>
  </si>
  <si>
    <t>Brent</t>
  </si>
  <si>
    <t>Pratt</t>
  </si>
  <si>
    <t>Gina</t>
  </si>
  <si>
    <t>Duncan</t>
  </si>
  <si>
    <t>Fletcher</t>
  </si>
  <si>
    <t>Leroy</t>
  </si>
  <si>
    <t>Barnett</t>
  </si>
  <si>
    <t xml:space="preserve">  TOMMY </t>
  </si>
  <si>
    <t>Carrie</t>
  </si>
  <si>
    <t>Schroeder</t>
  </si>
  <si>
    <t>Cathy</t>
  </si>
  <si>
    <t>Garner</t>
  </si>
  <si>
    <t>Wu</t>
  </si>
  <si>
    <t>Barrett</t>
  </si>
  <si>
    <t>Alan</t>
  </si>
  <si>
    <t>Natalie</t>
  </si>
  <si>
    <t>Casey</t>
  </si>
  <si>
    <t>Ryan</t>
  </si>
  <si>
    <t>Craig</t>
  </si>
  <si>
    <t>Hays</t>
  </si>
  <si>
    <t>Dylan</t>
  </si>
  <si>
    <t>Strickland</t>
  </si>
  <si>
    <t>Baldwin</t>
  </si>
  <si>
    <t>Blanchard</t>
  </si>
  <si>
    <t>Cooley</t>
  </si>
  <si>
    <t>Sweeney</t>
  </si>
  <si>
    <t>Olson</t>
  </si>
  <si>
    <t>Davila</t>
  </si>
  <si>
    <t>Byrd</t>
  </si>
  <si>
    <t xml:space="preserve">  ANDREW </t>
  </si>
  <si>
    <t>Miguel</t>
  </si>
  <si>
    <t>Anita</t>
  </si>
  <si>
    <t>Haney</t>
  </si>
  <si>
    <t>Connie</t>
  </si>
  <si>
    <t>Pennington</t>
  </si>
  <si>
    <t>Madeline</t>
  </si>
  <si>
    <t>Hatfield</t>
  </si>
  <si>
    <t>Noah</t>
  </si>
  <si>
    <t>Brittney</t>
  </si>
  <si>
    <t>Matthews</t>
  </si>
  <si>
    <t>Powell</t>
  </si>
  <si>
    <t>Montgomery</t>
  </si>
  <si>
    <t>Castillo</t>
  </si>
  <si>
    <t>Rhodes</t>
  </si>
  <si>
    <t>Veronica</t>
  </si>
  <si>
    <t>Sutton</t>
  </si>
  <si>
    <t>Mann</t>
  </si>
  <si>
    <t>Helen</t>
  </si>
  <si>
    <t>Gordon</t>
  </si>
  <si>
    <t>Kendra</t>
  </si>
  <si>
    <t>Griffin</t>
  </si>
  <si>
    <t>Ramos</t>
  </si>
  <si>
    <t>Leach</t>
  </si>
  <si>
    <t>Nixon</t>
  </si>
  <si>
    <t>Clay</t>
  </si>
  <si>
    <t>Atkinson</t>
  </si>
  <si>
    <t>Renee</t>
  </si>
  <si>
    <t>Wood</t>
  </si>
  <si>
    <t>Mack</t>
  </si>
  <si>
    <t>Jodi</t>
  </si>
  <si>
    <t>Tommy</t>
  </si>
  <si>
    <t>Waters</t>
  </si>
  <si>
    <t>Mccoy</t>
  </si>
  <si>
    <t>Glenda</t>
  </si>
  <si>
    <t>Schwartz</t>
  </si>
  <si>
    <t>Mullins</t>
  </si>
  <si>
    <t>Booth</t>
  </si>
  <si>
    <t>Welch</t>
  </si>
  <si>
    <t>Terrence</t>
  </si>
  <si>
    <t>Jarvis</t>
  </si>
  <si>
    <t>Vaughn</t>
  </si>
  <si>
    <t xml:space="preserve">  CHRISTINE </t>
  </si>
  <si>
    <t>Bass</t>
  </si>
  <si>
    <t>Briana</t>
  </si>
  <si>
    <t>Hooper</t>
  </si>
  <si>
    <t>Spencer</t>
  </si>
  <si>
    <t>Barajas</t>
  </si>
  <si>
    <t xml:space="preserve">  TARA </t>
  </si>
  <si>
    <t>French</t>
  </si>
  <si>
    <t>Maxwell</t>
  </si>
  <si>
    <t>Blankenship</t>
  </si>
  <si>
    <t xml:space="preserve">  SHARON </t>
  </si>
  <si>
    <t>Sherman</t>
  </si>
  <si>
    <t>Russell</t>
  </si>
  <si>
    <t>Cortez</t>
  </si>
  <si>
    <t>Mcintyre</t>
  </si>
  <si>
    <t>Kara</t>
  </si>
  <si>
    <t>Bentley</t>
  </si>
  <si>
    <t>Wayne</t>
  </si>
  <si>
    <t>Wall</t>
  </si>
  <si>
    <t>Manning</t>
  </si>
  <si>
    <t>Cantrell</t>
  </si>
  <si>
    <t>Norman</t>
  </si>
  <si>
    <t xml:space="preserve">  SCOTT </t>
  </si>
  <si>
    <t>Kristina</t>
  </si>
  <si>
    <t>Shields</t>
  </si>
  <si>
    <t>Shelton</t>
  </si>
  <si>
    <t>Tonya</t>
  </si>
  <si>
    <t>Jennings</t>
  </si>
  <si>
    <t>Bruce</t>
  </si>
  <si>
    <t>Patterson</t>
  </si>
  <si>
    <t>Chavez</t>
  </si>
  <si>
    <t>Webster</t>
  </si>
  <si>
    <t>Victor</t>
  </si>
  <si>
    <t>Cuevas</t>
  </si>
  <si>
    <t>Wiggins</t>
  </si>
  <si>
    <t>Rice</t>
  </si>
  <si>
    <t>Richards</t>
  </si>
  <si>
    <t>Lane</t>
  </si>
  <si>
    <t>Mathews</t>
  </si>
  <si>
    <t>Mcgee</t>
  </si>
  <si>
    <t>Choi</t>
  </si>
  <si>
    <t>Jill</t>
  </si>
  <si>
    <t>Dana</t>
  </si>
  <si>
    <t>Mcfarland</t>
  </si>
  <si>
    <t>Mcdowell</t>
  </si>
  <si>
    <t>Erik</t>
  </si>
  <si>
    <t>Travis</t>
  </si>
  <si>
    <t>Faith</t>
  </si>
  <si>
    <t xml:space="preserve">  ROBERT </t>
  </si>
  <si>
    <t>Krause</t>
  </si>
  <si>
    <t xml:space="preserve">  CATHY </t>
  </si>
  <si>
    <t>Krystal</t>
  </si>
  <si>
    <t>Rhonda</t>
  </si>
  <si>
    <t>Walls</t>
  </si>
  <si>
    <t>Pena</t>
  </si>
  <si>
    <t>Roy</t>
  </si>
  <si>
    <t>Mcclure</t>
  </si>
  <si>
    <t xml:space="preserve">  HEATHER </t>
  </si>
  <si>
    <t>Betty</t>
  </si>
  <si>
    <t>Trevor</t>
  </si>
  <si>
    <t>Mike</t>
  </si>
  <si>
    <t>Contreras</t>
  </si>
  <si>
    <t>Sheryl</t>
  </si>
  <si>
    <t>Peters</t>
  </si>
  <si>
    <t>Blevins</t>
  </si>
  <si>
    <t>Salinas</t>
  </si>
  <si>
    <t>Burton</t>
  </si>
  <si>
    <t>Julia</t>
  </si>
  <si>
    <t>Biscuit Brand</t>
  </si>
  <si>
    <t>Cost</t>
  </si>
  <si>
    <t>Unit Price</t>
  </si>
  <si>
    <t>Butter Crunch</t>
  </si>
  <si>
    <t>Caramel Biscuits</t>
  </si>
  <si>
    <t>Choco Delight</t>
  </si>
  <si>
    <t>Cinnamon Swirls</t>
  </si>
  <si>
    <t>Ginger Snaps</t>
  </si>
  <si>
    <t>Lemon Crisps</t>
  </si>
  <si>
    <t>Oatmeal Cookies</t>
  </si>
  <si>
    <t>Peanut Butter Bites</t>
  </si>
  <si>
    <t>Shortbread</t>
  </si>
  <si>
    <t>Vanilla Wafers</t>
  </si>
  <si>
    <t>Unkown</t>
  </si>
  <si>
    <t>Buyer Name</t>
  </si>
  <si>
    <t>William Manning</t>
  </si>
  <si>
    <t>Karen Duke</t>
  </si>
  <si>
    <t>Alexander Smith</t>
  </si>
  <si>
    <t>Antonio Miller</t>
  </si>
  <si>
    <t>Christian Chambers</t>
  </si>
  <si>
    <t>Miguel Carlson</t>
  </si>
  <si>
    <t>James Ryan</t>
  </si>
  <si>
    <t>Brianna Bender</t>
  </si>
  <si>
    <t>Lawrence Cruz</t>
  </si>
  <si>
    <t>Daniel Davenport</t>
  </si>
  <si>
    <t>Kevin Santiago</t>
  </si>
  <si>
    <t>Gregory King</t>
  </si>
  <si>
    <t>George Stevens</t>
  </si>
  <si>
    <t>Timothy Roberts</t>
  </si>
  <si>
    <t>Heidi Doyle</t>
  </si>
  <si>
    <t>Randall Best</t>
  </si>
  <si>
    <t>Bradley Rosales</t>
  </si>
  <si>
    <t>Mary Lopez</t>
  </si>
  <si>
    <t>Timothy Perez</t>
  </si>
  <si>
    <t>Mark Williams</t>
  </si>
  <si>
    <t>David Barr</t>
  </si>
  <si>
    <t>Frank Lee</t>
  </si>
  <si>
    <t>Nicole Thompson</t>
  </si>
  <si>
    <t>Scott Watson</t>
  </si>
  <si>
    <t>Cindy Barrett</t>
  </si>
  <si>
    <t>Vickie Hull</t>
  </si>
  <si>
    <t>Brian Glenn</t>
  </si>
  <si>
    <t>Dylan Strickland</t>
  </si>
  <si>
    <t>Michelle West</t>
  </si>
  <si>
    <t>Nicole Cole</t>
  </si>
  <si>
    <t>Jacqueline Rowland</t>
  </si>
  <si>
    <t>Kathy Harris</t>
  </si>
  <si>
    <t>Lance Neal</t>
  </si>
  <si>
    <t>Alexander Owens</t>
  </si>
  <si>
    <t>Angelica Martinez</t>
  </si>
  <si>
    <t>Travis Hill</t>
  </si>
  <si>
    <t>Emily Bird</t>
  </si>
  <si>
    <t>Kirk Rollins</t>
  </si>
  <si>
    <t>David Mcintyre</t>
  </si>
  <si>
    <t>Sarah May</t>
  </si>
  <si>
    <t>Terri Davis</t>
  </si>
  <si>
    <t>Dawn Duke</t>
  </si>
  <si>
    <t>Heidi Brock</t>
  </si>
  <si>
    <t>Kevin King</t>
  </si>
  <si>
    <t>Kayla Rhodes</t>
  </si>
  <si>
    <t>Thomas Richardson</t>
  </si>
  <si>
    <t>Jason Sullivan</t>
  </si>
  <si>
    <t>Eric Velasquez</t>
  </si>
  <si>
    <t>Willie Conley</t>
  </si>
  <si>
    <t>Katherine Miller</t>
  </si>
  <si>
    <t>Dennis Mcclure</t>
  </si>
  <si>
    <t>Carlos Gallegos</t>
  </si>
  <si>
    <t>Mark Garcia</t>
  </si>
  <si>
    <t>Aaron Young</t>
  </si>
  <si>
    <t>Brian Lucas</t>
  </si>
  <si>
    <t>Crystal Garner</t>
  </si>
  <si>
    <t>James Hicks</t>
  </si>
  <si>
    <t>Derek Richards</t>
  </si>
  <si>
    <t>Robert Hernandez</t>
  </si>
  <si>
    <t>Steven Reynolds</t>
  </si>
  <si>
    <t>Amy Watts</t>
  </si>
  <si>
    <t>Lauren Wright</t>
  </si>
  <si>
    <t>Krista Jones</t>
  </si>
  <si>
    <t>Susan Hensley</t>
  </si>
  <si>
    <t>Megan Miller</t>
  </si>
  <si>
    <t>John Shelton</t>
  </si>
  <si>
    <t>James Carter</t>
  </si>
  <si>
    <t>Michael Jenkins</t>
  </si>
  <si>
    <t>Christopher Fernandez</t>
  </si>
  <si>
    <t>Mitchell Martinez</t>
  </si>
  <si>
    <t>Karen Gonzalez</t>
  </si>
  <si>
    <t>Brandon Clark</t>
  </si>
  <si>
    <t>Thomas Adkins</t>
  </si>
  <si>
    <t>Victoria Turner</t>
  </si>
  <si>
    <t>Antonio Rogers</t>
  </si>
  <si>
    <t>Amanda Hill</t>
  </si>
  <si>
    <t>Kayla Rollins</t>
  </si>
  <si>
    <t>Erin Lozano</t>
  </si>
  <si>
    <t>Jo Morgan</t>
  </si>
  <si>
    <t>Scott Day</t>
  </si>
  <si>
    <t>Amber Stafford</t>
  </si>
  <si>
    <t>Mary Harrison</t>
  </si>
  <si>
    <t>Brandon Gonzalez</t>
  </si>
  <si>
    <t>Jennifer Stewart</t>
  </si>
  <si>
    <t>Robert Padilla</t>
  </si>
  <si>
    <t>Gerald Calhoun</t>
  </si>
  <si>
    <t>Emma Hoffman</t>
  </si>
  <si>
    <t>Cheryl Goodman</t>
  </si>
  <si>
    <t>Courtney Garcia</t>
  </si>
  <si>
    <t>Mary Rodriguez</t>
  </si>
  <si>
    <t>Carrie Perez</t>
  </si>
  <si>
    <t>Tamara Gregory</t>
  </si>
  <si>
    <t>Morgan Wilson</t>
  </si>
  <si>
    <t>David Short</t>
  </si>
  <si>
    <t>Robert Martinez</t>
  </si>
  <si>
    <t>Natalie Williams</t>
  </si>
  <si>
    <t>Gregory Martinez</t>
  </si>
  <si>
    <t>Anthony Kirk</t>
  </si>
  <si>
    <t>Paul Gilbert</t>
  </si>
  <si>
    <t>Megan Reeves</t>
  </si>
  <si>
    <t>Sean Roberts</t>
  </si>
  <si>
    <t>Ryan Todd</t>
  </si>
  <si>
    <t>Karen Kramer</t>
  </si>
  <si>
    <t>Tammy Smith</t>
  </si>
  <si>
    <t>Gregory Unknown</t>
  </si>
  <si>
    <t>Teresa Byrd</t>
  </si>
  <si>
    <t>Wendy Olsen</t>
  </si>
  <si>
    <t>Allison Parker</t>
  </si>
  <si>
    <t>Kim Randolph</t>
  </si>
  <si>
    <t>Rachel Richardson</t>
  </si>
  <si>
    <t>Keith Hansen</t>
  </si>
  <si>
    <t>James Davies</t>
  </si>
  <si>
    <t>Donald Wagner</t>
  </si>
  <si>
    <t>Nicole Baker</t>
  </si>
  <si>
    <t>Beth Kennedy</t>
  </si>
  <si>
    <t>Ashley Cook</t>
  </si>
  <si>
    <t>Tanya Cole</t>
  </si>
  <si>
    <t>Zachary Williams</t>
  </si>
  <si>
    <t>Chris Long</t>
  </si>
  <si>
    <t>Cindy Hansen</t>
  </si>
  <si>
    <t>Corey Smith</t>
  </si>
  <si>
    <t>Melissa Jones</t>
  </si>
  <si>
    <t>Collin Taylor</t>
  </si>
  <si>
    <t>Sean Nash</t>
  </si>
  <si>
    <t>Larry Berry</t>
  </si>
  <si>
    <t>Paul Davis</t>
  </si>
  <si>
    <t>Faith Strickland</t>
  </si>
  <si>
    <t>Kayla Hall</t>
  </si>
  <si>
    <t>Jennifer Rodriguez</t>
  </si>
  <si>
    <t>Marvin Rivera</t>
  </si>
  <si>
    <t>Miranda Bradford</t>
  </si>
  <si>
    <t>Charles Austin</t>
  </si>
  <si>
    <t>Patricia Reed</t>
  </si>
  <si>
    <t>Tracy Schmidt</t>
  </si>
  <si>
    <t>Jennifer Williams</t>
  </si>
  <si>
    <t>Calvin Douglas</t>
  </si>
  <si>
    <t>Debbie Lopez</t>
  </si>
  <si>
    <t>Kenneth Macias</t>
  </si>
  <si>
    <t>April Mcfarland</t>
  </si>
  <si>
    <t>Caitlin Thomas</t>
  </si>
  <si>
    <t>Jessica Gonzalez</t>
  </si>
  <si>
    <t>Jennifer Andrade</t>
  </si>
  <si>
    <t>Madison Wright</t>
  </si>
  <si>
    <t>Denise Turner</t>
  </si>
  <si>
    <t>Cynthia Burns</t>
  </si>
  <si>
    <t>Daniel Carlson</t>
  </si>
  <si>
    <t>Gregory Gibson</t>
  </si>
  <si>
    <t>Stephen Mason</t>
  </si>
  <si>
    <t>Brett Johnson</t>
  </si>
  <si>
    <t>Jeremy Rios</t>
  </si>
  <si>
    <t>Adam Marshall</t>
  </si>
  <si>
    <t>Kelli Bell</t>
  </si>
  <si>
    <t>Zachary Watson</t>
  </si>
  <si>
    <t>Judy Anderson</t>
  </si>
  <si>
    <t>Michelle Palmer</t>
  </si>
  <si>
    <t>Anthony Vaughan</t>
  </si>
  <si>
    <t>Debra Small</t>
  </si>
  <si>
    <t>Mason Cruz</t>
  </si>
  <si>
    <t>Justin Wilson</t>
  </si>
  <si>
    <t>Paige Weber</t>
  </si>
  <si>
    <t>Adam Johnson</t>
  </si>
  <si>
    <t>Kathleen Gonzales</t>
  </si>
  <si>
    <t>Dana Burns</t>
  </si>
  <si>
    <t>George Montes</t>
  </si>
  <si>
    <t>Leslie King</t>
  </si>
  <si>
    <t>Sherry Thompson</t>
  </si>
  <si>
    <t>Stephen Mitchell</t>
  </si>
  <si>
    <t>Mary Miller</t>
  </si>
  <si>
    <t>Ian Knight</t>
  </si>
  <si>
    <t>Hannah Jones</t>
  </si>
  <si>
    <t>Kyle Henderson</t>
  </si>
  <si>
    <t>Marcia Johnson</t>
  </si>
  <si>
    <t>Jesse Moreno</t>
  </si>
  <si>
    <t>Barbara Nelson</t>
  </si>
  <si>
    <t>Melissa Curtis</t>
  </si>
  <si>
    <t>Timothy Oconnor</t>
  </si>
  <si>
    <t>Joseph Glover</t>
  </si>
  <si>
    <t>Samantha Marks</t>
  </si>
  <si>
    <t>Jillian Burnett</t>
  </si>
  <si>
    <t>Cole Curry</t>
  </si>
  <si>
    <t>Ashley Sanford</t>
  </si>
  <si>
    <t>Frank Fletcher</t>
  </si>
  <si>
    <t>Justin Johnson</t>
  </si>
  <si>
    <t>Danielle Palmer</t>
  </si>
  <si>
    <t>Alexandra Potter</t>
  </si>
  <si>
    <t>Caleb Martinez</t>
  </si>
  <si>
    <t>Elizabeth Bryant</t>
  </si>
  <si>
    <t>Crystal Smith</t>
  </si>
  <si>
    <t>Rhonda Patterson</t>
  </si>
  <si>
    <t>Tony Wagner</t>
  </si>
  <si>
    <t>Trevor Skinner</t>
  </si>
  <si>
    <t>Curtis Murray</t>
  </si>
  <si>
    <t>Nancy Lee</t>
  </si>
  <si>
    <t>Billy Reed</t>
  </si>
  <si>
    <t>Kyle Thomas</t>
  </si>
  <si>
    <t>Chloe Hamilton</t>
  </si>
  <si>
    <t>Kendra Griffin</t>
  </si>
  <si>
    <t>Kathy Morris</t>
  </si>
  <si>
    <t>Jason Murray</t>
  </si>
  <si>
    <t>Willie Christensen</t>
  </si>
  <si>
    <t>Kendra Webster</t>
  </si>
  <si>
    <t>Sarah Burton</t>
  </si>
  <si>
    <t>Christina Watts</t>
  </si>
  <si>
    <t>Sabrina Kramer</t>
  </si>
  <si>
    <t>Marilyn Cunningham</t>
  </si>
  <si>
    <t>Eric Taylor</t>
  </si>
  <si>
    <t>Brandon Bradley</t>
  </si>
  <si>
    <t>Susan Thompson</t>
  </si>
  <si>
    <t>James Reynolds</t>
  </si>
  <si>
    <t>Edward Robinson</t>
  </si>
  <si>
    <t>Debra Brown</t>
  </si>
  <si>
    <t>Anthony Garcia</t>
  </si>
  <si>
    <t>Caleb Booth</t>
  </si>
  <si>
    <t>Terrence Powell</t>
  </si>
  <si>
    <t>Maria Hernandez</t>
  </si>
  <si>
    <t>Edward Brown</t>
  </si>
  <si>
    <t>Christopher Scott</t>
  </si>
  <si>
    <t>Monica Washington</t>
  </si>
  <si>
    <t>Rachel Carson</t>
  </si>
  <si>
    <t>Ashley Moore</t>
  </si>
  <si>
    <t>Laurie Tucker</t>
  </si>
  <si>
    <t>Brandon Fowler</t>
  </si>
  <si>
    <t>Laurie Vazquez</t>
  </si>
  <si>
    <t>Laura Wu</t>
  </si>
  <si>
    <t>David Heath</t>
  </si>
  <si>
    <t>Valerie Chavez</t>
  </si>
  <si>
    <t>Samantha Wong</t>
  </si>
  <si>
    <t>Michelle Baker</t>
  </si>
  <si>
    <t>Joshua Gardner</t>
  </si>
  <si>
    <t>Randy Mcgee</t>
  </si>
  <si>
    <t>Jamie Steele</t>
  </si>
  <si>
    <t>Samantha Hernandez</t>
  </si>
  <si>
    <t>Katherine Jenkins</t>
  </si>
  <si>
    <t>Debra Delgado</t>
  </si>
  <si>
    <t>Caitlin Mcdonald</t>
  </si>
  <si>
    <t>Christian Spencer</t>
  </si>
  <si>
    <t>Jill Miller</t>
  </si>
  <si>
    <t>Charles Walls</t>
  </si>
  <si>
    <t>Christina Heath</t>
  </si>
  <si>
    <t>Malik Chan</t>
  </si>
  <si>
    <t>Edward Mccormick</t>
  </si>
  <si>
    <t>Terri Baker</t>
  </si>
  <si>
    <t>Juan Simpson</t>
  </si>
  <si>
    <t>Angela Moody</t>
  </si>
  <si>
    <t>Allen Santos</t>
  </si>
  <si>
    <t>Unkown Blankenship</t>
  </si>
  <si>
    <t>Christopher Greene</t>
  </si>
  <si>
    <t>Ronald Romero</t>
  </si>
  <si>
    <t>Brandon Rodriguez</t>
  </si>
  <si>
    <t>Andrew Tran</t>
  </si>
  <si>
    <t>Taylor Pearson</t>
  </si>
  <si>
    <t>Sara Arnold</t>
  </si>
  <si>
    <t>Kristina Wilson</t>
  </si>
  <si>
    <t>William Frederick</t>
  </si>
  <si>
    <t>Elizabeth White</t>
  </si>
  <si>
    <t>Tracy Butler</t>
  </si>
  <si>
    <t>Leroy Garcia</t>
  </si>
  <si>
    <t>Kimberly Schroeder</t>
  </si>
  <si>
    <t>Connie Santos</t>
  </si>
  <si>
    <t>Sarah Burns</t>
  </si>
  <si>
    <t>Cindy Rice</t>
  </si>
  <si>
    <t>Erica Collins</t>
  </si>
  <si>
    <t>Robin Hayes</t>
  </si>
  <si>
    <t>Veronica Sutton</t>
  </si>
  <si>
    <t>Gerald Schwartz</t>
  </si>
  <si>
    <t>Julie Ortiz</t>
  </si>
  <si>
    <t>Richard Mendoza</t>
  </si>
  <si>
    <t>Jacob Mercado</t>
  </si>
  <si>
    <t>Mandy Lopez</t>
  </si>
  <si>
    <t>Katherine Garcia</t>
  </si>
  <si>
    <t>Jessica Lucas</t>
  </si>
  <si>
    <t>Jessica Martinez</t>
  </si>
  <si>
    <t>David Coleman</t>
  </si>
  <si>
    <t>Michael Shaw</t>
  </si>
  <si>
    <t>Daniel Harrington</t>
  </si>
  <si>
    <t>Clinton Summers</t>
  </si>
  <si>
    <t>Anthony Garza</t>
  </si>
  <si>
    <t>Glenda Green</t>
  </si>
  <si>
    <t>Andrew Unknown</t>
  </si>
  <si>
    <t>Wanda Collins</t>
  </si>
  <si>
    <t>Richard Fowler</t>
  </si>
  <si>
    <t>Michael Becker</t>
  </si>
  <si>
    <t>Christopher Willis</t>
  </si>
  <si>
    <t>Angel Brown</t>
  </si>
  <si>
    <t>Patrick Parker</t>
  </si>
  <si>
    <t>Joshua Chang</t>
  </si>
  <si>
    <t>Briana Hooper</t>
  </si>
  <si>
    <t>Mitchell Garcia</t>
  </si>
  <si>
    <t>Rachel Smith</t>
  </si>
  <si>
    <t>Hannah Osborne</t>
  </si>
  <si>
    <t>Carl Robertson</t>
  </si>
  <si>
    <t>Monica Gonzales</t>
  </si>
  <si>
    <t>William Harper</t>
  </si>
  <si>
    <t>Maria Mcdonald</t>
  </si>
  <si>
    <t>Cynthia Baker</t>
  </si>
  <si>
    <t>Carlos Hart</t>
  </si>
  <si>
    <t>Stephanie Smith</t>
  </si>
  <si>
    <t>Mark Matthews</t>
  </si>
  <si>
    <t>Luis Sheppard</t>
  </si>
  <si>
    <t>Jamie Chandler</t>
  </si>
  <si>
    <t>Theresa Grant</t>
  </si>
  <si>
    <t>Jennifer Parker</t>
  </si>
  <si>
    <t>Stacie Cox</t>
  </si>
  <si>
    <t>Pamela Shaw</t>
  </si>
  <si>
    <t>Joseph Scott</t>
  </si>
  <si>
    <t>Christopher Thompson</t>
  </si>
  <si>
    <t>Casey Sanchez</t>
  </si>
  <si>
    <t>Laura Cooley</t>
  </si>
  <si>
    <t>William Potter</t>
  </si>
  <si>
    <t>Roy Torres</t>
  </si>
  <si>
    <t>Julie Drake</t>
  </si>
  <si>
    <t>Jeffery Dominguez</t>
  </si>
  <si>
    <t>Whitney Smith</t>
  </si>
  <si>
    <t>Sheryl Peters</t>
  </si>
  <si>
    <t>Danny Armstrong</t>
  </si>
  <si>
    <t>Stephanie Doyle</t>
  </si>
  <si>
    <t>Jessica Curry</t>
  </si>
  <si>
    <t>Jennifer Cruz</t>
  </si>
  <si>
    <t>Logan Alexander</t>
  </si>
  <si>
    <t>Allen Smith</t>
  </si>
  <si>
    <t>Andre Lewis</t>
  </si>
  <si>
    <t>Amy Roberts</t>
  </si>
  <si>
    <t>Amy Bolton</t>
  </si>
  <si>
    <t>Nicole Wright</t>
  </si>
  <si>
    <t>Megan Jarvis</t>
  </si>
  <si>
    <t>Anthony Marshall</t>
  </si>
  <si>
    <t>Diana Collins</t>
  </si>
  <si>
    <t>Jennifer Palmer</t>
  </si>
  <si>
    <t>James Miller</t>
  </si>
  <si>
    <t>Monique Mendoza</t>
  </si>
  <si>
    <t>Hannah Smith</t>
  </si>
  <si>
    <t>Brandon Pena</t>
  </si>
  <si>
    <t>Brenda Shaw</t>
  </si>
  <si>
    <t>Jeremy Richardson</t>
  </si>
  <si>
    <t>Matthew Jones</t>
  </si>
  <si>
    <t>Christian Burnett</t>
  </si>
  <si>
    <t>Kevin Roach</t>
  </si>
  <si>
    <t>Crystal Knight</t>
  </si>
  <si>
    <t>Clinton Haynes</t>
  </si>
  <si>
    <t>Michael Hernandez</t>
  </si>
  <si>
    <t>Wayne Cortez</t>
  </si>
  <si>
    <t>Nicole Villarreal</t>
  </si>
  <si>
    <t>Erika Wilson</t>
  </si>
  <si>
    <t>Ann Todd</t>
  </si>
  <si>
    <t>Micheal Murillo</t>
  </si>
  <si>
    <t>Whitney Miller</t>
  </si>
  <si>
    <t>James Ramos</t>
  </si>
  <si>
    <t>Benjamin Coleman</t>
  </si>
  <si>
    <t>Sean Garcia</t>
  </si>
  <si>
    <t>Joan Hodges</t>
  </si>
  <si>
    <t>Benjamin Gilbert</t>
  </si>
  <si>
    <t>Timothy Ruiz</t>
  </si>
  <si>
    <t>John Taylor</t>
  </si>
  <si>
    <t>James Mcmillan</t>
  </si>
  <si>
    <t>Michele Fitzpatrick</t>
  </si>
  <si>
    <t>Tonya Jennings</t>
  </si>
  <si>
    <t>Amanda Kim</t>
  </si>
  <si>
    <t>Vanessa Mueller</t>
  </si>
  <si>
    <t>William Skinner</t>
  </si>
  <si>
    <t>Angela May</t>
  </si>
  <si>
    <t>James Burke</t>
  </si>
  <si>
    <t>Timothy Mayer</t>
  </si>
  <si>
    <t>David Flynn</t>
  </si>
  <si>
    <t>Jeffrey Smith</t>
  </si>
  <si>
    <t>Steven Parsons</t>
  </si>
  <si>
    <t>Colleen West</t>
  </si>
  <si>
    <t>Carol Williams</t>
  </si>
  <si>
    <t>Willie Robertson</t>
  </si>
  <si>
    <t>Elizabeth Mills</t>
  </si>
  <si>
    <t>Jennifer Estes</t>
  </si>
  <si>
    <t>Sarah Unknown</t>
  </si>
  <si>
    <t>Norman Small</t>
  </si>
  <si>
    <t>Krystal Clark</t>
  </si>
  <si>
    <t>Caitlyn Sims</t>
  </si>
  <si>
    <t>Crystal Weaver</t>
  </si>
  <si>
    <t>Pamela Lee</t>
  </si>
  <si>
    <t>Melissa Boyd</t>
  </si>
  <si>
    <t>Rebecca Garcia</t>
  </si>
  <si>
    <t>Rose Unknown</t>
  </si>
  <si>
    <t>Leslie Singleton</t>
  </si>
  <si>
    <t>Jennifer Valdez</t>
  </si>
  <si>
    <t>Ryan Anderson</t>
  </si>
  <si>
    <t>Linda Douglas</t>
  </si>
  <si>
    <t>Tanya Kelly</t>
  </si>
  <si>
    <t>Daniel Roberson</t>
  </si>
  <si>
    <t>Tina Collins</t>
  </si>
  <si>
    <t>Heather Pearson</t>
  </si>
  <si>
    <t>William Hardin</t>
  </si>
  <si>
    <t>Helen Lee</t>
  </si>
  <si>
    <t>Tyrone Garcia</t>
  </si>
  <si>
    <t>Felicia Smith</t>
  </si>
  <si>
    <t>Haley Myers</t>
  </si>
  <si>
    <t>Douglas Anderson</t>
  </si>
  <si>
    <t>Christopher Barnett</t>
  </si>
  <si>
    <t>Rodney Diaz</t>
  </si>
  <si>
    <t>Jeffery Myers</t>
  </si>
  <si>
    <t>Frank Green</t>
  </si>
  <si>
    <t>Tony Ball</t>
  </si>
  <si>
    <t>Lori Davidson</t>
  </si>
  <si>
    <t>Manuel Gibson</t>
  </si>
  <si>
    <t>Jennifer Nguyen</t>
  </si>
  <si>
    <t>Amy Jones</t>
  </si>
  <si>
    <t>Nathan Williams</t>
  </si>
  <si>
    <t>Brandon Nguyen</t>
  </si>
  <si>
    <t>Nicolas Werner</t>
  </si>
  <si>
    <t>Beth Parrish</t>
  </si>
  <si>
    <t>Michael Bryan</t>
  </si>
  <si>
    <t>Scott Unknown</t>
  </si>
  <si>
    <t>Hannah Benjamin</t>
  </si>
  <si>
    <t>Sherri Watts</t>
  </si>
  <si>
    <t>Kimberly Walker</t>
  </si>
  <si>
    <t>Courtney Johnston</t>
  </si>
  <si>
    <t>Dawn Wilson</t>
  </si>
  <si>
    <t>Derek Smith</t>
  </si>
  <si>
    <t>Kaitlin Hart</t>
  </si>
  <si>
    <t>Michelle Garcia</t>
  </si>
  <si>
    <t>Craig Miller</t>
  </si>
  <si>
    <t>Wanda Maxwell</t>
  </si>
  <si>
    <t>Tracy Skinner</t>
  </si>
  <si>
    <t>Christopher Bullock</t>
  </si>
  <si>
    <t>Christian Weeks</t>
  </si>
  <si>
    <t>Thomas West</t>
  </si>
  <si>
    <t>Michelle Gonzales</t>
  </si>
  <si>
    <t>Robert Cooke</t>
  </si>
  <si>
    <t>Brandon Brown</t>
  </si>
  <si>
    <t>Maria Berg</t>
  </si>
  <si>
    <t>Marcus Dickson</t>
  </si>
  <si>
    <t>Victoria Sullivan</t>
  </si>
  <si>
    <t>Steven Russell</t>
  </si>
  <si>
    <t>Jason Wilson</t>
  </si>
  <si>
    <t>Sandra Leonard</t>
  </si>
  <si>
    <t>Tammy Curtis</t>
  </si>
  <si>
    <t>Brandy Myers</t>
  </si>
  <si>
    <t>Sean Harris</t>
  </si>
  <si>
    <t>Taylor Brewer</t>
  </si>
  <si>
    <t>Jacqueline Watts</t>
  </si>
  <si>
    <t>Diana Ford</t>
  </si>
  <si>
    <t>Angela Murillo</t>
  </si>
  <si>
    <t>Terri Bailey</t>
  </si>
  <si>
    <t>April Mendez</t>
  </si>
  <si>
    <t>Lonnie Simmons</t>
  </si>
  <si>
    <t>Andrew Washington</t>
  </si>
  <si>
    <t>David Hill</t>
  </si>
  <si>
    <t>Dylan Leach</t>
  </si>
  <si>
    <t>William Ryan</t>
  </si>
  <si>
    <t>Kara Bentley</t>
  </si>
  <si>
    <t>Robert Reyes</t>
  </si>
  <si>
    <t>Ashley Alvarado</t>
  </si>
  <si>
    <t>Melissa Nguyen</t>
  </si>
  <si>
    <t>Renee Gomez</t>
  </si>
  <si>
    <t>Tommy Waters</t>
  </si>
  <si>
    <t>Alyssa Stewart</t>
  </si>
  <si>
    <t>Theodore Peterson</t>
  </si>
  <si>
    <t>Adriana Moore</t>
  </si>
  <si>
    <t>Alex House</t>
  </si>
  <si>
    <t>Chelsea Nguyen</t>
  </si>
  <si>
    <t>Adam Atkinson</t>
  </si>
  <si>
    <t>Mario Rubio</t>
  </si>
  <si>
    <t>William Allen</t>
  </si>
  <si>
    <t>Melissa Daugherty</t>
  </si>
  <si>
    <t>Heidi Scott</t>
  </si>
  <si>
    <t>James Brown</t>
  </si>
  <si>
    <t>Heather Cohen</t>
  </si>
  <si>
    <t>Brianna Collins</t>
  </si>
  <si>
    <t>Angela Davis</t>
  </si>
  <si>
    <t>Shannon Anderson</t>
  </si>
  <si>
    <t>Chelsea Garcia</t>
  </si>
  <si>
    <t>Victor Cuevas</t>
  </si>
  <si>
    <t>Steven Anderson</t>
  </si>
  <si>
    <t>Alyssa Wells</t>
  </si>
  <si>
    <t>Kelsey Roth</t>
  </si>
  <si>
    <t>Scott Olson</t>
  </si>
  <si>
    <t>Angela Montgomery</t>
  </si>
  <si>
    <t>Anna Hopkins</t>
  </si>
  <si>
    <t>Edgar Cole</t>
  </si>
  <si>
    <t>Patrick Williams</t>
  </si>
  <si>
    <t>John Johnson</t>
  </si>
  <si>
    <t>Arthur Hicks</t>
  </si>
  <si>
    <t>Corey Roach</t>
  </si>
  <si>
    <t>Emily Holden</t>
  </si>
  <si>
    <t>Steven Browning</t>
  </si>
  <si>
    <t>Stephanie Kelley</t>
  </si>
  <si>
    <t>Carl Torres</t>
  </si>
  <si>
    <t>Katherine Adams</t>
  </si>
  <si>
    <t>Charles Maldonado</t>
  </si>
  <si>
    <t>Andrea Lane</t>
  </si>
  <si>
    <t>Kim Butler</t>
  </si>
  <si>
    <t>Olivia Phillips</t>
  </si>
  <si>
    <t>Timothy Jones</t>
  </si>
  <si>
    <t>Tyler Vasquez</t>
  </si>
  <si>
    <t>James Steele</t>
  </si>
  <si>
    <t>Robert Bell</t>
  </si>
  <si>
    <t>Sheila Sampson</t>
  </si>
  <si>
    <t>Thomas Hernandez</t>
  </si>
  <si>
    <t>Chelsey Johnson</t>
  </si>
  <si>
    <t>Marcus Suarez</t>
  </si>
  <si>
    <t>Jason Johnston</t>
  </si>
  <si>
    <t>Oscar Wright</t>
  </si>
  <si>
    <t>Shannon Unknown</t>
  </si>
  <si>
    <t>Christian Neal</t>
  </si>
  <si>
    <t>Cynthia Tucker</t>
  </si>
  <si>
    <t>Daniel Howell</t>
  </si>
  <si>
    <t>Karen Fischer</t>
  </si>
  <si>
    <t>Victoria Rodriguez</t>
  </si>
  <si>
    <t>Alicia Scott</t>
  </si>
  <si>
    <t>Elizabeth Farrell</t>
  </si>
  <si>
    <t>Christopher Holmes</t>
  </si>
  <si>
    <t>Randall Medina</t>
  </si>
  <si>
    <t>Sharon Rios</t>
  </si>
  <si>
    <t>Cathy Hodges</t>
  </si>
  <si>
    <t>Joseph Alexander</t>
  </si>
  <si>
    <t>Crystal Mcdowell</t>
  </si>
  <si>
    <t>Anita Haney</t>
  </si>
  <si>
    <t>Eric Tucker</t>
  </si>
  <si>
    <t>Betty Barajas</t>
  </si>
  <si>
    <t>George Brown</t>
  </si>
  <si>
    <t>Brian Kelley</t>
  </si>
  <si>
    <t>Samantha Flynn</t>
  </si>
  <si>
    <t>Kristin Jimenez</t>
  </si>
  <si>
    <t>Richard Butler</t>
  </si>
  <si>
    <t>Brittney Diaz</t>
  </si>
  <si>
    <t>Megan Lee</t>
  </si>
  <si>
    <t>Andrea Davis</t>
  </si>
  <si>
    <t>Brianna Moore</t>
  </si>
  <si>
    <t>Brian Marsh</t>
  </si>
  <si>
    <t>Thomas Morris</t>
  </si>
  <si>
    <t>Alex Rosario</t>
  </si>
  <si>
    <t>Bradley Cruz</t>
  </si>
  <si>
    <t>Andrea Choi</t>
  </si>
  <si>
    <t>Shannon Butler</t>
  </si>
  <si>
    <t>Jessica Rivera</t>
  </si>
  <si>
    <t>Aaron Fernandez</t>
  </si>
  <si>
    <t>Erica Murphy</t>
  </si>
  <si>
    <t>Nathaniel Williams</t>
  </si>
  <si>
    <t>Tracy Sweeney</t>
  </si>
  <si>
    <t>Joseph Woodward</t>
  </si>
  <si>
    <t>Jason Harris</t>
  </si>
  <si>
    <t>Lindsay Reeves</t>
  </si>
  <si>
    <t>Dawn Espinoza</t>
  </si>
  <si>
    <t>Ashley Santos</t>
  </si>
  <si>
    <t>Stephen Ellis</t>
  </si>
  <si>
    <t>Diana Hall</t>
  </si>
  <si>
    <t>James Parker</t>
  </si>
  <si>
    <t>Karen Farley</t>
  </si>
  <si>
    <t>Erica Willis</t>
  </si>
  <si>
    <t>William Campbell</t>
  </si>
  <si>
    <t>Christopher Valencia</t>
  </si>
  <si>
    <t>William Mckenzie</t>
  </si>
  <si>
    <t>Phillip Lucas</t>
  </si>
  <si>
    <t>Andrew Shields</t>
  </si>
  <si>
    <t>Holly Fields</t>
  </si>
  <si>
    <t>Tara Peterson</t>
  </si>
  <si>
    <t>Zachary Blevins</t>
  </si>
  <si>
    <t>Stephanie Hawkins</t>
  </si>
  <si>
    <t>Robert Cooper</t>
  </si>
  <si>
    <t>Stephanie Henderson</t>
  </si>
  <si>
    <t>Michelle Erickson</t>
  </si>
  <si>
    <t>Ana Wallace</t>
  </si>
  <si>
    <t>Charles Miller</t>
  </si>
  <si>
    <t>Joseph Jensen</t>
  </si>
  <si>
    <t>Paul Miller</t>
  </si>
  <si>
    <t>Patricia Moore</t>
  </si>
  <si>
    <t>Lisa Hernandez</t>
  </si>
  <si>
    <t>Daniel Lopez</t>
  </si>
  <si>
    <t>Mike Contreras</t>
  </si>
  <si>
    <t>Timothy Pitts</t>
  </si>
  <si>
    <t>Nathan Frazier</t>
  </si>
  <si>
    <t>Lisa Bishop</t>
  </si>
  <si>
    <t>Michael Ewing</t>
  </si>
  <si>
    <t>Julia Bell</t>
  </si>
  <si>
    <t>Kayla James</t>
  </si>
  <si>
    <t>Ethan Ford</t>
  </si>
  <si>
    <t>Stephanie Love</t>
  </si>
  <si>
    <t>Jose Caldwell</t>
  </si>
  <si>
    <t>Melissa Bond</t>
  </si>
  <si>
    <t>Raymond Wade</t>
  </si>
  <si>
    <t>Claudia White</t>
  </si>
  <si>
    <t>Joseph Davis</t>
  </si>
  <si>
    <t>Michael Johnson</t>
  </si>
  <si>
    <t>Donna Jacobs</t>
  </si>
  <si>
    <t>Christopher Smith</t>
  </si>
  <si>
    <t>Charles Harvey</t>
  </si>
  <si>
    <t>Lindsey Brown</t>
  </si>
  <si>
    <t>Carol King</t>
  </si>
  <si>
    <t>Anthony Duncan</t>
  </si>
  <si>
    <t>Robert Brown</t>
  </si>
  <si>
    <t>Fernando Alvarez</t>
  </si>
  <si>
    <t>David Hoover</t>
  </si>
  <si>
    <t>Gina Smith</t>
  </si>
  <si>
    <t>Tammy Hernandez</t>
  </si>
  <si>
    <t>Leslie Vaughn</t>
  </si>
  <si>
    <t>Angela Lewis</t>
  </si>
  <si>
    <t>Amanda Hughes</t>
  </si>
  <si>
    <t>Oscar Morgan</t>
  </si>
  <si>
    <t>Sarah Lopez</t>
  </si>
  <si>
    <t>John Sheppard</t>
  </si>
  <si>
    <t>Madeline Hatfield</t>
  </si>
  <si>
    <t>Brian Bryan</t>
  </si>
  <si>
    <t>Katie Young</t>
  </si>
  <si>
    <t>Bruce Patterson</t>
  </si>
  <si>
    <t>Brian Welch</t>
  </si>
  <si>
    <t>Justin Weaver</t>
  </si>
  <si>
    <t>Laura Vasquez</t>
  </si>
  <si>
    <t>Robert Curry</t>
  </si>
  <si>
    <t>Timothy Mack</t>
  </si>
  <si>
    <t>Kim Boyd</t>
  </si>
  <si>
    <t>Brian West</t>
  </si>
  <si>
    <t>Catherine Nunez</t>
  </si>
  <si>
    <t>Matthew Simmons</t>
  </si>
  <si>
    <t>Daniel Russell</t>
  </si>
  <si>
    <t>Megan Clark</t>
  </si>
  <si>
    <t>John Robinson</t>
  </si>
  <si>
    <t>Nicholas Castillo</t>
  </si>
  <si>
    <t>Lisa Kramer</t>
  </si>
  <si>
    <t>Thomas Jordan</t>
  </si>
  <si>
    <t>Brandi Gillespie</t>
  </si>
  <si>
    <t>Kevin Powell</t>
  </si>
  <si>
    <t>Randy Foster</t>
  </si>
  <si>
    <t>Zachary Reed</t>
  </si>
  <si>
    <t>Paul Williams</t>
  </si>
  <si>
    <t>Patricia Sanchez</t>
  </si>
  <si>
    <t>Mark Baldwin</t>
  </si>
  <si>
    <t>James Nichols</t>
  </si>
  <si>
    <t>Gary Frazier</t>
  </si>
  <si>
    <t>William Foster</t>
  </si>
  <si>
    <t>Christine Jones</t>
  </si>
  <si>
    <t>Dean Kirk</t>
  </si>
  <si>
    <t>Karen Gordon</t>
  </si>
  <si>
    <t>Keith Doyle</t>
  </si>
  <si>
    <t>Samantha Clay</t>
  </si>
  <si>
    <t>Karen Hughes</t>
  </si>
  <si>
    <t>Shannon Thomas</t>
  </si>
  <si>
    <t>Ashley Brown</t>
  </si>
  <si>
    <t>Samuel Sawyer</t>
  </si>
  <si>
    <t>Brent Pratt</t>
  </si>
  <si>
    <t>Kristina Santos</t>
  </si>
  <si>
    <t>Sarah Hayes</t>
  </si>
  <si>
    <t>Jeremy Burns</t>
  </si>
  <si>
    <t>Crystal Fitzgerald</t>
  </si>
  <si>
    <t>Sarah Martin</t>
  </si>
  <si>
    <t>David Church</t>
  </si>
  <si>
    <t>Aaron Unknown</t>
  </si>
  <si>
    <t>Angel Rowland</t>
  </si>
  <si>
    <t>Gary Dillon</t>
  </si>
  <si>
    <t>Stephen Grimes</t>
  </si>
  <si>
    <t>Molly Stewart</t>
  </si>
  <si>
    <t>Ronald Hodges</t>
  </si>
  <si>
    <t>Rebecca Phillips</t>
  </si>
  <si>
    <t>Donna Bailey</t>
  </si>
  <si>
    <t>Nicholas Rogers</t>
  </si>
  <si>
    <t>Cheryl Lang</t>
  </si>
  <si>
    <t>Mary Hicks</t>
  </si>
  <si>
    <t>Louis Harper</t>
  </si>
  <si>
    <t>Matthew Franklin</t>
  </si>
  <si>
    <t>Martin Martin</t>
  </si>
  <si>
    <t>Nicholas Williams</t>
  </si>
  <si>
    <t>Pamela Alvarez</t>
  </si>
  <si>
    <t>Rebecca Johnson</t>
  </si>
  <si>
    <t>Charles Brown</t>
  </si>
  <si>
    <t>Justin Sanchez</t>
  </si>
  <si>
    <t>Brandon Lopez</t>
  </si>
  <si>
    <t>Pamela Robbins</t>
  </si>
  <si>
    <t>Sherry Foster</t>
  </si>
  <si>
    <t>Chase Watts</t>
  </si>
  <si>
    <t>Theresa Duran</t>
  </si>
  <si>
    <t>Sarah Ray</t>
  </si>
  <si>
    <t>Evan Ruiz</t>
  </si>
  <si>
    <t>Nina Armstrong</t>
  </si>
  <si>
    <t>Carmen Navarro</t>
  </si>
  <si>
    <t>Charles Marquez</t>
  </si>
  <si>
    <t>Alex Fischer</t>
  </si>
  <si>
    <t>Samuel Mathews</t>
  </si>
  <si>
    <t>Steven Boone</t>
  </si>
  <si>
    <t>Karen Salinas</t>
  </si>
  <si>
    <t>David Sharp</t>
  </si>
  <si>
    <t>Roger Rodriguez</t>
  </si>
  <si>
    <t>Michelle Ingram</t>
  </si>
  <si>
    <t>Michael Ortiz</t>
  </si>
  <si>
    <t>Sherry Mccoy</t>
  </si>
  <si>
    <t>Jillian Cantrell</t>
  </si>
  <si>
    <t>Heidi Rodriguez</t>
  </si>
  <si>
    <t>Shawn Cervantes</t>
  </si>
  <si>
    <t>Dustin Hawkins</t>
  </si>
  <si>
    <t>Destiny Smith</t>
  </si>
  <si>
    <t>Barbara Miller</t>
  </si>
  <si>
    <t>Paul Goodman</t>
  </si>
  <si>
    <t>Jillian Lopez</t>
  </si>
  <si>
    <t>John Lynn</t>
  </si>
  <si>
    <t>David Maldonado</t>
  </si>
  <si>
    <t>Kimberly Welch</t>
  </si>
  <si>
    <t>Andrea Johns</t>
  </si>
  <si>
    <t>Melissa Bush</t>
  </si>
  <si>
    <t>Kyle Baker</t>
  </si>
  <si>
    <t>Nathan Shaw</t>
  </si>
  <si>
    <t>Megan Walker</t>
  </si>
  <si>
    <t>Jared Marsh</t>
  </si>
  <si>
    <t>Nicholas Baker</t>
  </si>
  <si>
    <t>Aaron Glover</t>
  </si>
  <si>
    <t>Thomas Cunningham</t>
  </si>
  <si>
    <t>Elizabeth Gonzalez</t>
  </si>
  <si>
    <t>Samuel Grant</t>
  </si>
  <si>
    <t>Tammy Shannon</t>
  </si>
  <si>
    <t>Stephen Knight</t>
  </si>
  <si>
    <t>Peter Ballard</t>
  </si>
  <si>
    <t>Christina Sawyer</t>
  </si>
  <si>
    <t>Leah Green</t>
  </si>
  <si>
    <t>Benjamin Caldwell</t>
  </si>
  <si>
    <t>Kelly Gonzalez</t>
  </si>
  <si>
    <t>Diane Nguyen</t>
  </si>
  <si>
    <t>Terry Huffman</t>
  </si>
  <si>
    <t>Judy Hutchinson</t>
  </si>
  <si>
    <t>Christopher Barnes</t>
  </si>
  <si>
    <t>Nicholas Porter</t>
  </si>
  <si>
    <t>Norman Wright</t>
  </si>
  <si>
    <t>Teresa Coleman</t>
  </si>
  <si>
    <t>Pamela Kramer</t>
  </si>
  <si>
    <t>Alan Mills</t>
  </si>
  <si>
    <t>David Brown</t>
  </si>
  <si>
    <t>Michael Oneill</t>
  </si>
  <si>
    <t>Candace Odonnell</t>
  </si>
  <si>
    <t>Deborah Sanchez</t>
  </si>
  <si>
    <t>Sara Brown</t>
  </si>
  <si>
    <t>Kristen Wells</t>
  </si>
  <si>
    <t>Isaac Gallagher</t>
  </si>
  <si>
    <t>Anthony Branch</t>
  </si>
  <si>
    <t>Katie Rogers</t>
  </si>
  <si>
    <t>Daniel Rojas</t>
  </si>
  <si>
    <t>Maria Holt</t>
  </si>
  <si>
    <t>Kenneth Schmidt</t>
  </si>
  <si>
    <t>Jeremy Robertson</t>
  </si>
  <si>
    <t>Jesse Cortez</t>
  </si>
  <si>
    <t>Robert Wiggins</t>
  </si>
  <si>
    <t>Kenneth Taylor</t>
  </si>
  <si>
    <t>Jeffrey Bauer</t>
  </si>
  <si>
    <t>Rachel Clark</t>
  </si>
  <si>
    <t>Lisa Gallegos</t>
  </si>
  <si>
    <t>Carol Wood</t>
  </si>
  <si>
    <t>Steven Mullins</t>
  </si>
  <si>
    <t>Jonathan Cisneros</t>
  </si>
  <si>
    <t>Erik Green</t>
  </si>
  <si>
    <t>Wesley Horne</t>
  </si>
  <si>
    <t>Luke Phillips</t>
  </si>
  <si>
    <t>Audrey Friedman</t>
  </si>
  <si>
    <t>Robert King</t>
  </si>
  <si>
    <t>Tanya Oneal</t>
  </si>
  <si>
    <t>Allison Shepherd</t>
  </si>
  <si>
    <t>Keith Carlson</t>
  </si>
  <si>
    <t>Jeffrey Miller</t>
  </si>
  <si>
    <t>Jennifer Bell</t>
  </si>
  <si>
    <t>David Ramirez</t>
  </si>
  <si>
    <t>Noah Kelly</t>
  </si>
  <si>
    <t>Jacob Kelly</t>
  </si>
  <si>
    <t>Jean Farmer</t>
  </si>
  <si>
    <t>Juan Porter</t>
  </si>
  <si>
    <t>Michael Livingston</t>
  </si>
  <si>
    <t>Robert Warren</t>
  </si>
  <si>
    <t>Lawrence Lopez</t>
  </si>
  <si>
    <t>Rachel Fuentes</t>
  </si>
  <si>
    <t>Madison Beck</t>
  </si>
  <si>
    <t>Tracy Calderon</t>
  </si>
  <si>
    <t>Stephen Nash</t>
  </si>
  <si>
    <t>Thomas Barton</t>
  </si>
  <si>
    <t>Samuel Nunez</t>
  </si>
  <si>
    <t>Samantha Smith</t>
  </si>
  <si>
    <t>Nicole Hayden</t>
  </si>
  <si>
    <t>Jerry Logan</t>
  </si>
  <si>
    <t>Dawn Daniels</t>
  </si>
  <si>
    <t>Mary Ramsey</t>
  </si>
  <si>
    <t>Vanessa Dean</t>
  </si>
  <si>
    <t>Ethan Saunders</t>
  </si>
  <si>
    <t>Kathryn Kelley</t>
  </si>
  <si>
    <t>Savannah Zimmerman</t>
  </si>
  <si>
    <t>Diana Neal</t>
  </si>
  <si>
    <t>Kimberly Reid</t>
  </si>
  <si>
    <t>Logan Miller</t>
  </si>
  <si>
    <t>Adrienne Wilson</t>
  </si>
  <si>
    <t>Anne Padilla</t>
  </si>
  <si>
    <t>Brittany Allen</t>
  </si>
  <si>
    <t>Julie Mann</t>
  </si>
  <si>
    <t>Kelly Nixon</t>
  </si>
  <si>
    <t>Christian Martinez</t>
  </si>
  <si>
    <t>Kayla Obrien</t>
  </si>
  <si>
    <t>Lauren Cannon</t>
  </si>
  <si>
    <t>Dustin Andrade</t>
  </si>
  <si>
    <t>Justin Perry</t>
  </si>
  <si>
    <t>Gabriel Friedman</t>
  </si>
  <si>
    <t>Rita Jacobs</t>
  </si>
  <si>
    <t>Joshua Stone</t>
  </si>
  <si>
    <t>Robert Garcia</t>
  </si>
  <si>
    <t>Charlotte Mueller</t>
  </si>
  <si>
    <t>Paul Hardin</t>
  </si>
  <si>
    <t>Kevin Beltran</t>
  </si>
  <si>
    <t>Jason Johnson</t>
  </si>
  <si>
    <t>Daniel Blanchard</t>
  </si>
  <si>
    <t>Jodi Weber</t>
  </si>
  <si>
    <t>Julian Gutierrez</t>
  </si>
  <si>
    <t>Amanda Harvey</t>
  </si>
  <si>
    <t>John Graham</t>
  </si>
  <si>
    <t>Ashley Reid</t>
  </si>
  <si>
    <t>Linda Garcia</t>
  </si>
  <si>
    <t>Amanda Johnson</t>
  </si>
  <si>
    <t>Michael Schneider</t>
  </si>
  <si>
    <t>Victoria Morales</t>
  </si>
  <si>
    <t>Donald Bradley</t>
  </si>
  <si>
    <t>Heather Hamilton</t>
  </si>
  <si>
    <t>Amanda Coleman</t>
  </si>
  <si>
    <t>Clinton Ferguson</t>
  </si>
  <si>
    <t>Andrew Henderson</t>
  </si>
  <si>
    <t>Joshua Mccormick</t>
  </si>
  <si>
    <t>Steven Unknown</t>
  </si>
  <si>
    <t>Ryan Davis</t>
  </si>
  <si>
    <t>Rebekah Ford</t>
  </si>
  <si>
    <t>Megan Baker</t>
  </si>
  <si>
    <t>Ethan Clayton</t>
  </si>
  <si>
    <t>Michael Todd</t>
  </si>
  <si>
    <t>Andrew Jenkins</t>
  </si>
  <si>
    <t>Jacqueline Boyer</t>
  </si>
  <si>
    <t>Thomas King</t>
  </si>
  <si>
    <t>Richard Roberts</t>
  </si>
  <si>
    <t>Melissa Smith</t>
  </si>
  <si>
    <t>James Duran</t>
  </si>
  <si>
    <t>Barbara Smith</t>
  </si>
  <si>
    <t>Samuel Jordan</t>
  </si>
  <si>
    <t>Lori Martinez</t>
  </si>
  <si>
    <t>Deborah Bishop</t>
  </si>
  <si>
    <t>Christopher Martin</t>
  </si>
  <si>
    <t>Lisa Austin</t>
  </si>
  <si>
    <t>Lawrence Jackson</t>
  </si>
  <si>
    <t>Michael Hawkins</t>
  </si>
  <si>
    <t>David Thompson</t>
  </si>
  <si>
    <t>Jessica Barajas</t>
  </si>
  <si>
    <t>Michelle Brennan</t>
  </si>
  <si>
    <t>Daniel Rios</t>
  </si>
  <si>
    <t>Haley Baker</t>
  </si>
  <si>
    <t>Breanna Potter</t>
  </si>
  <si>
    <t>Jeremy Salas</t>
  </si>
  <si>
    <t>April Armstrong</t>
  </si>
  <si>
    <t>Taylor Wilson</t>
  </si>
  <si>
    <t>Tamara Edwards</t>
  </si>
  <si>
    <t>Tanya Taylor</t>
  </si>
  <si>
    <t>Brenda Simmons</t>
  </si>
  <si>
    <t>Alicia Ramirez</t>
  </si>
  <si>
    <t>Valerie Johnston</t>
  </si>
  <si>
    <t>Savannah Davis</t>
  </si>
  <si>
    <t>Ashley Nelson</t>
  </si>
  <si>
    <t>Tina Zuniga</t>
  </si>
  <si>
    <t>Robert Rich</t>
  </si>
  <si>
    <t>Beth Smith</t>
  </si>
  <si>
    <t>Mary Taylor</t>
  </si>
  <si>
    <t>Unkown Clark</t>
  </si>
  <si>
    <t>Brandon Richardson</t>
  </si>
  <si>
    <t>Lisa Unknown</t>
  </si>
  <si>
    <t>Kathleen Stafford</t>
  </si>
  <si>
    <t>Daniel Young</t>
  </si>
  <si>
    <t>Denise Harris</t>
  </si>
  <si>
    <t>John Mata</t>
  </si>
  <si>
    <t>Michael Sharp</t>
  </si>
  <si>
    <t>Cathy Davila</t>
  </si>
  <si>
    <t>Angela Pennington</t>
  </si>
  <si>
    <t>Kathryn Clark</t>
  </si>
  <si>
    <t>Brandon Boone</t>
  </si>
  <si>
    <t>Kenneth Franklin</t>
  </si>
  <si>
    <t>Scott Garcia</t>
  </si>
  <si>
    <t>Matthew Stewart</t>
  </si>
  <si>
    <t>Vanessa Ortiz</t>
  </si>
  <si>
    <t>Zachary Wall</t>
  </si>
  <si>
    <t>Dennis Norris</t>
  </si>
  <si>
    <t>Andrew Vargas</t>
  </si>
  <si>
    <t>Marissa Torres</t>
  </si>
  <si>
    <t>Christopher Oconnor</t>
  </si>
  <si>
    <t>Laura Parks</t>
  </si>
  <si>
    <t>Sarah Valdez</t>
  </si>
  <si>
    <t>Alexa Harris</t>
  </si>
  <si>
    <t>Justin Powell</t>
  </si>
  <si>
    <t>Vincent Benson</t>
  </si>
  <si>
    <t>Paul Smith</t>
  </si>
  <si>
    <t>Robert Fowler</t>
  </si>
  <si>
    <t>Crystal Harris</t>
  </si>
  <si>
    <t>Lisa Joseph</t>
  </si>
  <si>
    <t>Justin Weeks</t>
  </si>
  <si>
    <t>Paula Moore</t>
  </si>
  <si>
    <t>Monica Hogan</t>
  </si>
  <si>
    <t>Hannah Gonzalez</t>
  </si>
  <si>
    <t>James Garcia</t>
  </si>
  <si>
    <t>Robert Scott</t>
  </si>
  <si>
    <t>Amber Davidson</t>
  </si>
  <si>
    <t>Michelle Mccullough</t>
  </si>
  <si>
    <t>Sharon Yates</t>
  </si>
  <si>
    <t>Melissa Walker</t>
  </si>
  <si>
    <t>Terri Baxter</t>
  </si>
  <si>
    <t>Brian Walton</t>
  </si>
  <si>
    <t>Brian Conley</t>
  </si>
  <si>
    <t>Tyler Ballard</t>
  </si>
  <si>
    <t>Rebecca Larson</t>
  </si>
  <si>
    <t>William Solis</t>
  </si>
  <si>
    <t>Rebekah Garrett</t>
  </si>
  <si>
    <t>Lindsey Oconnell</t>
  </si>
  <si>
    <t>Cathy Schwartz</t>
  </si>
  <si>
    <t>Cameron Hays</t>
  </si>
  <si>
    <t>Christine Bass</t>
  </si>
  <si>
    <t>Christopher Adams</t>
  </si>
  <si>
    <t>David Gray</t>
  </si>
  <si>
    <t>Katherine Abbott</t>
  </si>
  <si>
    <t>Garrett Lopez</t>
  </si>
  <si>
    <t>Thomas Carter</t>
  </si>
  <si>
    <t>Carol Young</t>
  </si>
  <si>
    <t>Mia Hill</t>
  </si>
  <si>
    <t>Valerie Gould</t>
  </si>
  <si>
    <t>Michael George</t>
  </si>
  <si>
    <t>Kathryn Smith</t>
  </si>
  <si>
    <t>Sarah Case</t>
  </si>
  <si>
    <t>Angelica Kelley</t>
  </si>
  <si>
    <t>Nina Reed</t>
  </si>
  <si>
    <t>Leah Brennan</t>
  </si>
  <si>
    <t>Joshua Bender</t>
  </si>
  <si>
    <t>Ryan Gonzales</t>
  </si>
  <si>
    <t>Julie Holmes</t>
  </si>
  <si>
    <t>Ashley Wilson</t>
  </si>
  <si>
    <t>Frank Davis</t>
  </si>
  <si>
    <t>Samantha Howard</t>
  </si>
  <si>
    <t>Caroline Coleman</t>
  </si>
  <si>
    <t>David Romero</t>
  </si>
  <si>
    <t>Joseph Perez</t>
  </si>
  <si>
    <t>Kimberly Perry</t>
  </si>
  <si>
    <t>Cameron Berger</t>
  </si>
  <si>
    <t>Summer Mccullough</t>
  </si>
  <si>
    <t>Sharon Sherman</t>
  </si>
  <si>
    <t>Lindsay Villanueva</t>
  </si>
  <si>
    <t>Virginia Bean</t>
  </si>
  <si>
    <t>Robert Krause</t>
  </si>
  <si>
    <t>Rachel Turner</t>
  </si>
  <si>
    <t>Lisa Tran</t>
  </si>
  <si>
    <t>Tara French</t>
  </si>
  <si>
    <t>Heather Vincent</t>
  </si>
  <si>
    <t>Crystal Cunningham</t>
  </si>
  <si>
    <t>Bruce Brady</t>
  </si>
  <si>
    <t>Christine Martinez</t>
  </si>
  <si>
    <t>Steven Stephens</t>
  </si>
  <si>
    <t>Tyler Mooney</t>
  </si>
  <si>
    <t>David Hunt</t>
  </si>
  <si>
    <t>Cynthia Thompson</t>
  </si>
  <si>
    <t>Andrew Pitts</t>
  </si>
  <si>
    <t>Tommy Rodriguez</t>
  </si>
  <si>
    <t>George Mcgrath</t>
  </si>
  <si>
    <t>Jennifer Cooper</t>
  </si>
  <si>
    <t>Patrick Fowler</t>
  </si>
  <si>
    <t>Juan Hall</t>
  </si>
  <si>
    <t>Kathryn Carey</t>
  </si>
  <si>
    <t>Jacob White</t>
  </si>
  <si>
    <t>Deanna Conrad</t>
  </si>
  <si>
    <t>Michael Willis</t>
  </si>
  <si>
    <t>Emily Smith</t>
  </si>
  <si>
    <t>Meagan Roman</t>
  </si>
  <si>
    <t>Scott Shepherd</t>
  </si>
  <si>
    <t>Joshua Howell</t>
  </si>
  <si>
    <t>John Smith</t>
  </si>
  <si>
    <t>Linda Gomez</t>
  </si>
  <si>
    <t>Elizabeth Nicholson</t>
  </si>
  <si>
    <t>Lisa May</t>
  </si>
  <si>
    <t>Edward Roberts</t>
  </si>
  <si>
    <t>Michelle Juarez</t>
  </si>
  <si>
    <t>Dustin Patton</t>
  </si>
  <si>
    <t>Transaction  Date</t>
  </si>
  <si>
    <t>Biscut Brand</t>
  </si>
  <si>
    <t>UnitPrice</t>
  </si>
  <si>
    <t>Age</t>
  </si>
  <si>
    <t>Revenue</t>
  </si>
  <si>
    <t>Profit</t>
  </si>
  <si>
    <t>COGS</t>
  </si>
  <si>
    <t>Weekday</t>
  </si>
  <si>
    <t>Week Type</t>
  </si>
  <si>
    <t>KPIs</t>
  </si>
  <si>
    <t>% Profit Margin</t>
  </si>
  <si>
    <t xml:space="preserve">  Quantity Purchased</t>
  </si>
  <si>
    <t xml:space="preserve">  COGS</t>
  </si>
  <si>
    <t xml:space="preserve">  Revenue</t>
  </si>
  <si>
    <t xml:space="preserve">  Profit</t>
  </si>
  <si>
    <t>Profitability View</t>
  </si>
  <si>
    <t>Age-Group</t>
  </si>
  <si>
    <t>60-74</t>
  </si>
  <si>
    <t>Revenue by Gender</t>
  </si>
  <si>
    <t xml:space="preserve">   Revenue</t>
  </si>
  <si>
    <t>Revenue by Payment Method</t>
  </si>
  <si>
    <t xml:space="preserve">    Revenue</t>
  </si>
  <si>
    <t xml:space="preserve">     Revenue</t>
  </si>
  <si>
    <t xml:space="preserve">      Profit</t>
  </si>
  <si>
    <t>Revenue by Top 5 Customer</t>
  </si>
  <si>
    <t xml:space="preserve">       Revenue</t>
  </si>
  <si>
    <t>Weekend</t>
  </si>
  <si>
    <t>Week Type Profit</t>
  </si>
  <si>
    <t>Revenue by Location</t>
  </si>
  <si>
    <t xml:space="preserve">         Profit</t>
  </si>
  <si>
    <t>Revenue by Monthly Trends</t>
  </si>
  <si>
    <t>Jan</t>
  </si>
  <si>
    <t>Feb</t>
  </si>
  <si>
    <t>Mar</t>
  </si>
  <si>
    <t>Apr</t>
  </si>
  <si>
    <t>Jun</t>
  </si>
  <si>
    <t>Jul</t>
  </si>
  <si>
    <t xml:space="preserve">Months </t>
  </si>
  <si>
    <t xml:space="preserve">         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</si>
</sst>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;@"/>
    <numFmt numFmtId="165" formatCode="dd/mm/yyyy;@"/>
    <numFmt numFmtId="166" formatCode="0.0%"/>
    <numFmt numFmtId="167" formatCode="[$₹-449]\ #,##0;[Red][$₹-449]\ #,##0"/>
    <numFmt numFmtId="168" formatCode="[$₹-449]\ #,##0"/>
    <numFmt numFmtId="169" formatCode="dddd"/>
    <numFmt numFmtId="170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2"/>
      <name val="Calibri"/>
      <family val="2"/>
      <scheme val="minor"/>
    </font>
    <font>
      <b/>
      <sz val="16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14" fontId="0" fillId="0" borderId="0" xfId="0" applyNumberFormat="1"/>
    <xf numFmtId="14" fontId="0" fillId="0" borderId="5" xfId="0" applyNumberFormat="1" applyBorder="1"/>
    <xf numFmtId="14" fontId="0" fillId="0" borderId="1" xfId="0" applyNumberFormat="1" applyBorder="1"/>
    <xf numFmtId="14" fontId="0" fillId="0" borderId="8" xfId="0" applyNumberFormat="1" applyBorder="1"/>
    <xf numFmtId="9" fontId="0" fillId="0" borderId="3" xfId="0" applyNumberFormat="1" applyBorder="1"/>
    <xf numFmtId="9" fontId="0" fillId="0" borderId="9" xfId="0" applyNumberFormat="1" applyBorder="1"/>
    <xf numFmtId="164" fontId="0" fillId="0" borderId="4" xfId="0" applyNumberFormat="1" applyBorder="1"/>
    <xf numFmtId="164" fontId="0" fillId="0" borderId="2" xfId="0" applyNumberFormat="1" applyBorder="1"/>
    <xf numFmtId="164" fontId="0" fillId="0" borderId="7" xfId="0" applyNumberFormat="1" applyBorder="1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11" xfId="0" applyFont="1" applyBorder="1"/>
    <xf numFmtId="0" fontId="1" fillId="0" borderId="12" xfId="0" applyFont="1" applyBorder="1"/>
    <xf numFmtId="167" fontId="1" fillId="0" borderId="12" xfId="0" applyNumberFormat="1" applyFont="1" applyBorder="1"/>
    <xf numFmtId="167" fontId="1" fillId="0" borderId="10" xfId="0" applyNumberFormat="1" applyFont="1" applyBorder="1"/>
    <xf numFmtId="9" fontId="0" fillId="0" borderId="0" xfId="0" applyNumberFormat="1" applyAlignment="1">
      <alignment horizontal="right"/>
    </xf>
    <xf numFmtId="165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9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top"/>
    </xf>
    <xf numFmtId="167" fontId="2" fillId="0" borderId="0" xfId="0" applyNumberFormat="1" applyFont="1" applyAlignment="1">
      <alignment horizontal="left" vertical="top"/>
    </xf>
    <xf numFmtId="167" fontId="0" fillId="0" borderId="0" xfId="0" applyNumberFormat="1" applyAlignment="1">
      <alignment horizontal="left"/>
    </xf>
    <xf numFmtId="169" fontId="0" fillId="0" borderId="0" xfId="0" applyNumberFormat="1" applyAlignment="1">
      <alignment horizontal="left" vertical="top"/>
    </xf>
    <xf numFmtId="169" fontId="0" fillId="0" borderId="0" xfId="0" applyNumberFormat="1" applyAlignment="1">
      <alignment horizontal="left"/>
    </xf>
    <xf numFmtId="169" fontId="0" fillId="0" borderId="0" xfId="0" applyNumberFormat="1"/>
    <xf numFmtId="0" fontId="0" fillId="2" borderId="0" xfId="0" applyFill="1"/>
    <xf numFmtId="0" fontId="1" fillId="3" borderId="0" xfId="0" applyFont="1" applyFill="1"/>
    <xf numFmtId="0" fontId="3" fillId="2" borderId="0" xfId="0" applyFont="1" applyFill="1"/>
    <xf numFmtId="170" fontId="0" fillId="0" borderId="0" xfId="0" applyNumberFormat="1"/>
    <xf numFmtId="0" fontId="4" fillId="2" borderId="0" xfId="0" applyFont="1" applyFill="1"/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left"/>
    </xf>
    <xf numFmtId="0" fontId="4" fillId="4" borderId="0" xfId="0" applyFont="1" applyFill="1"/>
    <xf numFmtId="0" fontId="0" fillId="4" borderId="0" xfId="0" applyFill="1"/>
  </cellXfs>
  <cellStyles count="1">
    <cellStyle name="Normal" xfId="0" builtinId="0"/>
  </cellStyles>
  <dxfs count="5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/yy;@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[$₹-449]\ #,##0;[Red][$₹-449]\ #,##0"/>
    </dxf>
    <dxf>
      <numFmt numFmtId="167" formatCode="[$₹-449]\ #,##0;[Red][$₹-449]\ #,##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[$₹-449]\ #,##0;[Red][$₹-449]\ #,##0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9" formatCode="dddd"/>
      <alignment horizontal="left" vertical="bottom" textRotation="0" wrapText="0" indent="0" justifyLastLine="0" shrinkToFit="0" readingOrder="0"/>
    </dxf>
    <dxf>
      <numFmt numFmtId="167" formatCode="[$₹-449]\ #,##0;[Red][$₹-449]\ #,##0"/>
      <alignment horizontal="right" vertical="bottom" textRotation="0" wrapText="0" indent="0" justifyLastLine="0" shrinkToFit="0" readingOrder="0"/>
    </dxf>
    <dxf>
      <numFmt numFmtId="167" formatCode="[$₹-449]\ #,##0;[Red][$₹-449]\ #,##0"/>
      <alignment horizontal="right" vertical="bottom" textRotation="0" wrapText="0" indent="0" justifyLastLine="0" shrinkToFit="0" readingOrder="0"/>
    </dxf>
    <dxf>
      <numFmt numFmtId="167" formatCode="[$₹-449]\ #,##0;[Red][$₹-449]\ #,##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68" formatCode="[$₹-449]\ #,##0"/>
      <alignment horizontal="right" vertical="bottom" textRotation="0" wrapText="0" indent="0" justifyLastLine="0" shrinkToFit="0" readingOrder="0"/>
    </dxf>
    <dxf>
      <numFmt numFmtId="168" formatCode="[$₹-449]\ #,##0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3" formatCode="0%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65" formatCode="dd/mm/yyyy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5" formatCode="dd/mm/yy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numFmt numFmtId="170" formatCode="_(* #,##0_);_(* \(#,##0\);_(* &quot;-&quot;??_);_(@_)"/>
    </dxf>
    <dxf>
      <alignment horizontal="center"/>
    </dxf>
    <dxf>
      <alignment horizontal="center"/>
    </dxf>
    <dxf>
      <numFmt numFmtId="167" formatCode="[$₹-449]\ #,##0;[Red][$₹-449]\ #,##0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vana buvi" refreshedDate="46186.816187731485" createdVersion="8" refreshedVersion="8" minRefreshableVersion="3" recordCount="999" xr:uid="{C570C1C6-4FF3-402B-ABF8-9B28C4F27FD7}">
  <cacheSource type="worksheet">
    <worksheetSource name="Table2_1"/>
  </cacheSource>
  <cacheFields count="21">
    <cacheField name="Transaction  Date" numFmtId="165">
      <sharedItems containsSemiMixedTypes="0" containsNonDate="0" containsDate="1" containsString="0" minDate="2024-01-01T00:00:00" maxDate="2024-08-01T00:00:00" count="209">
        <d v="2024-01-01T00:00:00"/>
        <d v="2024-01-02T00:00:00"/>
        <d v="2024-01-03T00:00:00"/>
        <d v="2024-01-04T00:00:00"/>
        <d v="2024-01-05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</sharedItems>
      <fieldGroup par="20"/>
    </cacheField>
    <cacheField name="Buyer Name" numFmtId="0">
      <sharedItems count="967">
        <s v="William Manning"/>
        <s v="Karen Duke"/>
        <s v="Alexander Smith"/>
        <s v="Rebecca Larson"/>
        <s v="Antonio Miller"/>
        <s v="Christian Chambers"/>
        <s v="Miguel Carlson"/>
        <s v="James Ryan"/>
        <s v="Brianna Bender"/>
        <s v="Lawrence Cruz"/>
        <s v="Daniel Davenport"/>
        <s v="Kevin Santiago"/>
        <s v="Gregory King"/>
        <s v="George Stevens"/>
        <s v="Timothy Roberts"/>
        <s v="Heidi Doyle"/>
        <s v="Randall Best"/>
        <s v="Bradley Rosales"/>
        <s v="Mary Lopez"/>
        <s v="Timothy Perez"/>
        <s v="Mark Williams"/>
        <s v="David Barr"/>
        <s v="Frank Lee"/>
        <s v="Nicole Thompson"/>
        <s v="Scott Watson"/>
        <s v="Cindy Barrett"/>
        <s v="Vickie Hull"/>
        <s v="Brian Glenn"/>
        <s v="Dylan Strickland"/>
        <s v="Michelle West"/>
        <s v="Nicole Cole"/>
        <s v="Jacqueline Rowland"/>
        <s v="Kathy Harris"/>
        <s v="Lance Neal"/>
        <s v="Alexander Owens"/>
        <s v="Angelica Martinez"/>
        <s v="Travis Hill"/>
        <s v="Emily Bird"/>
        <s v="Unkown"/>
        <s v="Kirk Rollins"/>
        <s v="David Mcintyre"/>
        <s v="Sarah May"/>
        <s v="Terri Davis"/>
        <s v="Dawn Duke"/>
        <s v="Heidi Brock"/>
        <s v="Kevin King"/>
        <s v="Kayla Rhodes"/>
        <s v="Thomas Richardson"/>
        <s v="Jason Sullivan"/>
        <s v="William Solis"/>
        <s v="Eric Velasquez"/>
        <s v="Willie Conley"/>
        <s v="Katherine Miller"/>
        <s v="Dennis Mcclure"/>
        <s v="Carlos Gallegos"/>
        <s v="Mark Garcia"/>
        <s v="Aaron Young"/>
        <s v="Brian Lucas"/>
        <s v="Crystal Garner"/>
        <s v="James Hicks"/>
        <s v="Derek Richards"/>
        <s v="Robert Hernandez"/>
        <s v="Steven Reynolds"/>
        <s v="Amy Watts"/>
        <s v="Lauren Wright"/>
        <s v="Krista Jones"/>
        <s v="Susan Hensley"/>
        <s v="Megan Miller"/>
        <s v="John Shelton"/>
        <s v="James Carter"/>
        <s v="Michael Jenkins"/>
        <s v="Rebekah Garrett"/>
        <s v="Christopher Fernandez"/>
        <s v="Mitchell Martinez"/>
        <s v="Karen Gonzalez"/>
        <s v="Brandon Clark"/>
        <s v="Lindsey Oconnell"/>
        <s v="Thomas Adkins"/>
        <s v="Victoria Turner"/>
        <s v="Antonio Rogers"/>
        <s v="Amanda Hill"/>
        <s v="Kayla Rollins"/>
        <s v="Erin Lozano"/>
        <s v="Jo Morgan"/>
        <s v="Scott Day"/>
        <s v="Amber Stafford"/>
        <s v="Mary Harrison"/>
        <s v="Brandon Gonzalez"/>
        <s v="Jennifer Stewart"/>
        <s v="Robert Padilla"/>
        <s v="Gerald Calhoun"/>
        <s v="Emma Hoffman"/>
        <s v="Cheryl Goodman"/>
        <s v="Courtney Garcia"/>
        <s v="Mary Rodriguez"/>
        <s v="Carrie Perez"/>
        <s v="Tamara Gregory"/>
        <s v="Morgan Wilson"/>
        <s v="David Short"/>
        <s v="Robert Martinez"/>
        <s v="Natalie Williams"/>
        <s v="Gregory Martinez"/>
        <s v="Anthony Kirk"/>
        <s v="Paul Gilbert"/>
        <s v="Megan Reeves"/>
        <s v="Sean Roberts"/>
        <s v="Ryan Todd"/>
        <s v="Karen Kramer"/>
        <s v="Tammy Smith"/>
        <s v="Gregory Unknown"/>
        <s v="Teresa Byrd"/>
        <s v="Wendy Olsen"/>
        <s v="Allison Parker"/>
        <s v="Kim Randolph"/>
        <s v="Rachel Richardson"/>
        <s v="Keith Hansen"/>
        <s v="James Davies"/>
        <s v="Donald Wagner"/>
        <s v="Nicole Baker"/>
        <s v="Beth Kennedy"/>
        <s v="Ashley Cook"/>
        <s v="Tanya Cole"/>
        <s v="Cathy Schwartz"/>
        <s v="Zachary Williams"/>
        <s v="Chris Long"/>
        <s v="Cindy Hansen"/>
        <s v="Corey Smith"/>
        <s v="Melissa Jones"/>
        <s v="Collin Taylor"/>
        <s v="Sean Nash"/>
        <s v="Larry Berry"/>
        <s v="Paul Davis"/>
        <s v="Cameron Hays"/>
        <s v="Faith Strickland"/>
        <s v="Kayla Hall"/>
        <s v="Jennifer Rodriguez"/>
        <s v="Christine Bass"/>
        <s v="Marvin Rivera"/>
        <s v="Miranda Bradford"/>
        <s v="Charles Austin"/>
        <s v="Patricia Reed"/>
        <s v="Tracy Schmidt"/>
        <s v="Jennifer Williams"/>
        <s v="Calvin Douglas"/>
        <s v="Debbie Lopez"/>
        <s v="Kenneth Macias"/>
        <s v="April Mcfarland"/>
        <s v="Caitlin Thomas"/>
        <s v="Jessica Gonzalez"/>
        <s v="Jennifer Andrade"/>
        <s v="Madison Wright"/>
        <s v="Denise Turner"/>
        <s v="Christopher Adams"/>
        <s v="Cynthia Burns"/>
        <s v="Daniel Carlson"/>
        <s v="Gregory Gibson"/>
        <s v="Stephen Mason"/>
        <s v="Brett Johnson"/>
        <s v="Jeremy Rios"/>
        <s v="David Gray"/>
        <s v="Adam Marshall"/>
        <s v="Kelli Bell"/>
        <s v="Katherine Abbott"/>
        <s v="Garrett Lopez"/>
        <s v="Zachary Watson"/>
        <s v="Judy Anderson"/>
        <s v="Michelle Palmer"/>
        <s v="Anthony Vaughan"/>
        <s v="Debra Small"/>
        <s v="Mason Cruz"/>
        <s v="Justin Wilson"/>
        <s v="Paige Weber"/>
        <s v="Adam Johnson"/>
        <s v="Kathleen Gonzales"/>
        <s v="Dana Burns"/>
        <s v="George Montes"/>
        <s v="Leslie King"/>
        <s v="Sherry Thompson"/>
        <s v="Stephen Mitchell"/>
        <s v="Mary Miller"/>
        <s v="Ian Knight"/>
        <s v="Hannah Jones"/>
        <s v="Kyle Henderson"/>
        <s v="Marcia Johnson"/>
        <s v="Thomas Carter"/>
        <s v="Carol Young"/>
        <s v="Jesse Moreno"/>
        <s v="Barbara Nelson"/>
        <s v="Melissa Curtis"/>
        <s v="Timothy Oconnor"/>
        <s v="Joseph Glover"/>
        <s v="Samantha Marks"/>
        <s v="Jillian Burnett"/>
        <s v="Cole Curry"/>
        <s v="Ashley Sanford"/>
        <s v="Frank Fletcher"/>
        <s v="Justin Johnson"/>
        <s v="Danielle Palmer"/>
        <s v="Alexandra Potter"/>
        <s v="Caleb Martinez"/>
        <s v="Elizabeth Bryant"/>
        <s v="Crystal Smith"/>
        <s v="Rhonda Patterson"/>
        <s v="Tony Wagner"/>
        <s v="Trevor Skinner"/>
        <s v="Curtis Murray"/>
        <s v="Nancy Lee"/>
        <s v="Billy Reed"/>
        <s v="Kyle Thomas"/>
        <s v="Chloe Hamilton"/>
        <s v="Kendra Griffin"/>
        <s v="Kathy Morris"/>
        <s v="Jason Murray"/>
        <s v="Willie Christensen"/>
        <s v="Kendra Webster"/>
        <s v="Sarah Burton"/>
        <s v="Christina Watts"/>
        <s v="Sabrina Kramer"/>
        <s v="Marilyn Cunningham"/>
        <s v="Eric Taylor"/>
        <s v="Brandon Bradley"/>
        <s v="Susan Thompson"/>
        <s v="James Reynolds"/>
        <s v="Edward Robinson"/>
        <s v="Debra Brown"/>
        <s v="Anthony Garcia"/>
        <s v="Caleb Booth"/>
        <s v="Terrence Powell"/>
        <s v="Maria Hernandez"/>
        <s v="Edward Brown"/>
        <s v="Christopher Scott"/>
        <s v="Monica Washington"/>
        <s v="Mia Hill"/>
        <s v="Rachel Carson"/>
        <s v="Ashley Moore"/>
        <s v="Valerie Gould"/>
        <s v="Laurie Tucker"/>
        <s v="Michael George"/>
        <s v="Brandon Fowler"/>
        <s v="Laurie Vazquez"/>
        <s v="Laura Wu"/>
        <s v="David Heath"/>
        <s v="Valerie Chavez"/>
        <s v="Samantha Wong"/>
        <s v="Michelle Baker"/>
        <s v="Joshua Gardner"/>
        <s v="Randy Mcgee"/>
        <s v="Jamie Steele"/>
        <s v="Samantha Hernandez"/>
        <s v="Katherine Jenkins"/>
        <s v="Debra Delgado"/>
        <s v="Caitlin Mcdonald"/>
        <s v="Christian Spencer"/>
        <s v="Jill Miller"/>
        <s v="Charles Walls"/>
        <s v="Christina Heath"/>
        <s v="Malik Chan"/>
        <s v="Edward Mccormick"/>
        <s v="Terri Baker"/>
        <s v="Juan Simpson"/>
        <s v="Angela Moody"/>
        <s v="Allen Santos"/>
        <s v="Kathryn Smith"/>
        <s v="Unkown Blankenship"/>
        <s v="Christopher Greene"/>
        <s v="Ronald Romero"/>
        <s v="Brandon Rodriguez"/>
        <s v="Andrew Tran"/>
        <s v="Taylor Pearson"/>
        <s v="Sara Arnold"/>
        <s v="Kristina Wilson"/>
        <s v="William Frederick"/>
        <s v="Elizabeth White"/>
        <s v="Tracy Butler"/>
        <s v="Leroy Garcia"/>
        <s v="Kimberly Schroeder"/>
        <s v="Connie Santos"/>
        <s v="Sarah Burns"/>
        <s v="Cindy Rice"/>
        <s v="Erica Collins"/>
        <s v="Robin Hayes"/>
        <s v="Veronica Sutton"/>
        <s v="Gerald Schwartz"/>
        <s v="Julie Ortiz"/>
        <s v="Richard Mendoza"/>
        <s v="Jacob Mercado"/>
        <s v="Mandy Lopez"/>
        <s v="Katherine Garcia"/>
        <s v="Jessica Lucas"/>
        <s v="Jessica Martinez"/>
        <s v="Parker"/>
        <s v="David Coleman"/>
        <s v="Michael Shaw"/>
        <s v="Daniel Harrington"/>
        <s v="Clinton Summers"/>
        <s v="Anthony Garza"/>
        <s v="Glenda Green"/>
        <s v="Andrew Unknown"/>
        <s v="Wanda Collins"/>
        <s v="Richard Fowler"/>
        <s v="Michael Becker"/>
        <s v="Christopher Willis"/>
        <s v="Angel Brown"/>
        <s v="Patrick Parker"/>
        <s v="Joshua Chang"/>
        <s v="Briana Hooper"/>
        <s v="Mitchell Garcia"/>
        <s v="Rachel Smith"/>
        <s v="Hannah Osborne"/>
        <s v="Carl Robertson"/>
        <s v="Monica Gonzales"/>
        <s v="William Harper"/>
        <s v="Maria Mcdonald"/>
        <s v="Cynthia Baker"/>
        <s v="Carlos Hart"/>
        <s v="Stephanie Smith"/>
        <s v="Sarah Case"/>
        <s v="Angelica Kelley"/>
        <s v="Logan"/>
        <s v="Mark Matthews"/>
        <s v="Luis Sheppard"/>
        <s v="Jamie Chandler"/>
        <s v="Nina Reed"/>
        <s v="Theresa Grant"/>
        <s v="Jennifer Parker"/>
        <s v="Stacie Cox"/>
        <s v="Pamela Shaw"/>
        <s v="Joseph Scott"/>
        <s v="Leah Brennan"/>
        <s v="Christopher Thompson"/>
        <s v="Casey Sanchez"/>
        <s v="Laura Cooley"/>
        <s v="William Potter"/>
        <s v="Roy Torres"/>
        <s v="Julie Drake"/>
        <s v="Joshua Bender"/>
        <s v="Jeffery Dominguez"/>
        <s v="Whitney Smith"/>
        <s v="Sheryl Peters"/>
        <s v="Ryan Gonzales"/>
        <s v="Danny Armstrong"/>
        <s v="Stephanie Doyle"/>
        <s v="Jessica Curry"/>
        <s v="Jennifer Cruz"/>
        <s v="Julie Holmes"/>
        <s v="Logan Alexander"/>
        <s v="Allen Smith"/>
        <s v="Andre Lewis"/>
        <s v="Amy Roberts"/>
        <s v="Amy Bolton"/>
        <s v="Nicole Wright"/>
        <s v="Megan Jarvis"/>
        <s v="Anthony Marshall"/>
        <s v="Diana Collins"/>
        <s v="Ashley Wilson"/>
        <s v="Jennifer Palmer"/>
        <s v="James Miller"/>
        <s v="Monique Mendoza"/>
        <s v="Hannah Smith"/>
        <s v="Brandon Pena"/>
        <s v="Brenda Shaw"/>
        <s v="Jeremy Richardson"/>
        <s v="Matthew Jones"/>
        <s v="Christian Burnett"/>
        <s v="Kevin Roach"/>
        <s v="Crystal Knight"/>
        <s v="Clinton Haynes"/>
        <s v="Michael Hernandez"/>
        <s v="Wayne Cortez"/>
        <s v="Nicole Villarreal"/>
        <s v="Erika Wilson"/>
        <s v="Ann Todd"/>
        <s v="Micheal Murillo"/>
        <s v="Whitney Miller"/>
        <s v="James Ramos"/>
        <s v="Benjamin Coleman"/>
        <s v="Sean Garcia"/>
        <s v="Joan Hodges"/>
        <s v="Benjamin Gilbert"/>
        <s v="Timothy Ruiz"/>
        <s v="John Taylor"/>
        <s v="James Mcmillan"/>
        <s v="Michele Fitzpatrick"/>
        <s v="Tonya Jennings"/>
        <s v="Amanda Kim"/>
        <s v="Vanessa Mueller"/>
        <s v="William Skinner"/>
        <s v="Angela May"/>
        <s v="James Burke"/>
        <s v="Timothy Mayer"/>
        <s v="David Flynn"/>
        <s v="Jeffrey Smith"/>
        <s v="Steven Parsons"/>
        <s v="Colleen West"/>
        <s v="Frank Davis"/>
        <s v="Carol Williams"/>
        <s v="Willie Robertson"/>
        <s v="Elizabeth Mills"/>
        <s v="Jennifer Estes"/>
        <s v="Sarah Unknown"/>
        <s v="Norman Small"/>
        <s v="Krystal Clark"/>
        <s v="Caitlyn Sims"/>
        <s v="Crystal Weaver"/>
        <s v="Pamela Lee"/>
        <s v="Melissa Boyd"/>
        <s v="Samantha Howard"/>
        <s v="Rebecca Garcia"/>
        <s v="Rose Unknown"/>
        <s v="Leslie Singleton"/>
        <s v="Jennifer Valdez"/>
        <s v="Ryan Anderson"/>
        <s v="Linda Douglas"/>
        <s v="Tanya Kelly"/>
        <s v="Daniel Roberson"/>
        <s v="Tina Collins"/>
        <s v="Heather Pearson"/>
        <s v="William Hardin"/>
        <s v="Helen Lee"/>
        <s v="Tyrone Garcia"/>
        <s v="Caroline Coleman"/>
        <s v="Felicia Smith"/>
        <s v="Haley Myers"/>
        <s v="Douglas Anderson"/>
        <s v="Christopher Barnett"/>
        <s v="Rodney Diaz"/>
        <s v="Jeffery Myers"/>
        <s v="Frank Green"/>
        <s v="Tony Ball"/>
        <s v="Lori Davidson"/>
        <s v="Manuel Gibson"/>
        <s v="Jennifer Nguyen"/>
        <s v="Amy Jones"/>
        <s v="Nathan Williams"/>
        <s v="Brandon Nguyen"/>
        <s v="David Romero"/>
        <s v="Nicolas Werner"/>
        <s v="Beth Parrish"/>
        <s v="Michael Bryan"/>
        <s v="Scott Unknown"/>
        <s v="Hannah Benjamin"/>
        <s v="Joseph Perez"/>
        <s v="Sherri Watts"/>
        <s v="Kimberly Walker"/>
        <s v="Courtney Johnston"/>
        <s v="Dawn Wilson"/>
        <s v="Derek Smith"/>
        <s v="Kaitlin Hart"/>
        <s v="Michelle Garcia"/>
        <s v="Craig Miller"/>
        <s v="Wanda Maxwell"/>
        <s v="Tracy Skinner"/>
        <s v="Christopher Bullock"/>
        <s v="Christian Weeks"/>
        <s v="Thomas West"/>
        <s v="Michelle Gonzales"/>
        <s v="Robert Cooke"/>
        <s v="Brandon Brown"/>
        <s v="Maria Berg"/>
        <s v="Marcus Dickson"/>
        <s v="Victoria Sullivan"/>
        <s v="Steven Russell"/>
        <s v="Jason Wilson"/>
        <s v="Sandra Leonard"/>
        <s v="Tammy Curtis"/>
        <s v="Brandy Myers"/>
        <s v="Kimberly Perry"/>
        <s v="Sean Harris"/>
        <s v="Taylor Brewer"/>
        <s v="Jacqueline Watts"/>
        <s v="Diana Ford"/>
        <s v="Angela Murillo"/>
        <s v="Terri Bailey"/>
        <s v="April Mendez"/>
        <s v="Lonnie Simmons"/>
        <s v="Andrew Washington"/>
        <s v="David Hill"/>
        <s v="Dylan Leach"/>
        <s v="William Ryan"/>
        <s v="Kara Bentley"/>
        <s v="Robert Reyes"/>
        <s v="Ashley Alvarado"/>
        <s v="Melissa Nguyen"/>
        <s v="Renee Gomez"/>
        <s v="Tommy Waters"/>
        <s v="Alyssa Stewart"/>
        <s v="Theodore Peterson"/>
        <s v="Adriana Moore"/>
        <s v="Alex House"/>
        <s v="Chelsea Nguyen"/>
        <s v="Adam Atkinson"/>
        <s v="Mario Rubio"/>
        <s v="William Allen"/>
        <s v="Melissa Daugherty"/>
        <s v="Heidi Scott"/>
        <s v="James Brown"/>
        <s v="Heather Cohen"/>
        <s v="Brianna Collins"/>
        <s v="Angela Davis"/>
        <s v="Shannon Anderson"/>
        <s v="Chelsea Garcia"/>
        <s v="Victor Cuevas"/>
        <s v="Steven Anderson"/>
        <s v="Alyssa Wells"/>
        <s v="Kelsey Roth"/>
        <s v="Scott Olson"/>
        <s v="Angela Montgomery"/>
        <s v="Cameron Berger"/>
        <s v="Anna Hopkins"/>
        <s v="Summer Mccullough"/>
        <s v="Edgar Cole"/>
        <s v="Patrick Williams"/>
        <s v="John Johnson"/>
        <s v="Arthur Hicks"/>
        <s v="Corey Roach"/>
        <s v="Emily Holden"/>
        <s v="Steven Browning"/>
        <s v="Stephanie Kelley"/>
        <s v="Carl Torres"/>
        <s v="Katherine Adams"/>
        <s v="Sharon Sherman"/>
        <s v="Charles Maldonado"/>
        <s v="Andrea Lane"/>
        <s v="Kim Butler"/>
        <s v="Olivia Phillips"/>
        <s v="Lindsay Villanueva"/>
        <s v="Timothy Jones"/>
        <s v="Tyler Vasquez"/>
        <s v="James Steele"/>
        <s v="Robert Bell"/>
        <s v="Sheila Sampson"/>
        <s v="Thomas Hernandez"/>
        <s v="Chelsey Johnson"/>
        <s v="Marcus Suarez"/>
        <s v="Jason Johnston"/>
        <s v="Oscar Wright"/>
        <s v="Shannon Unknown"/>
        <s v="Christian Neal"/>
        <s v="Cynthia Tucker"/>
        <s v="Daniel Howell"/>
        <s v="Karen Fischer"/>
        <s v="Victoria Rodriguez"/>
        <s v="Alicia Scott"/>
        <s v="Elizabeth Farrell"/>
        <s v="Christopher Holmes"/>
        <s v="Virginia Bean"/>
        <s v="Randall Medina"/>
        <s v="Sharon Rios"/>
        <s v="Cathy Hodges"/>
        <s v="Joseph Alexander"/>
        <s v="Crystal Mcdowell"/>
        <s v="Anita Haney"/>
        <s v="Eric Tucker"/>
        <s v="Robert Krause"/>
        <s v="Betty Barajas"/>
        <s v="George Brown"/>
        <s v="Brian Kelley"/>
        <s v="Samantha Flynn"/>
        <s v="Kristin Jimenez"/>
        <s v="Richard Butler"/>
        <s v="Brittney Diaz"/>
        <s v="Megan Lee"/>
        <s v="Andrea Davis"/>
        <s v="Brianna Moore"/>
        <s v="Brian Marsh"/>
        <s v="Thomas Morris"/>
        <s v="Alex Rosario"/>
        <s v="Bradley Cruz"/>
        <s v="Andrea Choi"/>
        <s v="Shannon Butler"/>
        <s v="Jessica Rivera"/>
        <s v="Aaron Fernandez"/>
        <s v="Erica Murphy"/>
        <s v="Nathaniel Williams"/>
        <s v="Rachel Turner"/>
        <s v="Tracy Sweeney"/>
        <s v="Joseph Woodward"/>
        <s v="Jason Harris"/>
        <s v="Lisa Tran"/>
        <s v="Lindsay Reeves"/>
        <s v="Dawn Espinoza"/>
        <s v="Ashley Santos"/>
        <s v="Tara French"/>
        <s v="Stephen Ellis"/>
        <s v="Diana Hall"/>
        <s v="James Parker"/>
        <s v="Karen Farley"/>
        <s v="Erica Willis"/>
        <s v="William Campbell"/>
        <s v="Christopher Valencia"/>
        <s v="William Mckenzie"/>
        <s v="Phillip Lucas"/>
        <s v="Andrew Shields"/>
        <s v="Heather Vincent"/>
        <s v="Holly Fields"/>
        <s v="Tara Peterson"/>
        <s v="Zachary Blevins"/>
        <s v="Stephanie Hawkins"/>
        <s v="Robert Cooper"/>
        <s v="Stephanie Henderson"/>
        <s v="Michelle Erickson"/>
        <s v="Ana Wallace"/>
        <s v="Charles Miller"/>
        <s v="Joseph Jensen"/>
        <s v="Paul Miller"/>
        <s v="Patricia Moore"/>
        <s v="Lisa Hernandez"/>
        <s v="Daniel Lopez"/>
        <s v="Mike Contreras"/>
        <s v="Timothy Pitts"/>
        <s v="Nathan Frazier"/>
        <s v="Lisa Bishop"/>
        <s v="Michael Ewing"/>
        <s v="Julia Bell"/>
        <s v="Kayla James"/>
        <s v="Ethan Ford"/>
        <s v="Stephanie Love"/>
        <s v="Jose Caldwell"/>
        <s v="Melissa Bond"/>
        <s v="Raymond Wade"/>
        <s v="Crystal Cunningham"/>
        <s v="Claudia White"/>
        <s v="Joseph Davis"/>
        <s v="Michael Johnson"/>
        <s v="Donna Jacobs"/>
        <s v="Christopher Smith"/>
        <s v="Charles Harvey"/>
        <s v="Lindsey Brown"/>
        <s v="Bruce Brady"/>
        <s v="Carol King"/>
        <s v="Anthony Duncan"/>
        <s v="Christine Martinez"/>
        <s v="Robert Brown"/>
        <s v="Fernando Alvarez"/>
        <s v="David Hoover"/>
        <s v="Gina Smith"/>
        <s v="Tammy Hernandez"/>
        <s v="Leslie Vaughn"/>
        <s v="Angela Lewis"/>
        <s v="Amanda Hughes"/>
        <s v="Oscar Morgan"/>
        <s v="Sarah Lopez"/>
        <s v="John Sheppard"/>
        <s v="Madeline Hatfield"/>
        <s v="Brian Bryan"/>
        <s v="Katie Young"/>
        <s v="Bruce Patterson"/>
        <s v="Brian Welch"/>
        <s v="Justin Weaver"/>
        <s v="Laura Vasquez"/>
        <s v="Robert Curry"/>
        <s v="Timothy Mack"/>
        <s v="Kim Boyd"/>
        <s v="Brian West"/>
        <s v="Catherine Nunez"/>
        <s v="Matthew Simmons"/>
        <s v="Daniel Russell"/>
        <s v="Megan Clark"/>
        <s v="John Robinson"/>
        <s v="Nicholas Castillo"/>
        <s v="Lisa Kramer"/>
        <s v="Thomas Jordan"/>
        <s v="Brandi Gillespie"/>
        <s v="Kevin Powell"/>
        <s v="Randy Foster"/>
        <s v="Zachary Reed"/>
        <s v="Paul Williams"/>
        <s v="Patricia Sanchez"/>
        <s v="Steven Stephens"/>
        <s v="Tyler Mooney"/>
        <s v="Mark Baldwin"/>
        <s v="James Nichols"/>
        <s v="Gary Frazier"/>
        <s v="William Foster"/>
        <s v="Christine Jones"/>
        <s v="Dean Kirk"/>
        <s v="Karen Gordon"/>
        <s v="Keith Doyle"/>
        <s v="David Hunt"/>
        <s v="Samantha Clay"/>
        <s v="Karen Hughes"/>
        <s v="Shannon Thomas"/>
        <s v="Ashley Brown"/>
        <s v="Cynthia Thompson"/>
        <s v="Samuel Sawyer"/>
        <s v="Brent Pratt"/>
        <s v="Andrew Pitts"/>
        <s v="Kristina Santos"/>
        <s v="Sarah Hayes"/>
        <s v="Jeremy Burns"/>
        <s v="Crystal Fitzgerald"/>
        <s v="Sarah Martin"/>
        <s v="David Church"/>
        <s v="Aaron Unknown"/>
        <s v="Angel Rowland"/>
        <s v="Gary Dillon"/>
        <s v="Stephen Grimes"/>
        <s v="Molly Stewart"/>
        <s v="Ronald Hodges"/>
        <s v="Tommy Rodriguez"/>
        <s v="Rebecca Phillips"/>
        <s v="Donna Bailey"/>
        <s v="Nicholas Rogers"/>
        <s v="Cheryl Lang"/>
        <s v="Mary Hicks"/>
        <s v="Louis Harper"/>
        <s v="Matthew Franklin"/>
        <s v="Martin Martin"/>
        <s v="Nicholas Williams"/>
        <s v="Pamela Alvarez"/>
        <s v="Rebecca Johnson"/>
        <s v="George Mcgrath"/>
        <s v="Charles Brown"/>
        <s v="Justin Sanchez"/>
        <s v="Brandon Lopez"/>
        <s v="Pamela Robbins"/>
        <s v="Sherry Foster"/>
        <s v="Chase Watts"/>
        <s v="Theresa Duran"/>
        <s v="Sarah Ray"/>
        <s v="Evan Ruiz"/>
        <s v="Nina Armstrong"/>
        <s v="Carmen Navarro"/>
        <s v="Charles Marquez"/>
        <s v="Alex Fischer"/>
        <s v="Samuel Mathews"/>
        <s v="Steven Boone"/>
        <s v="Karen Salinas"/>
        <s v="David Sharp"/>
        <s v="Jennifer Cooper"/>
        <s v="Roger Rodriguez"/>
        <s v="Michelle Ingram"/>
        <s v="Michael Ortiz"/>
        <s v="Sherry Mccoy"/>
        <s v="Jillian Cantrell"/>
        <s v="Heidi Rodriguez"/>
        <s v="Shawn Cervantes"/>
        <s v="Dustin Hawkins"/>
        <s v="Destiny Smith"/>
        <s v="Barbara Miller"/>
        <s v="Paul Goodman"/>
        <s v="Jillian Lopez"/>
        <s v="John Lynn"/>
        <s v="David Maldonado"/>
        <s v="Kimberly Welch"/>
        <s v="Andrea Johns"/>
        <s v="Melissa Bush"/>
        <s v="Kyle Baker"/>
        <s v="Nathan Shaw"/>
        <s v="Megan Walker"/>
        <s v="Jared Marsh"/>
        <s v="Nicholas Baker"/>
        <s v="Aaron Glover"/>
        <s v="Thomas Cunningham"/>
        <s v="Jones"/>
        <s v="Elizabeth Gonzalez"/>
        <s v="Samuel Grant"/>
        <s v="Tammy Shannon"/>
        <s v="Stephen Knight"/>
        <s v="Peter Ballard"/>
        <s v="Christina Sawyer"/>
        <s v="Patrick Fowler"/>
        <s v="Leah Green"/>
        <s v="Benjamin Caldwell"/>
        <s v="Kelly Gonzalez"/>
        <s v="Diane Nguyen"/>
        <s v="Terry Huffman"/>
        <s v="Judy Hutchinson"/>
        <s v="Christopher Barnes"/>
        <s v="Nicholas Porter"/>
        <s v="Norman Wright"/>
        <s v="Teresa Coleman"/>
        <s v="Pamela Kramer"/>
        <s v="Alan Mills"/>
        <s v="David Brown"/>
        <s v="Michael Oneill"/>
        <s v="Candace Odonnell"/>
        <s v="Deborah Sanchez"/>
        <s v="Sara Brown"/>
        <s v="Kristen Wells"/>
        <s v="Isaac Gallagher"/>
        <s v="Anthony Branch"/>
        <s v="Juan Hall"/>
        <s v="Katie Rogers"/>
        <s v="Daniel Rojas"/>
        <s v="Maria Holt"/>
        <s v="Kathryn Carey"/>
        <s v="Kenneth Schmidt"/>
        <s v="Jacob White"/>
        <s v="Jeremy Robertson"/>
        <s v="Jesse Cortez"/>
        <s v="Robert Wiggins"/>
        <s v="Kenneth Taylor"/>
        <s v="Jeffrey Bauer"/>
        <s v="Deanna Conrad"/>
        <s v="Rachel Clark"/>
        <s v="Lisa Gallegos"/>
        <s v="Carol Wood"/>
        <s v="Steven Mullins"/>
        <s v="Jonathan Cisneros"/>
        <s v="Erik Green"/>
        <s v="Wesley Horne"/>
        <s v="Luke Phillips"/>
        <s v="Audrey Friedman"/>
        <s v="Robert King"/>
        <s v="Tanya Oneal"/>
        <s v="Allison Shepherd"/>
        <s v="Keith Carlson"/>
        <s v="Jeffrey Miller"/>
        <s v="Jennifer Bell"/>
        <s v="David Ramirez"/>
        <s v="Noah Kelly"/>
        <s v="Jacob Kelly"/>
        <s v="Jean Farmer"/>
        <s v="Juan Porter"/>
        <s v="Michael Livingston"/>
        <s v="Robert Warren"/>
        <s v="Lawrence Lopez"/>
        <s v="Rachel Fuentes"/>
        <s v="Madison Beck"/>
        <s v="Tracy Calderon"/>
        <s v="Stephen Nash"/>
        <s v="Thomas Barton"/>
        <s v="Samuel Nunez"/>
        <s v="Samantha Smith"/>
        <s v="Nicole Hayden"/>
        <s v="Jerry Logan"/>
        <s v="Dawn Daniels"/>
        <s v="Mary Ramsey"/>
        <s v="Vanessa Dean"/>
        <s v="Ethan Saunders"/>
        <s v="Kathryn Kelley"/>
        <s v="Savannah Zimmerman"/>
        <s v="Diana Neal"/>
        <s v="Kimberly Reid"/>
        <s v="Logan Miller"/>
        <s v="Adrienne Wilson"/>
        <s v="Michael Willis"/>
        <s v="Anne Padilla"/>
        <s v="Brittany Allen"/>
        <s v="Julie Mann"/>
        <s v="Kelly Nixon"/>
        <s v="Christian Martinez"/>
        <s v="Kayla Obrien"/>
        <s v="Lauren Cannon"/>
        <s v="Dustin Andrade"/>
        <s v="Justin Perry"/>
        <s v="Gabriel Friedman"/>
        <s v="Rita Jacobs"/>
        <s v="Joshua Stone"/>
        <s v="Emily Smith"/>
        <s v="Robert Garcia"/>
        <s v="Charlotte Mueller"/>
        <s v="Paul Hardin"/>
        <s v="Meagan Roman"/>
        <s v="Kevin Beltran"/>
        <s v="Jason Johnson"/>
        <s v="Daniel Blanchard"/>
        <s v="Jodi Weber"/>
        <s v="Julian Gutierrez"/>
        <s v="Amanda Harvey"/>
        <s v="John Graham"/>
        <s v="Ashley Reid"/>
        <s v="Linda Garcia"/>
        <s v="Amanda Johnson"/>
        <s v="Michael Schneider"/>
        <s v="Victoria Morales"/>
        <s v="Donald Bradley"/>
        <s v="Scott Shepherd"/>
        <s v="Heather Hamilton"/>
        <s v="Amanda Coleman"/>
        <s v="Clinton Ferguson"/>
        <s v="Andrew Henderson"/>
        <s v="Joshua Mccormick"/>
        <s v="Steven Unknown"/>
        <s v="Joshua Howell"/>
        <s v="Ryan Davis"/>
        <s v="Rebekah Ford"/>
        <s v="Megan Baker"/>
        <s v="Ethan Clayton"/>
        <s v="Michael Todd"/>
        <s v="Andrew Jenkins"/>
        <s v="Jacqueline Boyer"/>
        <s v="Thomas King"/>
        <s v="Richard Roberts"/>
        <s v="Melissa Smith"/>
        <s v="James Duran"/>
        <s v="Barbara Smith"/>
        <s v="Samuel Jordan"/>
        <s v="Lori Martinez"/>
        <s v="Deborah Bishop"/>
        <s v="Christopher Martin"/>
        <s v="Lisa Austin"/>
        <s v="Lawrence Jackson"/>
        <s v="Michael Hawkins"/>
        <s v="David Thompson"/>
        <s v="Jessica Barajas"/>
        <s v="Michelle Brennan"/>
        <s v="Daniel Rios"/>
        <s v="Haley Baker"/>
        <s v="Breanna Potter"/>
        <s v="Jeremy Salas"/>
        <s v="April Armstrong"/>
        <s v="Taylor Wilson"/>
        <s v="Tamara Edwards"/>
        <s v="Tanya Taylor"/>
        <s v="Brenda Simmons"/>
        <s v="Alicia Ramirez"/>
        <s v="Valerie Johnston"/>
        <s v="Savannah Davis"/>
        <s v="Ashley Nelson"/>
        <s v="Tina Zuniga"/>
        <s v="Robert Rich"/>
        <s v="Beth Smith"/>
        <s v="Mary Taylor"/>
        <s v="Unkown Clark"/>
        <s v="Brandon Richardson"/>
        <s v="Lisa Unknown"/>
        <s v="Kathleen Stafford"/>
        <s v="Daniel Young"/>
        <s v="Denise Harris"/>
        <s v="John Mata"/>
        <s v="Michael Sharp"/>
        <s v="John Smith"/>
        <s v="Cathy Davila"/>
        <s v="Angela Pennington"/>
        <s v="Kathryn Clark"/>
        <s v="Linda Gomez"/>
        <s v="Elizabeth Nicholson"/>
        <s v="Brandon Boone"/>
        <s v="Kenneth Franklin"/>
        <s v="Scott Garcia"/>
        <s v="Matthew Stewart"/>
        <s v="Vanessa Ortiz"/>
        <s v="Zachary Wall"/>
        <s v="Dennis Norris"/>
        <s v="Lisa May"/>
        <s v="Andrew Vargas"/>
        <s v="Marissa Torres"/>
        <s v="Christopher Oconnor"/>
        <s v="Laura Parks"/>
        <s v="Sarah Valdez"/>
        <s v="Alexa Harris"/>
        <s v="Justin Powell"/>
        <s v="Vincent Benson"/>
        <s v="Paul Smith"/>
        <s v="Robert Fowler"/>
        <s v="Crystal Harris"/>
        <s v="Lisa Joseph"/>
        <s v="Edward Roberts"/>
        <s v="Michelle Juarez"/>
        <s v="Justin Weeks"/>
        <s v="Paula Moore"/>
        <s v="Monica Hogan"/>
        <s v="Hannah Gonzalez"/>
        <s v="James Garcia"/>
        <s v="Robert Scott"/>
        <s v="Amber Davidson"/>
        <s v="Michelle Mccullough"/>
        <s v="Sharon Yates"/>
        <s v="Melissa Walker"/>
        <s v="Dustin Patton"/>
        <s v="Thomas"/>
        <s v="Terri Baxter"/>
        <s v="Brian Walton"/>
        <s v="Brian Conley"/>
        <s v="Tyler Ballard"/>
      </sharedItems>
    </cacheField>
    <cacheField name="Buyer Location" numFmtId="0">
      <sharedItems count="11">
        <s v="Phoenix"/>
        <s v="Dallas"/>
        <s v="San Jose"/>
        <s v="Unknown"/>
        <s v="Philadelphia"/>
        <s v="San Antonio"/>
        <s v="San Diego"/>
        <s v="Los Angeles"/>
        <s v="Chicago"/>
        <s v="New York"/>
        <s v="Houston"/>
      </sharedItems>
    </cacheField>
    <cacheField name="Buyer Date of Birth" numFmtId="165">
      <sharedItems containsDate="1" containsMixedTypes="1" minDate="1943-08-10T00:00:00" maxDate="2006-07-26T00:00:00"/>
    </cacheField>
    <cacheField name="Payment Method" numFmtId="14">
      <sharedItems count="4">
        <s v="Debit Card"/>
        <s v="Cash"/>
        <s v="Credit Card"/>
        <s v="Mobile Payment"/>
      </sharedItems>
    </cacheField>
    <cacheField name="Quantity Purchased" numFmtId="1">
      <sharedItems containsSemiMixedTypes="0" containsString="0" containsNumber="1" containsInteger="1" minValue="10" maxValue="500"/>
    </cacheField>
    <cacheField name="Product Code" numFmtId="0">
      <sharedItems/>
    </cacheField>
    <cacheField name="Sales Representative" numFmtId="0">
      <sharedItems count="9">
        <s v="Sara Robertson"/>
        <s v="Susan Dean"/>
        <s v="Katie Stanton"/>
        <s v="April Watkins"/>
        <s v="Tracy Lee"/>
        <s v="Elizabeth Guerrero"/>
        <s v="Joseph Hill"/>
        <s v="Travis Doyle"/>
        <s v="Unknown"/>
      </sharedItems>
    </cacheField>
    <cacheField name="Gender" numFmtId="0">
      <sharedItems count="3">
        <s v="Male"/>
        <s v="Other"/>
        <s v="Female"/>
      </sharedItems>
    </cacheField>
    <cacheField name="Discount" numFmtId="9">
      <sharedItems containsSemiMixedTypes="0" containsString="0" containsNumber="1" minValue="0.1" maxValue="0.1"/>
    </cacheField>
    <cacheField name="Biscut Brand" numFmtId="0">
      <sharedItems count="11">
        <s v="Oatmeal Cookies"/>
        <s v="Cinnamon Swirls"/>
        <s v="Unknown"/>
        <s v="Shortbread"/>
        <s v="Lemon Crisps"/>
        <s v="Ginger Snaps"/>
        <s v="Peanut Butter Bites"/>
        <s v="Vanilla Wafers"/>
        <s v="Caramel Biscuits"/>
        <s v="Butter Crunch"/>
        <s v="Choco Delight"/>
      </sharedItems>
    </cacheField>
    <cacheField name="Cost" numFmtId="168">
      <sharedItems containsSemiMixedTypes="0" containsString="0" containsNumber="1" containsInteger="1" minValue="0" maxValue="19"/>
    </cacheField>
    <cacheField name="UnitPrice" numFmtId="168">
      <sharedItems containsSemiMixedTypes="0" containsString="0" containsNumber="1" containsInteger="1" minValue="0" maxValue="45"/>
    </cacheField>
    <cacheField name="Age" numFmtId="1">
      <sharedItems containsMixedTypes="1" containsNumber="1" containsInteger="1" minValue="17" maxValue="80"/>
    </cacheField>
    <cacheField name="COGS" numFmtId="167">
      <sharedItems containsSemiMixedTypes="0" containsString="0" containsNumber="1" containsInteger="1" minValue="0" maxValue="9424"/>
    </cacheField>
    <cacheField name="Revenue" numFmtId="167">
      <sharedItems containsSemiMixedTypes="0" containsString="0" containsNumber="1" minValue="0" maxValue="20250"/>
    </cacheField>
    <cacheField name="Profit" numFmtId="167">
      <sharedItems containsSemiMixedTypes="0" containsString="0" containsNumber="1" minValue="-49.699999999999818" maxValue="15250"/>
    </cacheField>
    <cacheField name="Weekday" numFmtId="169">
      <sharedItems containsSemiMixedTypes="0" containsNonDate="0" containsDate="1" containsString="0" minDate="1899-12-31T00:00:00" maxDate="1900-01-07T00:00:00"/>
    </cacheField>
    <cacheField name="Week Type" numFmtId="0">
      <sharedItems count="2">
        <s v="Weekday"/>
        <s v="Weekend"/>
      </sharedItems>
    </cacheField>
    <cacheField name="Days (Transaction  Date)" numFmtId="0" databaseField="0">
      <fieldGroup base="0">
        <rangePr groupBy="days" startDate="2024-01-01T00:00:00" endDate="2024-08-0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1/2024"/>
        </groupItems>
      </fieldGroup>
    </cacheField>
    <cacheField name="Months (Transaction  Date)" numFmtId="0" databaseField="0">
      <fieldGroup base="0">
        <rangePr groupBy="months" startDate="2024-01-01T00:00:00" endDate="2024-08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huvana buvi" refreshedDate="46186.849871412036" backgroundQuery="1" createdVersion="8" refreshedVersion="8" minRefreshableVersion="3" recordCount="0" supportSubquery="1" supportAdvancedDrill="1" xr:uid="{A74739A2-73E7-4DB6-A437-DBAA1AA9C27F}">
  <cacheSource type="external" connectionId="3"/>
  <cacheFields count="2">
    <cacheField name="[Table2_1].[Age-Group].[Age-Group]" caption="Age-Group" numFmtId="0" hierarchy="19" level="1">
      <sharedItems count="1">
        <s v="60-74"/>
      </sharedItems>
    </cacheField>
    <cacheField name="[Measures].[Sum of Profit]" caption="Sum of Profit" numFmtId="0" hierarchy="22" level="32767"/>
  </cacheFields>
  <cacheHierarchies count="23">
    <cacheHierarchy uniqueName="[Table2_1].[Transaction  Date]" caption="Transaction  Date" attribute="1" time="1" defaultMemberUniqueName="[Table2_1].[Transaction  Date].[All]" allUniqueName="[Table2_1].[Transaction  Date].[All]" dimensionUniqueName="[Table2_1]" displayFolder="" count="0" memberValueDatatype="7" unbalanced="0"/>
    <cacheHierarchy uniqueName="[Table2_1].[Buyer Name]" caption="Buyer Name" attribute="1" defaultMemberUniqueName="[Table2_1].[Buyer Name].[All]" allUniqueName="[Table2_1].[Buyer Name].[All]" dimensionUniqueName="[Table2_1]" displayFolder="" count="0" memberValueDatatype="130" unbalanced="0"/>
    <cacheHierarchy uniqueName="[Table2_1].[Buyer Location]" caption="Buyer Location" attribute="1" defaultMemberUniqueName="[Table2_1].[Buyer Location].[All]" allUniqueName="[Table2_1].[Buyer Location].[All]" dimensionUniqueName="[Table2_1]" displayFolder="" count="0" memberValueDatatype="130" unbalanced="0"/>
    <cacheHierarchy uniqueName="[Table2_1].[Buyer Date of Birth]" caption="Buyer Date of Birth" attribute="1" defaultMemberUniqueName="[Table2_1].[Buyer Date of Birth].[All]" allUniqueName="[Table2_1].[Buyer Date of Birth].[All]" dimensionUniqueName="[Table2_1]" displayFolder="" count="0" memberValueDatatype="130" unbalanced="0"/>
    <cacheHierarchy uniqueName="[Table2_1].[Payment Method]" caption="Payment Method" attribute="1" defaultMemberUniqueName="[Table2_1].[Payment Method].[All]" allUniqueName="[Table2_1].[Payment Method].[All]" dimensionUniqueName="[Table2_1]" displayFolder="" count="0" memberValueDatatype="130" unbalanced="0"/>
    <cacheHierarchy uniqueName="[Table2_1].[Quantity Purchased]" caption="Quantity Purchased" attribute="1" defaultMemberUniqueName="[Table2_1].[Quantity Purchased].[All]" allUniqueName="[Table2_1].[Quantity Purchased].[All]" dimensionUniqueName="[Table2_1]" displayFolder="" count="0" memberValueDatatype="20" unbalanced="0"/>
    <cacheHierarchy uniqueName="[Table2_1].[Product Code]" caption="Product Code" attribute="1" defaultMemberUniqueName="[Table2_1].[Product Code].[All]" allUniqueName="[Table2_1].[Product Code].[All]" dimensionUniqueName="[Table2_1]" displayFolder="" count="0" memberValueDatatype="130" unbalanced="0"/>
    <cacheHierarchy uniqueName="[Table2_1].[Sales Representative]" caption="Sales Representative" attribute="1" defaultMemberUniqueName="[Table2_1].[Sales Representative].[All]" allUniqueName="[Table2_1].[Sales Representative].[All]" dimensionUniqueName="[Table2_1]" displayFolder="" count="0" memberValueDatatype="130" unbalanced="0"/>
    <cacheHierarchy uniqueName="[Table2_1].[Gender]" caption="Gender" attribute="1" defaultMemberUniqueName="[Table2_1].[Gender].[All]" allUniqueName="[Table2_1].[Gender].[All]" dimensionUniqueName="[Table2_1]" displayFolder="" count="0" memberValueDatatype="130" unbalanced="0"/>
    <cacheHierarchy uniqueName="[Table2_1].[Discount]" caption="Discount" attribute="1" defaultMemberUniqueName="[Table2_1].[Discount].[All]" allUniqueName="[Table2_1].[Discount].[All]" dimensionUniqueName="[Table2_1]" displayFolder="" count="0" memberValueDatatype="5" unbalanced="0"/>
    <cacheHierarchy uniqueName="[Table2_1].[Biscut Brand]" caption="Biscut Brand" attribute="1" defaultMemberUniqueName="[Table2_1].[Biscut Brand].[All]" allUniqueName="[Table2_1].[Biscut Brand].[All]" dimensionUniqueName="[Table2_1]" displayFolder="" count="0" memberValueDatatype="130" unbalanced="0"/>
    <cacheHierarchy uniqueName="[Table2_1].[Cost]" caption="Cost" attribute="1" defaultMemberUniqueName="[Table2_1].[Cost].[All]" allUniqueName="[Table2_1].[Cost].[All]" dimensionUniqueName="[Table2_1]" displayFolder="" count="0" memberValueDatatype="20" unbalanced="0"/>
    <cacheHierarchy uniqueName="[Table2_1].[UnitPrice]" caption="UnitPrice" attribute="1" defaultMemberUniqueName="[Table2_1].[UnitPrice].[All]" allUniqueName="[Table2_1].[UnitPrice].[All]" dimensionUniqueName="[Table2_1]" displayFolder="" count="0" memberValueDatatype="20" unbalanced="0"/>
    <cacheHierarchy uniqueName="[Table2_1].[Age]" caption="Age" attribute="1" defaultMemberUniqueName="[Table2_1].[Age].[All]" allUniqueName="[Table2_1].[Age].[All]" dimensionUniqueName="[Table2_1]" displayFolder="" count="0" memberValueDatatype="130" unbalanced="0"/>
    <cacheHierarchy uniqueName="[Table2_1].[COGS]" caption="COGS" attribute="1" defaultMemberUniqueName="[Table2_1].[COGS].[All]" allUniqueName="[Table2_1].[COGS].[All]" dimensionUniqueName="[Table2_1]" displayFolder="" count="0" memberValueDatatype="20" unbalanced="0"/>
    <cacheHierarchy uniqueName="[Table2_1].[Revenue]" caption="Revenue" attribute="1" defaultMemberUniqueName="[Table2_1].[Revenue].[All]" allUniqueName="[Table2_1].[Revenue].[All]" dimensionUniqueName="[Table2_1]" displayFolder="" count="0" memberValueDatatype="5" unbalanced="0"/>
    <cacheHierarchy uniqueName="[Table2_1].[Profit]" caption="Profit" attribute="1" defaultMemberUniqueName="[Table2_1].[Profit].[All]" allUniqueName="[Table2_1].[Profit].[All]" dimensionUniqueName="[Table2_1]" displayFolder="" count="0" memberValueDatatype="5" unbalanced="0"/>
    <cacheHierarchy uniqueName="[Table2_1].[Weekday]" caption="Weekday" attribute="1" time="1" defaultMemberUniqueName="[Table2_1].[Weekday].[All]" allUniqueName="[Table2_1].[Weekday].[All]" dimensionUniqueName="[Table2_1]" displayFolder="" count="0" memberValueDatatype="7" unbalanced="0"/>
    <cacheHierarchy uniqueName="[Table2_1].[Week Type]" caption="Week Type" attribute="1" defaultMemberUniqueName="[Table2_1].[Week Type].[All]" allUniqueName="[Table2_1].[Week Type].[All]" dimensionUniqueName="[Table2_1]" displayFolder="" count="0" memberValueDatatype="130" unbalanced="0"/>
    <cacheHierarchy uniqueName="[Table2_1].[Age-Group]" caption="Age-Group" attribute="1" defaultMemberUniqueName="[Table2_1].[Age-Group].[All]" allUniqueName="[Table2_1].[Age-Group].[All]" dimensionUniqueName="[Table2_1]" displayFolder="" count="2" memberValueDatatype="130" unbalanced="0">
      <fieldsUsage count="2">
        <fieldUsage x="-1"/>
        <fieldUsage x="0"/>
      </fieldsUsage>
    </cacheHierarchy>
    <cacheHierarchy uniqueName="[Measures].[__XL_Count Table2_1]" caption="__XL_Count Table2_1" measure="1" displayFolder="" measureGroup="Table2_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2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2_1" uniqueName="[Table2_1]" caption="Table2_1"/>
  </dimensions>
  <measureGroups count="1">
    <measureGroup name="Table2_1" caption="Table2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x v="0"/>
    <d v="1980-02-06T00:00:00"/>
    <x v="0"/>
    <n v="134"/>
    <s v="Pro07"/>
    <x v="0"/>
    <x v="0"/>
    <n v="0.1"/>
    <x v="0"/>
    <n v="19"/>
    <n v="23"/>
    <n v="43"/>
    <n v="2546"/>
    <n v="2773.8"/>
    <n v="227.80000000000018"/>
    <d v="1900-01-01T00:00:00"/>
    <x v="0"/>
  </r>
  <r>
    <x v="0"/>
    <x v="1"/>
    <x v="1"/>
    <d v="1978-02-20T00:00:00"/>
    <x v="1"/>
    <n v="454"/>
    <s v="Pro04"/>
    <x v="1"/>
    <x v="0"/>
    <n v="0.1"/>
    <x v="1"/>
    <n v="10"/>
    <n v="14"/>
    <n v="45"/>
    <n v="4540"/>
    <n v="5720.4000000000005"/>
    <n v="1180.4000000000005"/>
    <d v="1900-01-01T00:00:00"/>
    <x v="0"/>
  </r>
  <r>
    <x v="1"/>
    <x v="2"/>
    <x v="2"/>
    <d v="1987-09-26T00:00:00"/>
    <x v="1"/>
    <n v="428"/>
    <s v="Pro04"/>
    <x v="1"/>
    <x v="0"/>
    <n v="0.1"/>
    <x v="1"/>
    <n v="10"/>
    <n v="14"/>
    <n v="36"/>
    <n v="4280"/>
    <n v="5392.8"/>
    <n v="1112.8000000000002"/>
    <d v="1900-01-02T00:00:00"/>
    <x v="0"/>
  </r>
  <r>
    <x v="1"/>
    <x v="3"/>
    <x v="3"/>
    <d v="1961-01-25T00:00:00"/>
    <x v="2"/>
    <n v="209"/>
    <s v="Unknown"/>
    <x v="2"/>
    <x v="1"/>
    <n v="0.1"/>
    <x v="2"/>
    <n v="0"/>
    <n v="0"/>
    <n v="62"/>
    <n v="0"/>
    <n v="0"/>
    <n v="0"/>
    <d v="1900-01-02T00:00:00"/>
    <x v="0"/>
  </r>
  <r>
    <x v="1"/>
    <x v="4"/>
    <x v="0"/>
    <d v="1996-03-20T00:00:00"/>
    <x v="1"/>
    <n v="212"/>
    <s v="Pro04"/>
    <x v="0"/>
    <x v="0"/>
    <n v="0.1"/>
    <x v="1"/>
    <n v="10"/>
    <n v="14"/>
    <n v="27"/>
    <n v="2120"/>
    <n v="2671.2000000000003"/>
    <n v="551.20000000000027"/>
    <d v="1900-01-02T00:00:00"/>
    <x v="0"/>
  </r>
  <r>
    <x v="1"/>
    <x v="5"/>
    <x v="4"/>
    <d v="1955-11-30T00:00:00"/>
    <x v="0"/>
    <n v="377"/>
    <s v="Pro09"/>
    <x v="3"/>
    <x v="0"/>
    <n v="0.1"/>
    <x v="3"/>
    <n v="10"/>
    <n v="45"/>
    <n v="68"/>
    <n v="3770"/>
    <n v="15268.5"/>
    <n v="11498.5"/>
    <d v="1900-01-02T00:00:00"/>
    <x v="0"/>
  </r>
  <r>
    <x v="1"/>
    <x v="6"/>
    <x v="5"/>
    <d v="1969-04-06T00:00:00"/>
    <x v="2"/>
    <n v="305"/>
    <s v="Pro06"/>
    <x v="2"/>
    <x v="0"/>
    <n v="0.1"/>
    <x v="4"/>
    <n v="7"/>
    <n v="9"/>
    <n v="54"/>
    <n v="2135"/>
    <n v="2470.5"/>
    <n v="335.5"/>
    <d v="1900-01-02T00:00:00"/>
    <x v="0"/>
  </r>
  <r>
    <x v="1"/>
    <x v="7"/>
    <x v="5"/>
    <d v="1973-04-06T00:00:00"/>
    <x v="3"/>
    <n v="263"/>
    <s v="Pro09"/>
    <x v="2"/>
    <x v="0"/>
    <n v="0.1"/>
    <x v="3"/>
    <n v="10"/>
    <n v="45"/>
    <n v="50"/>
    <n v="2630"/>
    <n v="10651.5"/>
    <n v="8021.5"/>
    <d v="1900-01-02T00:00:00"/>
    <x v="0"/>
  </r>
  <r>
    <x v="1"/>
    <x v="8"/>
    <x v="5"/>
    <d v="1975-10-23T00:00:00"/>
    <x v="2"/>
    <n v="434"/>
    <s v="Pro05"/>
    <x v="1"/>
    <x v="0"/>
    <n v="0.1"/>
    <x v="5"/>
    <n v="14"/>
    <n v="28"/>
    <n v="48"/>
    <n v="6076"/>
    <n v="10936.800000000001"/>
    <n v="4860.8000000000011"/>
    <d v="1900-01-02T00:00:00"/>
    <x v="0"/>
  </r>
  <r>
    <x v="2"/>
    <x v="9"/>
    <x v="4"/>
    <d v="1972-04-28T00:00:00"/>
    <x v="3"/>
    <n v="75"/>
    <s v="Pro08"/>
    <x v="1"/>
    <x v="0"/>
    <n v="0.1"/>
    <x v="6"/>
    <n v="5"/>
    <n v="7"/>
    <n v="51"/>
    <n v="375"/>
    <n v="472.5"/>
    <n v="97.5"/>
    <d v="1900-01-03T00:00:00"/>
    <x v="0"/>
  </r>
  <r>
    <x v="2"/>
    <x v="10"/>
    <x v="1"/>
    <d v="1952-01-16T00:00:00"/>
    <x v="1"/>
    <n v="358"/>
    <s v="Unknown"/>
    <x v="2"/>
    <x v="0"/>
    <n v="0.1"/>
    <x v="2"/>
    <n v="0"/>
    <n v="0"/>
    <n v="71"/>
    <n v="0"/>
    <n v="0"/>
    <n v="0"/>
    <d v="1900-01-03T00:00:00"/>
    <x v="0"/>
  </r>
  <r>
    <x v="2"/>
    <x v="11"/>
    <x v="2"/>
    <d v="1960-08-21T00:00:00"/>
    <x v="3"/>
    <n v="379"/>
    <s v="Pro09"/>
    <x v="1"/>
    <x v="0"/>
    <n v="0.1"/>
    <x v="3"/>
    <n v="10"/>
    <n v="45"/>
    <n v="63"/>
    <n v="3790"/>
    <n v="15349.5"/>
    <n v="11559.5"/>
    <d v="1900-01-03T00:00:00"/>
    <x v="0"/>
  </r>
  <r>
    <x v="2"/>
    <x v="12"/>
    <x v="5"/>
    <d v="1949-12-06T00:00:00"/>
    <x v="3"/>
    <n v="347"/>
    <s v="Pro05"/>
    <x v="0"/>
    <x v="0"/>
    <n v="0.1"/>
    <x v="5"/>
    <n v="14"/>
    <n v="28"/>
    <n v="74"/>
    <n v="4858"/>
    <n v="8744.4"/>
    <n v="3886.3999999999996"/>
    <d v="1900-01-03T00:00:00"/>
    <x v="0"/>
  </r>
  <r>
    <x v="3"/>
    <x v="13"/>
    <x v="3"/>
    <d v="1993-11-26T00:00:00"/>
    <x v="2"/>
    <n v="338"/>
    <s v="Pro10"/>
    <x v="1"/>
    <x v="0"/>
    <n v="0.1"/>
    <x v="7"/>
    <n v="18"/>
    <n v="36"/>
    <n v="30"/>
    <n v="6084"/>
    <n v="10951.2"/>
    <n v="4867.2000000000007"/>
    <d v="1900-01-04T00:00:00"/>
    <x v="0"/>
  </r>
  <r>
    <x v="3"/>
    <x v="14"/>
    <x v="3"/>
    <d v="1949-11-16T00:00:00"/>
    <x v="0"/>
    <n v="46"/>
    <s v="Pro04"/>
    <x v="1"/>
    <x v="0"/>
    <n v="0.1"/>
    <x v="1"/>
    <n v="10"/>
    <n v="14"/>
    <n v="74"/>
    <n v="460"/>
    <n v="579.6"/>
    <n v="119.60000000000002"/>
    <d v="1900-01-04T00:00:00"/>
    <x v="0"/>
  </r>
  <r>
    <x v="3"/>
    <x v="15"/>
    <x v="6"/>
    <d v="1981-01-10T00:00:00"/>
    <x v="2"/>
    <n v="26"/>
    <s v="Pro07"/>
    <x v="2"/>
    <x v="0"/>
    <n v="0.1"/>
    <x v="0"/>
    <n v="19"/>
    <n v="23"/>
    <n v="42"/>
    <n v="494"/>
    <n v="538.20000000000005"/>
    <n v="44.200000000000045"/>
    <d v="1900-01-04T00:00:00"/>
    <x v="0"/>
  </r>
  <r>
    <x v="3"/>
    <x v="16"/>
    <x v="2"/>
    <d v="1945-04-25T00:00:00"/>
    <x v="1"/>
    <n v="199"/>
    <s v="Pro05"/>
    <x v="3"/>
    <x v="0"/>
    <n v="0.1"/>
    <x v="5"/>
    <n v="14"/>
    <n v="28"/>
    <n v="78"/>
    <n v="2786"/>
    <n v="5014.8"/>
    <n v="2228.8000000000002"/>
    <d v="1900-01-04T00:00:00"/>
    <x v="0"/>
  </r>
  <r>
    <x v="3"/>
    <x v="17"/>
    <x v="7"/>
    <d v="1991-07-29T00:00:00"/>
    <x v="3"/>
    <n v="63"/>
    <s v="Pro02"/>
    <x v="0"/>
    <x v="0"/>
    <n v="0.1"/>
    <x v="8"/>
    <n v="18"/>
    <n v="22"/>
    <n v="32"/>
    <n v="1134"/>
    <n v="1247.4000000000001"/>
    <n v="113.40000000000009"/>
    <d v="1900-01-04T00:00:00"/>
    <x v="0"/>
  </r>
  <r>
    <x v="3"/>
    <x v="18"/>
    <x v="8"/>
    <d v="1964-09-04T00:00:00"/>
    <x v="1"/>
    <n v="413"/>
    <s v="Pro10"/>
    <x v="1"/>
    <x v="2"/>
    <n v="0.1"/>
    <x v="7"/>
    <n v="18"/>
    <n v="36"/>
    <n v="59"/>
    <n v="7434"/>
    <n v="13381.2"/>
    <n v="5947.2000000000007"/>
    <d v="1900-01-04T00:00:00"/>
    <x v="0"/>
  </r>
  <r>
    <x v="3"/>
    <x v="19"/>
    <x v="2"/>
    <d v="2004-09-24T00:00:00"/>
    <x v="1"/>
    <n v="175"/>
    <s v="Pro04"/>
    <x v="1"/>
    <x v="0"/>
    <n v="0.1"/>
    <x v="1"/>
    <n v="10"/>
    <n v="14"/>
    <n v="19"/>
    <n v="1750"/>
    <n v="2205"/>
    <n v="455"/>
    <d v="1900-01-04T00:00:00"/>
    <x v="0"/>
  </r>
  <r>
    <x v="4"/>
    <x v="20"/>
    <x v="3"/>
    <d v="1985-09-19T00:00:00"/>
    <x v="0"/>
    <n v="224"/>
    <s v="Pro04"/>
    <x v="2"/>
    <x v="0"/>
    <n v="0.1"/>
    <x v="1"/>
    <n v="10"/>
    <n v="14"/>
    <n v="38"/>
    <n v="2240"/>
    <n v="2822.4"/>
    <n v="582.40000000000009"/>
    <d v="1900-01-05T00:00:00"/>
    <x v="0"/>
  </r>
  <r>
    <x v="4"/>
    <x v="21"/>
    <x v="9"/>
    <d v="1984-05-29T00:00:00"/>
    <x v="0"/>
    <n v="104"/>
    <s v="Pro01"/>
    <x v="1"/>
    <x v="1"/>
    <n v="0.1"/>
    <x v="9"/>
    <n v="10"/>
    <n v="11"/>
    <n v="39"/>
    <n v="1040"/>
    <n v="1029.6000000000001"/>
    <n v="-10.399999999999864"/>
    <d v="1900-01-05T00:00:00"/>
    <x v="0"/>
  </r>
  <r>
    <x v="4"/>
    <x v="22"/>
    <x v="6"/>
    <d v="1947-12-20T00:00:00"/>
    <x v="2"/>
    <n v="82"/>
    <s v="Pro08"/>
    <x v="0"/>
    <x v="0"/>
    <n v="0.1"/>
    <x v="6"/>
    <n v="5"/>
    <n v="7"/>
    <n v="76"/>
    <n v="410"/>
    <n v="516.6"/>
    <n v="106.60000000000002"/>
    <d v="1900-01-05T00:00:00"/>
    <x v="0"/>
  </r>
  <r>
    <x v="4"/>
    <x v="23"/>
    <x v="0"/>
    <d v="1980-09-25T00:00:00"/>
    <x v="2"/>
    <n v="277"/>
    <s v="Pro04"/>
    <x v="0"/>
    <x v="0"/>
    <n v="0.1"/>
    <x v="1"/>
    <n v="10"/>
    <n v="14"/>
    <n v="43"/>
    <n v="2770"/>
    <n v="3490.2000000000003"/>
    <n v="720.20000000000027"/>
    <d v="1900-01-05T00:00:00"/>
    <x v="0"/>
  </r>
  <r>
    <x v="4"/>
    <x v="24"/>
    <x v="9"/>
    <d v="1982-11-03T00:00:00"/>
    <x v="2"/>
    <n v="180"/>
    <s v="Pro10"/>
    <x v="1"/>
    <x v="0"/>
    <n v="0.1"/>
    <x v="7"/>
    <n v="18"/>
    <n v="36"/>
    <n v="41"/>
    <n v="3240"/>
    <n v="5832"/>
    <n v="2592"/>
    <d v="1900-01-05T00:00:00"/>
    <x v="0"/>
  </r>
  <r>
    <x v="4"/>
    <x v="25"/>
    <x v="2"/>
    <d v="2005-08-05T00:00:00"/>
    <x v="0"/>
    <n v="108"/>
    <s v="Pro03"/>
    <x v="0"/>
    <x v="0"/>
    <n v="0.1"/>
    <x v="10"/>
    <n v="3"/>
    <n v="5"/>
    <n v="18"/>
    <n v="324"/>
    <n v="486"/>
    <n v="162"/>
    <d v="1900-01-05T00:00:00"/>
    <x v="0"/>
  </r>
  <r>
    <x v="5"/>
    <x v="26"/>
    <x v="1"/>
    <d v="2004-01-30T00:00:00"/>
    <x v="3"/>
    <n v="296"/>
    <s v="Pro01"/>
    <x v="1"/>
    <x v="0"/>
    <n v="0.1"/>
    <x v="9"/>
    <n v="10"/>
    <n v="11"/>
    <n v="19"/>
    <n v="2960"/>
    <n v="2930.4"/>
    <n v="-29.599999999999909"/>
    <d v="1899-12-31T00:00:00"/>
    <x v="1"/>
  </r>
  <r>
    <x v="5"/>
    <x v="27"/>
    <x v="4"/>
    <d v="2003-08-01T00:00:00"/>
    <x v="3"/>
    <n v="458"/>
    <s v="Pro05"/>
    <x v="2"/>
    <x v="0"/>
    <n v="0.1"/>
    <x v="5"/>
    <n v="14"/>
    <n v="28"/>
    <n v="20"/>
    <n v="6412"/>
    <n v="11541.6"/>
    <n v="5129.6000000000004"/>
    <d v="1899-12-31T00:00:00"/>
    <x v="1"/>
  </r>
  <r>
    <x v="5"/>
    <x v="28"/>
    <x v="1"/>
    <d v="1990-02-19T00:00:00"/>
    <x v="0"/>
    <n v="418"/>
    <s v="Pro10"/>
    <x v="2"/>
    <x v="0"/>
    <n v="0.1"/>
    <x v="7"/>
    <n v="18"/>
    <n v="36"/>
    <n v="33"/>
    <n v="7524"/>
    <n v="13543.2"/>
    <n v="6019.2000000000007"/>
    <d v="1899-12-31T00:00:00"/>
    <x v="1"/>
  </r>
  <r>
    <x v="5"/>
    <x v="29"/>
    <x v="1"/>
    <d v="1973-10-23T00:00:00"/>
    <x v="1"/>
    <n v="494"/>
    <s v="Pro07"/>
    <x v="1"/>
    <x v="0"/>
    <n v="0.1"/>
    <x v="0"/>
    <n v="19"/>
    <n v="23"/>
    <n v="50"/>
    <n v="9386"/>
    <n v="10225.800000000001"/>
    <n v="839.80000000000109"/>
    <d v="1899-12-31T00:00:00"/>
    <x v="1"/>
  </r>
  <r>
    <x v="6"/>
    <x v="30"/>
    <x v="6"/>
    <d v="1984-10-01T00:00:00"/>
    <x v="0"/>
    <n v="23"/>
    <s v="Pro08"/>
    <x v="1"/>
    <x v="0"/>
    <n v="0.1"/>
    <x v="6"/>
    <n v="5"/>
    <n v="7"/>
    <n v="39"/>
    <n v="115"/>
    <n v="144.9"/>
    <n v="29.900000000000006"/>
    <d v="1900-01-01T00:00:00"/>
    <x v="0"/>
  </r>
  <r>
    <x v="6"/>
    <x v="31"/>
    <x v="2"/>
    <d v="1976-07-26T00:00:00"/>
    <x v="2"/>
    <n v="359"/>
    <s v="Pro01"/>
    <x v="1"/>
    <x v="0"/>
    <n v="0.1"/>
    <x v="9"/>
    <n v="10"/>
    <n v="11"/>
    <n v="47"/>
    <n v="3590"/>
    <n v="3554.1"/>
    <n v="-35.900000000000091"/>
    <d v="1900-01-01T00:00:00"/>
    <x v="0"/>
  </r>
  <r>
    <x v="6"/>
    <x v="32"/>
    <x v="0"/>
    <d v="2005-11-10T00:00:00"/>
    <x v="2"/>
    <n v="36"/>
    <s v="Pro05"/>
    <x v="1"/>
    <x v="0"/>
    <n v="0.1"/>
    <x v="5"/>
    <n v="14"/>
    <n v="28"/>
    <n v="18"/>
    <n v="504"/>
    <n v="907.2"/>
    <n v="403.20000000000005"/>
    <d v="1900-01-01T00:00:00"/>
    <x v="0"/>
  </r>
  <r>
    <x v="6"/>
    <x v="33"/>
    <x v="10"/>
    <d v="1996-01-27T00:00:00"/>
    <x v="0"/>
    <n v="464"/>
    <s v="Pro10"/>
    <x v="1"/>
    <x v="0"/>
    <n v="0.1"/>
    <x v="7"/>
    <n v="18"/>
    <n v="36"/>
    <n v="27"/>
    <n v="8352"/>
    <n v="15033.6"/>
    <n v="6681.6"/>
    <d v="1900-01-01T00:00:00"/>
    <x v="0"/>
  </r>
  <r>
    <x v="6"/>
    <x v="34"/>
    <x v="1"/>
    <d v="1945-01-06T00:00:00"/>
    <x v="0"/>
    <n v="319"/>
    <s v="Pro07"/>
    <x v="1"/>
    <x v="0"/>
    <n v="0.1"/>
    <x v="0"/>
    <n v="19"/>
    <n v="23"/>
    <n v="79"/>
    <n v="6061"/>
    <n v="6603.3"/>
    <n v="542.30000000000018"/>
    <d v="1900-01-01T00:00:00"/>
    <x v="0"/>
  </r>
  <r>
    <x v="6"/>
    <x v="35"/>
    <x v="3"/>
    <d v="1996-03-25T00:00:00"/>
    <x v="2"/>
    <n v="429"/>
    <s v="Pro10"/>
    <x v="2"/>
    <x v="0"/>
    <n v="0.1"/>
    <x v="7"/>
    <n v="18"/>
    <n v="36"/>
    <n v="27"/>
    <n v="7722"/>
    <n v="13899.6"/>
    <n v="6177.6"/>
    <d v="1900-01-01T00:00:00"/>
    <x v="0"/>
  </r>
  <r>
    <x v="6"/>
    <x v="36"/>
    <x v="7"/>
    <d v="1994-08-21T00:00:00"/>
    <x v="1"/>
    <n v="494"/>
    <s v="Pro05"/>
    <x v="1"/>
    <x v="0"/>
    <n v="0.1"/>
    <x v="5"/>
    <n v="14"/>
    <n v="28"/>
    <n v="29"/>
    <n v="6916"/>
    <n v="12448.800000000001"/>
    <n v="5532.8000000000011"/>
    <d v="1900-01-01T00:00:00"/>
    <x v="0"/>
  </r>
  <r>
    <x v="7"/>
    <x v="37"/>
    <x v="8"/>
    <d v="1956-08-02T00:00:00"/>
    <x v="3"/>
    <n v="94"/>
    <s v="Pro02"/>
    <x v="2"/>
    <x v="0"/>
    <n v="0.1"/>
    <x v="8"/>
    <n v="18"/>
    <n v="22"/>
    <n v="67"/>
    <n v="1692"/>
    <n v="1861.2"/>
    <n v="169.20000000000005"/>
    <d v="1900-01-02T00:00:00"/>
    <x v="0"/>
  </r>
  <r>
    <x v="7"/>
    <x v="38"/>
    <x v="0"/>
    <d v="1972-08-11T00:00:00"/>
    <x v="1"/>
    <n v="226"/>
    <s v="Pro02"/>
    <x v="2"/>
    <x v="1"/>
    <n v="0.1"/>
    <x v="8"/>
    <n v="18"/>
    <n v="22"/>
    <n v="51"/>
    <n v="4068"/>
    <n v="4474.8"/>
    <n v="406.80000000000018"/>
    <d v="1900-01-02T00:00:00"/>
    <x v="0"/>
  </r>
  <r>
    <x v="7"/>
    <x v="39"/>
    <x v="1"/>
    <d v="1996-06-27T00:00:00"/>
    <x v="1"/>
    <n v="183"/>
    <s v="Pro09"/>
    <x v="1"/>
    <x v="0"/>
    <n v="0.1"/>
    <x v="3"/>
    <n v="10"/>
    <n v="45"/>
    <n v="27"/>
    <n v="1830"/>
    <n v="7411.5"/>
    <n v="5581.5"/>
    <d v="1900-01-02T00:00:00"/>
    <x v="0"/>
  </r>
  <r>
    <x v="7"/>
    <x v="40"/>
    <x v="7"/>
    <d v="1976-06-29T00:00:00"/>
    <x v="1"/>
    <n v="23"/>
    <s v="Pro04"/>
    <x v="1"/>
    <x v="0"/>
    <n v="0.1"/>
    <x v="1"/>
    <n v="10"/>
    <n v="14"/>
    <n v="47"/>
    <n v="230"/>
    <n v="289.8"/>
    <n v="59.800000000000011"/>
    <d v="1900-01-02T00:00:00"/>
    <x v="0"/>
  </r>
  <r>
    <x v="8"/>
    <x v="41"/>
    <x v="4"/>
    <d v="1998-12-03T00:00:00"/>
    <x v="0"/>
    <n v="430"/>
    <s v="Pro10"/>
    <x v="4"/>
    <x v="0"/>
    <n v="0.1"/>
    <x v="7"/>
    <n v="18"/>
    <n v="36"/>
    <n v="25"/>
    <n v="7740"/>
    <n v="13932"/>
    <n v="6192"/>
    <d v="1900-01-03T00:00:00"/>
    <x v="0"/>
  </r>
  <r>
    <x v="8"/>
    <x v="42"/>
    <x v="10"/>
    <d v="1990-04-22T00:00:00"/>
    <x v="3"/>
    <n v="437"/>
    <s v="Pro04"/>
    <x v="2"/>
    <x v="0"/>
    <n v="0.1"/>
    <x v="1"/>
    <n v="10"/>
    <n v="14"/>
    <n v="33"/>
    <n v="4370"/>
    <n v="5506.2"/>
    <n v="1136.1999999999998"/>
    <d v="1900-01-03T00:00:00"/>
    <x v="0"/>
  </r>
  <r>
    <x v="8"/>
    <x v="43"/>
    <x v="3"/>
    <d v="1957-10-20T00:00:00"/>
    <x v="1"/>
    <n v="263"/>
    <s v="Pro02"/>
    <x v="4"/>
    <x v="0"/>
    <n v="0.1"/>
    <x v="8"/>
    <n v="18"/>
    <n v="22"/>
    <n v="66"/>
    <n v="4734"/>
    <n v="5207.4000000000005"/>
    <n v="473.40000000000055"/>
    <d v="1900-01-03T00:00:00"/>
    <x v="0"/>
  </r>
  <r>
    <x v="8"/>
    <x v="44"/>
    <x v="5"/>
    <d v="1961-10-31T00:00:00"/>
    <x v="0"/>
    <n v="135"/>
    <s v="Pro04"/>
    <x v="3"/>
    <x v="0"/>
    <n v="0.1"/>
    <x v="1"/>
    <n v="10"/>
    <n v="14"/>
    <n v="62"/>
    <n v="1350"/>
    <n v="1701"/>
    <n v="351"/>
    <d v="1900-01-03T00:00:00"/>
    <x v="0"/>
  </r>
  <r>
    <x v="8"/>
    <x v="45"/>
    <x v="9"/>
    <d v="1965-02-08T00:00:00"/>
    <x v="3"/>
    <n v="36"/>
    <s v="Pro05"/>
    <x v="3"/>
    <x v="0"/>
    <n v="0.1"/>
    <x v="5"/>
    <n v="14"/>
    <n v="28"/>
    <n v="58"/>
    <n v="504"/>
    <n v="907.2"/>
    <n v="403.20000000000005"/>
    <d v="1900-01-03T00:00:00"/>
    <x v="0"/>
  </r>
  <r>
    <x v="8"/>
    <x v="46"/>
    <x v="3"/>
    <d v="1983-03-12T00:00:00"/>
    <x v="3"/>
    <n v="447"/>
    <s v="Pro08"/>
    <x v="1"/>
    <x v="0"/>
    <n v="0.1"/>
    <x v="6"/>
    <n v="5"/>
    <n v="7"/>
    <n v="40"/>
    <n v="2235"/>
    <n v="2816.1"/>
    <n v="581.09999999999991"/>
    <d v="1900-01-03T00:00:00"/>
    <x v="0"/>
  </r>
  <r>
    <x v="9"/>
    <x v="47"/>
    <x v="8"/>
    <d v="1959-08-29T00:00:00"/>
    <x v="0"/>
    <n v="340"/>
    <s v="Pro05"/>
    <x v="1"/>
    <x v="0"/>
    <n v="0.1"/>
    <x v="5"/>
    <n v="14"/>
    <n v="28"/>
    <n v="64"/>
    <n v="4760"/>
    <n v="8568"/>
    <n v="3808"/>
    <d v="1900-01-04T00:00:00"/>
    <x v="0"/>
  </r>
  <r>
    <x v="9"/>
    <x v="48"/>
    <x v="7"/>
    <d v="1963-11-26T00:00:00"/>
    <x v="1"/>
    <n v="323"/>
    <s v="Pro09"/>
    <x v="2"/>
    <x v="0"/>
    <n v="0.1"/>
    <x v="3"/>
    <n v="10"/>
    <n v="45"/>
    <n v="60"/>
    <n v="3230"/>
    <n v="13081.5"/>
    <n v="9851.5"/>
    <d v="1900-01-04T00:00:00"/>
    <x v="0"/>
  </r>
  <r>
    <x v="9"/>
    <x v="49"/>
    <x v="2"/>
    <d v="2002-04-17T00:00:00"/>
    <x v="1"/>
    <n v="471"/>
    <s v="Pro08"/>
    <x v="2"/>
    <x v="0"/>
    <n v="0.1"/>
    <x v="6"/>
    <n v="5"/>
    <n v="7"/>
    <n v="21"/>
    <n v="2355"/>
    <n v="2967.3"/>
    <n v="612.30000000000018"/>
    <d v="1900-01-04T00:00:00"/>
    <x v="0"/>
  </r>
  <r>
    <x v="9"/>
    <x v="50"/>
    <x v="8"/>
    <d v="1983-07-09T00:00:00"/>
    <x v="1"/>
    <n v="146"/>
    <s v="Pro03"/>
    <x v="5"/>
    <x v="0"/>
    <n v="0.1"/>
    <x v="10"/>
    <n v="3"/>
    <n v="5"/>
    <n v="40"/>
    <n v="438"/>
    <n v="657"/>
    <n v="219"/>
    <d v="1900-01-04T00:00:00"/>
    <x v="0"/>
  </r>
  <r>
    <x v="9"/>
    <x v="51"/>
    <x v="3"/>
    <d v="1974-03-21T00:00:00"/>
    <x v="3"/>
    <n v="488"/>
    <s v="Pro09"/>
    <x v="1"/>
    <x v="0"/>
    <n v="0.1"/>
    <x v="3"/>
    <n v="10"/>
    <n v="45"/>
    <n v="49"/>
    <n v="4880"/>
    <n v="19764"/>
    <n v="14884"/>
    <d v="1900-01-04T00:00:00"/>
    <x v="0"/>
  </r>
  <r>
    <x v="9"/>
    <x v="52"/>
    <x v="6"/>
    <d v="1944-01-11T00:00:00"/>
    <x v="1"/>
    <n v="75"/>
    <s v="Pro04"/>
    <x v="1"/>
    <x v="0"/>
    <n v="0.1"/>
    <x v="1"/>
    <n v="10"/>
    <n v="14"/>
    <n v="80"/>
    <n v="750"/>
    <n v="945"/>
    <n v="195"/>
    <d v="1900-01-04T00:00:00"/>
    <x v="0"/>
  </r>
  <r>
    <x v="9"/>
    <x v="53"/>
    <x v="0"/>
    <d v="1992-06-18T00:00:00"/>
    <x v="1"/>
    <n v="261"/>
    <s v="Pro01"/>
    <x v="2"/>
    <x v="0"/>
    <n v="0.1"/>
    <x v="9"/>
    <n v="10"/>
    <n v="11"/>
    <n v="31"/>
    <n v="2610"/>
    <n v="2583.9"/>
    <n v="-26.099999999999909"/>
    <d v="1900-01-04T00:00:00"/>
    <x v="0"/>
  </r>
  <r>
    <x v="10"/>
    <x v="54"/>
    <x v="5"/>
    <d v="1965-01-26T00:00:00"/>
    <x v="1"/>
    <n v="71"/>
    <s v="Pro02"/>
    <x v="1"/>
    <x v="0"/>
    <n v="0.1"/>
    <x v="8"/>
    <n v="18"/>
    <n v="22"/>
    <n v="58"/>
    <n v="1278"/>
    <n v="1405.8"/>
    <n v="127.79999999999995"/>
    <d v="1900-01-05T00:00:00"/>
    <x v="0"/>
  </r>
  <r>
    <x v="10"/>
    <x v="55"/>
    <x v="8"/>
    <d v="1976-07-05T00:00:00"/>
    <x v="3"/>
    <n v="271"/>
    <s v="Pro06"/>
    <x v="4"/>
    <x v="0"/>
    <n v="0.1"/>
    <x v="4"/>
    <n v="7"/>
    <n v="9"/>
    <n v="47"/>
    <n v="1897"/>
    <n v="2195.1"/>
    <n v="298.09999999999991"/>
    <d v="1900-01-05T00:00:00"/>
    <x v="0"/>
  </r>
  <r>
    <x v="10"/>
    <x v="56"/>
    <x v="2"/>
    <d v="1996-06-13T00:00:00"/>
    <x v="2"/>
    <n v="277"/>
    <s v="Pro06"/>
    <x v="2"/>
    <x v="0"/>
    <n v="0.1"/>
    <x v="4"/>
    <n v="7"/>
    <n v="9"/>
    <n v="27"/>
    <n v="1939"/>
    <n v="2243.7000000000003"/>
    <n v="304.70000000000027"/>
    <d v="1900-01-05T00:00:00"/>
    <x v="0"/>
  </r>
  <r>
    <x v="10"/>
    <x v="57"/>
    <x v="3"/>
    <d v="1969-06-28T00:00:00"/>
    <x v="3"/>
    <n v="103"/>
    <s v="Pro03"/>
    <x v="5"/>
    <x v="0"/>
    <n v="0.1"/>
    <x v="10"/>
    <n v="3"/>
    <n v="5"/>
    <n v="54"/>
    <n v="309"/>
    <n v="463.5"/>
    <n v="154.5"/>
    <d v="1900-01-05T00:00:00"/>
    <x v="0"/>
  </r>
  <r>
    <x v="10"/>
    <x v="58"/>
    <x v="4"/>
    <d v="1976-01-07T00:00:00"/>
    <x v="1"/>
    <n v="264"/>
    <s v="Pro02"/>
    <x v="2"/>
    <x v="0"/>
    <n v="0.1"/>
    <x v="8"/>
    <n v="18"/>
    <n v="22"/>
    <n v="48"/>
    <n v="4752"/>
    <n v="5227.2"/>
    <n v="475.19999999999982"/>
    <d v="1900-01-05T00:00:00"/>
    <x v="0"/>
  </r>
  <r>
    <x v="10"/>
    <x v="59"/>
    <x v="10"/>
    <d v="1949-09-03T00:00:00"/>
    <x v="1"/>
    <n v="302"/>
    <s v="Pro09"/>
    <x v="2"/>
    <x v="0"/>
    <n v="0.1"/>
    <x v="3"/>
    <n v="10"/>
    <n v="45"/>
    <n v="74"/>
    <n v="3020"/>
    <n v="12231"/>
    <n v="9211"/>
    <d v="1900-01-05T00:00:00"/>
    <x v="0"/>
  </r>
  <r>
    <x v="10"/>
    <x v="60"/>
    <x v="8"/>
    <d v="1981-12-14T00:00:00"/>
    <x v="3"/>
    <n v="483"/>
    <s v="Pro03"/>
    <x v="2"/>
    <x v="0"/>
    <n v="0.1"/>
    <x v="10"/>
    <n v="3"/>
    <n v="5"/>
    <n v="42"/>
    <n v="1449"/>
    <n v="2173.5"/>
    <n v="724.5"/>
    <d v="1900-01-05T00:00:00"/>
    <x v="0"/>
  </r>
  <r>
    <x v="11"/>
    <x v="61"/>
    <x v="5"/>
    <d v="1966-05-10T00:00:00"/>
    <x v="2"/>
    <n v="284"/>
    <s v="Pro02"/>
    <x v="3"/>
    <x v="1"/>
    <n v="0.1"/>
    <x v="8"/>
    <n v="18"/>
    <n v="22"/>
    <n v="57"/>
    <n v="5112"/>
    <n v="5623.2"/>
    <n v="511.19999999999982"/>
    <d v="1900-01-06T00:00:00"/>
    <x v="1"/>
  </r>
  <r>
    <x v="11"/>
    <x v="62"/>
    <x v="8"/>
    <d v="1987-05-10T00:00:00"/>
    <x v="2"/>
    <n v="39"/>
    <s v="Pro10"/>
    <x v="1"/>
    <x v="0"/>
    <n v="0.1"/>
    <x v="7"/>
    <n v="18"/>
    <n v="36"/>
    <n v="36"/>
    <n v="702"/>
    <n v="1263.6000000000001"/>
    <n v="561.60000000000014"/>
    <d v="1900-01-06T00:00:00"/>
    <x v="1"/>
  </r>
  <r>
    <x v="11"/>
    <x v="63"/>
    <x v="4"/>
    <d v="1954-08-14T00:00:00"/>
    <x v="3"/>
    <n v="336"/>
    <s v="Pro07"/>
    <x v="0"/>
    <x v="0"/>
    <n v="0.1"/>
    <x v="0"/>
    <n v="19"/>
    <n v="23"/>
    <n v="69"/>
    <n v="6384"/>
    <n v="6955.2"/>
    <n v="571.19999999999982"/>
    <d v="1900-01-06T00:00:00"/>
    <x v="1"/>
  </r>
  <r>
    <x v="11"/>
    <x v="64"/>
    <x v="4"/>
    <d v="1971-04-20T00:00:00"/>
    <x v="3"/>
    <n v="377"/>
    <s v="Pro04"/>
    <x v="2"/>
    <x v="0"/>
    <n v="0.1"/>
    <x v="1"/>
    <n v="10"/>
    <n v="14"/>
    <n v="52"/>
    <n v="3770"/>
    <n v="4750.2"/>
    <n v="980.19999999999982"/>
    <d v="1900-01-06T00:00:00"/>
    <x v="1"/>
  </r>
  <r>
    <x v="11"/>
    <x v="65"/>
    <x v="3"/>
    <d v="1962-11-05T00:00:00"/>
    <x v="2"/>
    <n v="87"/>
    <s v="Pro05"/>
    <x v="2"/>
    <x v="0"/>
    <n v="0.1"/>
    <x v="5"/>
    <n v="14"/>
    <n v="28"/>
    <n v="61"/>
    <n v="1218"/>
    <n v="2192.4"/>
    <n v="974.40000000000009"/>
    <d v="1900-01-06T00:00:00"/>
    <x v="1"/>
  </r>
  <r>
    <x v="11"/>
    <x v="66"/>
    <x v="7"/>
    <d v="1992-02-06T00:00:00"/>
    <x v="2"/>
    <n v="247"/>
    <s v="Pro03"/>
    <x v="1"/>
    <x v="2"/>
    <n v="0.1"/>
    <x v="10"/>
    <n v="3"/>
    <n v="5"/>
    <n v="31"/>
    <n v="741"/>
    <n v="1111.5"/>
    <n v="370.5"/>
    <d v="1900-01-06T00:00:00"/>
    <x v="1"/>
  </r>
  <r>
    <x v="11"/>
    <x v="67"/>
    <x v="8"/>
    <d v="1949-09-25T00:00:00"/>
    <x v="2"/>
    <n v="179"/>
    <s v="Pro08"/>
    <x v="2"/>
    <x v="0"/>
    <n v="0.1"/>
    <x v="6"/>
    <n v="5"/>
    <n v="7"/>
    <n v="74"/>
    <n v="895"/>
    <n v="1127.7"/>
    <n v="232.70000000000005"/>
    <d v="1900-01-06T00:00:00"/>
    <x v="1"/>
  </r>
  <r>
    <x v="11"/>
    <x v="68"/>
    <x v="4"/>
    <d v="1979-08-19T00:00:00"/>
    <x v="0"/>
    <n v="383"/>
    <s v="Pro09"/>
    <x v="3"/>
    <x v="0"/>
    <n v="0.1"/>
    <x v="3"/>
    <n v="10"/>
    <n v="45"/>
    <n v="44"/>
    <n v="3830"/>
    <n v="15511.5"/>
    <n v="11681.5"/>
    <d v="1900-01-06T00:00:00"/>
    <x v="1"/>
  </r>
  <r>
    <x v="12"/>
    <x v="69"/>
    <x v="2"/>
    <d v="1988-08-21T00:00:00"/>
    <x v="2"/>
    <n v="32"/>
    <s v="Pro10"/>
    <x v="2"/>
    <x v="0"/>
    <n v="0.1"/>
    <x v="7"/>
    <n v="18"/>
    <n v="36"/>
    <n v="35"/>
    <n v="576"/>
    <n v="1036.8"/>
    <n v="460.79999999999995"/>
    <d v="1899-12-31T00:00:00"/>
    <x v="1"/>
  </r>
  <r>
    <x v="12"/>
    <x v="70"/>
    <x v="8"/>
    <d v="1973-05-10T00:00:00"/>
    <x v="0"/>
    <n v="40"/>
    <s v="Pro03"/>
    <x v="4"/>
    <x v="0"/>
    <n v="0.1"/>
    <x v="10"/>
    <n v="3"/>
    <n v="5"/>
    <n v="50"/>
    <n v="120"/>
    <n v="180"/>
    <n v="60"/>
    <d v="1899-12-31T00:00:00"/>
    <x v="1"/>
  </r>
  <r>
    <x v="12"/>
    <x v="71"/>
    <x v="3"/>
    <d v="2003-09-29T00:00:00"/>
    <x v="2"/>
    <n v="246"/>
    <s v="Pro07"/>
    <x v="1"/>
    <x v="0"/>
    <n v="0.1"/>
    <x v="0"/>
    <n v="19"/>
    <n v="23"/>
    <n v="20"/>
    <n v="4674"/>
    <n v="5092.2"/>
    <n v="418.19999999999982"/>
    <d v="1899-12-31T00:00:00"/>
    <x v="1"/>
  </r>
  <r>
    <x v="12"/>
    <x v="72"/>
    <x v="6"/>
    <d v="2002-03-24T00:00:00"/>
    <x v="0"/>
    <n v="266"/>
    <s v="Pro03"/>
    <x v="2"/>
    <x v="0"/>
    <n v="0.1"/>
    <x v="10"/>
    <n v="3"/>
    <n v="5"/>
    <n v="21"/>
    <n v="798"/>
    <n v="1197"/>
    <n v="399"/>
    <d v="1899-12-31T00:00:00"/>
    <x v="1"/>
  </r>
  <r>
    <x v="12"/>
    <x v="73"/>
    <x v="5"/>
    <d v="1990-01-14T00:00:00"/>
    <x v="1"/>
    <n v="32"/>
    <s v="Pro07"/>
    <x v="1"/>
    <x v="0"/>
    <n v="0.1"/>
    <x v="0"/>
    <n v="19"/>
    <n v="23"/>
    <n v="34"/>
    <n v="608"/>
    <n v="662.4"/>
    <n v="54.399999999999977"/>
    <d v="1899-12-31T00:00:00"/>
    <x v="1"/>
  </r>
  <r>
    <x v="12"/>
    <x v="74"/>
    <x v="1"/>
    <d v="1983-07-23T00:00:00"/>
    <x v="0"/>
    <n v="352"/>
    <s v="Pro08"/>
    <x v="1"/>
    <x v="0"/>
    <n v="0.1"/>
    <x v="6"/>
    <n v="5"/>
    <n v="7"/>
    <n v="40"/>
    <n v="1760"/>
    <n v="2217.6"/>
    <n v="457.59999999999991"/>
    <d v="1899-12-31T00:00:00"/>
    <x v="1"/>
  </r>
  <r>
    <x v="13"/>
    <x v="75"/>
    <x v="2"/>
    <d v="1969-09-03T00:00:00"/>
    <x v="3"/>
    <n v="121"/>
    <s v="Pro05"/>
    <x v="1"/>
    <x v="0"/>
    <n v="0.1"/>
    <x v="5"/>
    <n v="14"/>
    <n v="28"/>
    <n v="54"/>
    <n v="1694"/>
    <n v="3049.2000000000003"/>
    <n v="1355.2000000000003"/>
    <d v="1900-01-01T00:00:00"/>
    <x v="0"/>
  </r>
  <r>
    <x v="13"/>
    <x v="76"/>
    <x v="5"/>
    <d v="1960-08-11T00:00:00"/>
    <x v="3"/>
    <n v="70"/>
    <s v="Pro08"/>
    <x v="2"/>
    <x v="1"/>
    <n v="0.1"/>
    <x v="6"/>
    <n v="5"/>
    <n v="7"/>
    <n v="63"/>
    <n v="350"/>
    <n v="441"/>
    <n v="91"/>
    <d v="1900-01-01T00:00:00"/>
    <x v="0"/>
  </r>
  <r>
    <x v="13"/>
    <x v="77"/>
    <x v="7"/>
    <d v="1962-03-29T00:00:00"/>
    <x v="3"/>
    <n v="238"/>
    <s v="Pro09"/>
    <x v="0"/>
    <x v="0"/>
    <n v="0.1"/>
    <x v="3"/>
    <n v="10"/>
    <n v="45"/>
    <n v="61"/>
    <n v="2380"/>
    <n v="9639"/>
    <n v="7259"/>
    <d v="1900-01-01T00:00:00"/>
    <x v="0"/>
  </r>
  <r>
    <x v="13"/>
    <x v="78"/>
    <x v="0"/>
    <d v="1980-02-16T00:00:00"/>
    <x v="0"/>
    <n v="269"/>
    <s v="Pro03"/>
    <x v="5"/>
    <x v="0"/>
    <n v="0.1"/>
    <x v="10"/>
    <n v="3"/>
    <n v="5"/>
    <n v="43"/>
    <n v="807"/>
    <n v="1210.5"/>
    <n v="403.5"/>
    <d v="1900-01-01T00:00:00"/>
    <x v="0"/>
  </r>
  <r>
    <x v="13"/>
    <x v="79"/>
    <x v="7"/>
    <d v="1967-10-24T00:00:00"/>
    <x v="3"/>
    <n v="377"/>
    <s v="Pro06"/>
    <x v="2"/>
    <x v="0"/>
    <n v="0.1"/>
    <x v="4"/>
    <n v="7"/>
    <n v="9"/>
    <n v="56"/>
    <n v="2639"/>
    <n v="3053.7000000000003"/>
    <n v="414.70000000000027"/>
    <d v="1900-01-01T00:00:00"/>
    <x v="0"/>
  </r>
  <r>
    <x v="14"/>
    <x v="80"/>
    <x v="4"/>
    <d v="1997-06-12T00:00:00"/>
    <x v="3"/>
    <n v="200"/>
    <s v="Pro10"/>
    <x v="2"/>
    <x v="0"/>
    <n v="0.1"/>
    <x v="7"/>
    <n v="18"/>
    <n v="36"/>
    <n v="26"/>
    <n v="3600"/>
    <n v="6480"/>
    <n v="2880"/>
    <d v="1900-01-02T00:00:00"/>
    <x v="0"/>
  </r>
  <r>
    <x v="14"/>
    <x v="81"/>
    <x v="0"/>
    <d v="1996-05-04T00:00:00"/>
    <x v="3"/>
    <n v="346"/>
    <s v="Pro08"/>
    <x v="2"/>
    <x v="0"/>
    <n v="0.1"/>
    <x v="6"/>
    <n v="5"/>
    <n v="7"/>
    <n v="27"/>
    <n v="1730"/>
    <n v="2179.8000000000002"/>
    <n v="449.80000000000018"/>
    <d v="1900-01-02T00:00:00"/>
    <x v="0"/>
  </r>
  <r>
    <x v="14"/>
    <x v="82"/>
    <x v="8"/>
    <d v="1970-08-31T00:00:00"/>
    <x v="3"/>
    <n v="386"/>
    <s v="Pro01"/>
    <x v="4"/>
    <x v="0"/>
    <n v="0.1"/>
    <x v="9"/>
    <n v="10"/>
    <n v="11"/>
    <n v="53"/>
    <n v="3860"/>
    <n v="3821.4"/>
    <n v="-38.599999999999909"/>
    <d v="1900-01-02T00:00:00"/>
    <x v="0"/>
  </r>
  <r>
    <x v="14"/>
    <x v="83"/>
    <x v="9"/>
    <d v="1989-11-22T00:00:00"/>
    <x v="2"/>
    <n v="383"/>
    <s v="Pro05"/>
    <x v="2"/>
    <x v="0"/>
    <n v="0.1"/>
    <x v="5"/>
    <n v="14"/>
    <n v="28"/>
    <n v="34"/>
    <n v="5362"/>
    <n v="9651.6"/>
    <n v="4289.6000000000004"/>
    <d v="1900-01-02T00:00:00"/>
    <x v="0"/>
  </r>
  <r>
    <x v="15"/>
    <x v="84"/>
    <x v="9"/>
    <d v="1973-07-11T00:00:00"/>
    <x v="0"/>
    <n v="36"/>
    <s v="Pro05"/>
    <x v="2"/>
    <x v="0"/>
    <n v="0.1"/>
    <x v="5"/>
    <n v="14"/>
    <n v="28"/>
    <n v="50"/>
    <n v="504"/>
    <n v="907.2"/>
    <n v="403.20000000000005"/>
    <d v="1900-01-03T00:00:00"/>
    <x v="0"/>
  </r>
  <r>
    <x v="15"/>
    <x v="85"/>
    <x v="2"/>
    <d v="1997-01-21T00:00:00"/>
    <x v="0"/>
    <n v="369"/>
    <s v="Pro06"/>
    <x v="4"/>
    <x v="0"/>
    <n v="0.1"/>
    <x v="4"/>
    <n v="7"/>
    <n v="9"/>
    <n v="26"/>
    <n v="2583"/>
    <n v="2988.9"/>
    <n v="405.90000000000009"/>
    <d v="1900-01-03T00:00:00"/>
    <x v="0"/>
  </r>
  <r>
    <x v="15"/>
    <x v="86"/>
    <x v="10"/>
    <d v="1999-06-06T00:00:00"/>
    <x v="3"/>
    <n v="260"/>
    <s v="Pro10"/>
    <x v="0"/>
    <x v="2"/>
    <n v="0.1"/>
    <x v="7"/>
    <n v="18"/>
    <n v="36"/>
    <n v="24"/>
    <n v="4680"/>
    <n v="8424"/>
    <n v="3744"/>
    <d v="1900-01-03T00:00:00"/>
    <x v="0"/>
  </r>
  <r>
    <x v="15"/>
    <x v="87"/>
    <x v="3"/>
    <d v="1993-03-15T00:00:00"/>
    <x v="3"/>
    <n v="261"/>
    <s v="Pro07"/>
    <x v="1"/>
    <x v="0"/>
    <n v="0.1"/>
    <x v="0"/>
    <n v="19"/>
    <n v="23"/>
    <n v="30"/>
    <n v="4959"/>
    <n v="5402.7"/>
    <n v="443.69999999999982"/>
    <d v="1900-01-03T00:00:00"/>
    <x v="0"/>
  </r>
  <r>
    <x v="15"/>
    <x v="88"/>
    <x v="0"/>
    <d v="1977-01-06T00:00:00"/>
    <x v="0"/>
    <n v="408"/>
    <s v="Pro03"/>
    <x v="0"/>
    <x v="2"/>
    <n v="0.1"/>
    <x v="10"/>
    <n v="3"/>
    <n v="5"/>
    <n v="47"/>
    <n v="1224"/>
    <n v="1836"/>
    <n v="612"/>
    <d v="1900-01-03T00:00:00"/>
    <x v="0"/>
  </r>
  <r>
    <x v="16"/>
    <x v="89"/>
    <x v="4"/>
    <d v="1974-12-03T00:00:00"/>
    <x v="2"/>
    <n v="472"/>
    <s v="Pro07"/>
    <x v="0"/>
    <x v="0"/>
    <n v="0.1"/>
    <x v="0"/>
    <n v="19"/>
    <n v="23"/>
    <n v="49"/>
    <n v="8968"/>
    <n v="9770.4"/>
    <n v="802.39999999999964"/>
    <d v="1900-01-04T00:00:00"/>
    <x v="0"/>
  </r>
  <r>
    <x v="16"/>
    <x v="90"/>
    <x v="4"/>
    <d v="1987-12-30T00:00:00"/>
    <x v="0"/>
    <n v="326"/>
    <s v="Pro04"/>
    <x v="5"/>
    <x v="1"/>
    <n v="0.1"/>
    <x v="1"/>
    <n v="10"/>
    <n v="14"/>
    <n v="36"/>
    <n v="3260"/>
    <n v="4107.6000000000004"/>
    <n v="847.60000000000036"/>
    <d v="1900-01-04T00:00:00"/>
    <x v="0"/>
  </r>
  <r>
    <x v="16"/>
    <x v="91"/>
    <x v="6"/>
    <d v="2006-01-11T00:00:00"/>
    <x v="1"/>
    <n v="266"/>
    <s v="Pro02"/>
    <x v="1"/>
    <x v="0"/>
    <n v="0.1"/>
    <x v="8"/>
    <n v="18"/>
    <n v="22"/>
    <n v="18"/>
    <n v="4788"/>
    <n v="5266.8"/>
    <n v="478.80000000000018"/>
    <d v="1900-01-04T00:00:00"/>
    <x v="0"/>
  </r>
  <r>
    <x v="16"/>
    <x v="92"/>
    <x v="7"/>
    <d v="1976-08-26T00:00:00"/>
    <x v="2"/>
    <n v="324"/>
    <s v="Pro05"/>
    <x v="2"/>
    <x v="0"/>
    <n v="0.1"/>
    <x v="5"/>
    <n v="14"/>
    <n v="28"/>
    <n v="47"/>
    <n v="4536"/>
    <n v="8164.8"/>
    <n v="3628.8"/>
    <d v="1900-01-04T00:00:00"/>
    <x v="0"/>
  </r>
  <r>
    <x v="16"/>
    <x v="93"/>
    <x v="6"/>
    <d v="2005-06-26T00:00:00"/>
    <x v="1"/>
    <n v="18"/>
    <s v="Pro02"/>
    <x v="3"/>
    <x v="0"/>
    <n v="0.1"/>
    <x v="8"/>
    <n v="18"/>
    <n v="22"/>
    <n v="18"/>
    <n v="324"/>
    <n v="356.40000000000003"/>
    <n v="32.400000000000034"/>
    <d v="1900-01-04T00:00:00"/>
    <x v="0"/>
  </r>
  <r>
    <x v="16"/>
    <x v="94"/>
    <x v="4"/>
    <d v="1989-03-19T00:00:00"/>
    <x v="3"/>
    <n v="461"/>
    <s v="Pro01"/>
    <x v="1"/>
    <x v="2"/>
    <n v="0.1"/>
    <x v="9"/>
    <n v="10"/>
    <n v="11"/>
    <n v="34"/>
    <n v="4610"/>
    <n v="4563.9000000000005"/>
    <n v="-46.099999999999454"/>
    <d v="1900-01-04T00:00:00"/>
    <x v="0"/>
  </r>
  <r>
    <x v="16"/>
    <x v="95"/>
    <x v="7"/>
    <d v="1996-04-14T00:00:00"/>
    <x v="2"/>
    <n v="464"/>
    <s v="Pro06"/>
    <x v="1"/>
    <x v="0"/>
    <n v="0.1"/>
    <x v="4"/>
    <n v="7"/>
    <n v="9"/>
    <n v="27"/>
    <n v="3248"/>
    <n v="3758.4"/>
    <n v="510.40000000000009"/>
    <d v="1900-01-04T00:00:00"/>
    <x v="0"/>
  </r>
  <r>
    <x v="16"/>
    <x v="96"/>
    <x v="8"/>
    <d v="1943-08-24T00:00:00"/>
    <x v="0"/>
    <n v="199"/>
    <s v="Pro03"/>
    <x v="0"/>
    <x v="0"/>
    <n v="0.1"/>
    <x v="10"/>
    <n v="3"/>
    <n v="5"/>
    <n v="80"/>
    <n v="597"/>
    <n v="895.5"/>
    <n v="298.5"/>
    <d v="1900-01-04T00:00:00"/>
    <x v="0"/>
  </r>
  <r>
    <x v="17"/>
    <x v="97"/>
    <x v="0"/>
    <d v="1952-12-31T00:00:00"/>
    <x v="0"/>
    <n v="490"/>
    <s v="Pro01"/>
    <x v="3"/>
    <x v="0"/>
    <n v="0.1"/>
    <x v="9"/>
    <n v="10"/>
    <n v="11"/>
    <n v="71"/>
    <n v="4900"/>
    <n v="4851"/>
    <n v="-49"/>
    <d v="1900-01-05T00:00:00"/>
    <x v="0"/>
  </r>
  <r>
    <x v="17"/>
    <x v="98"/>
    <x v="0"/>
    <d v="2003-07-08T00:00:00"/>
    <x v="2"/>
    <n v="473"/>
    <s v="Pro09"/>
    <x v="2"/>
    <x v="0"/>
    <n v="0.1"/>
    <x v="3"/>
    <n v="10"/>
    <n v="45"/>
    <n v="20"/>
    <n v="4730"/>
    <n v="19156.5"/>
    <n v="14426.5"/>
    <d v="1900-01-05T00:00:00"/>
    <x v="0"/>
  </r>
  <r>
    <x v="17"/>
    <x v="99"/>
    <x v="7"/>
    <d v="1964-09-02T00:00:00"/>
    <x v="2"/>
    <n v="370"/>
    <s v="Pro01"/>
    <x v="1"/>
    <x v="0"/>
    <n v="0.1"/>
    <x v="9"/>
    <n v="10"/>
    <n v="11"/>
    <n v="59"/>
    <n v="3700"/>
    <n v="3663"/>
    <n v="-37"/>
    <d v="1900-01-05T00:00:00"/>
    <x v="0"/>
  </r>
  <r>
    <x v="17"/>
    <x v="100"/>
    <x v="1"/>
    <d v="1996-02-17T00:00:00"/>
    <x v="1"/>
    <n v="32"/>
    <s v="Pro05"/>
    <x v="1"/>
    <x v="0"/>
    <n v="0.1"/>
    <x v="5"/>
    <n v="14"/>
    <n v="28"/>
    <n v="27"/>
    <n v="448"/>
    <n v="806.4"/>
    <n v="358.4"/>
    <d v="1900-01-05T00:00:00"/>
    <x v="0"/>
  </r>
  <r>
    <x v="18"/>
    <x v="101"/>
    <x v="0"/>
    <d v="1999-11-30T00:00:00"/>
    <x v="1"/>
    <n v="100"/>
    <s v="Pro10"/>
    <x v="0"/>
    <x v="0"/>
    <n v="0.1"/>
    <x v="7"/>
    <n v="18"/>
    <n v="36"/>
    <n v="24"/>
    <n v="1800"/>
    <n v="3240"/>
    <n v="1440"/>
    <d v="1900-01-06T00:00:00"/>
    <x v="1"/>
  </r>
  <r>
    <x v="18"/>
    <x v="102"/>
    <x v="0"/>
    <d v="1978-02-04T00:00:00"/>
    <x v="1"/>
    <n v="434"/>
    <s v="Pro01"/>
    <x v="1"/>
    <x v="0"/>
    <n v="0.1"/>
    <x v="9"/>
    <n v="10"/>
    <n v="11"/>
    <n v="45"/>
    <n v="4340"/>
    <n v="4296.6000000000004"/>
    <n v="-43.399999999999636"/>
    <d v="1900-01-06T00:00:00"/>
    <x v="1"/>
  </r>
  <r>
    <x v="18"/>
    <x v="103"/>
    <x v="7"/>
    <d v="1945-04-06T00:00:00"/>
    <x v="0"/>
    <n v="45"/>
    <s v="Pro06"/>
    <x v="1"/>
    <x v="0"/>
    <n v="0.1"/>
    <x v="4"/>
    <n v="7"/>
    <n v="9"/>
    <n v="78"/>
    <n v="315"/>
    <n v="364.5"/>
    <n v="49.5"/>
    <d v="1900-01-06T00:00:00"/>
    <x v="1"/>
  </r>
  <r>
    <x v="18"/>
    <x v="104"/>
    <x v="0"/>
    <d v="1974-05-26T00:00:00"/>
    <x v="1"/>
    <n v="368"/>
    <s v="Pro03"/>
    <x v="2"/>
    <x v="0"/>
    <n v="0.1"/>
    <x v="10"/>
    <n v="3"/>
    <n v="5"/>
    <n v="49"/>
    <n v="1104"/>
    <n v="1656"/>
    <n v="552"/>
    <d v="1900-01-06T00:00:00"/>
    <x v="1"/>
  </r>
  <r>
    <x v="18"/>
    <x v="105"/>
    <x v="4"/>
    <d v="1973-10-21T00:00:00"/>
    <x v="1"/>
    <n v="421"/>
    <s v="Pro10"/>
    <x v="0"/>
    <x v="0"/>
    <n v="0.1"/>
    <x v="7"/>
    <n v="18"/>
    <n v="36"/>
    <n v="50"/>
    <n v="7578"/>
    <n v="13640.4"/>
    <n v="6062.4"/>
    <d v="1900-01-06T00:00:00"/>
    <x v="1"/>
  </r>
  <r>
    <x v="18"/>
    <x v="106"/>
    <x v="10"/>
    <d v="2000-04-17T00:00:00"/>
    <x v="3"/>
    <n v="297"/>
    <s v="Pro01"/>
    <x v="3"/>
    <x v="0"/>
    <n v="0.1"/>
    <x v="9"/>
    <n v="10"/>
    <n v="11"/>
    <n v="23"/>
    <n v="2970"/>
    <n v="2940.3"/>
    <n v="-29.699999999999818"/>
    <d v="1900-01-06T00:00:00"/>
    <x v="1"/>
  </r>
  <r>
    <x v="19"/>
    <x v="107"/>
    <x v="0"/>
    <d v="1967-03-07T00:00:00"/>
    <x v="3"/>
    <n v="28"/>
    <s v="Pro09"/>
    <x v="4"/>
    <x v="0"/>
    <n v="0.1"/>
    <x v="3"/>
    <n v="10"/>
    <n v="45"/>
    <n v="56"/>
    <n v="280"/>
    <n v="1134"/>
    <n v="854"/>
    <d v="1899-12-31T00:00:00"/>
    <x v="1"/>
  </r>
  <r>
    <x v="19"/>
    <x v="108"/>
    <x v="5"/>
    <d v="1982-07-01T00:00:00"/>
    <x v="3"/>
    <n v="444"/>
    <s v="Pro04"/>
    <x v="0"/>
    <x v="1"/>
    <n v="0.1"/>
    <x v="1"/>
    <n v="10"/>
    <n v="14"/>
    <n v="41"/>
    <n v="4440"/>
    <n v="5594.4000000000005"/>
    <n v="1154.4000000000005"/>
    <d v="1899-12-31T00:00:00"/>
    <x v="1"/>
  </r>
  <r>
    <x v="19"/>
    <x v="109"/>
    <x v="0"/>
    <d v="1988-12-19T00:00:00"/>
    <x v="2"/>
    <n v="245"/>
    <s v="Unknown"/>
    <x v="1"/>
    <x v="0"/>
    <n v="0.1"/>
    <x v="2"/>
    <n v="0"/>
    <n v="0"/>
    <n v="35"/>
    <n v="0"/>
    <n v="0"/>
    <n v="0"/>
    <d v="1899-12-31T00:00:00"/>
    <x v="1"/>
  </r>
  <r>
    <x v="19"/>
    <x v="110"/>
    <x v="7"/>
    <d v="1994-10-16T00:00:00"/>
    <x v="0"/>
    <n v="352"/>
    <s v="Pro09"/>
    <x v="4"/>
    <x v="0"/>
    <n v="0.1"/>
    <x v="3"/>
    <n v="10"/>
    <n v="45"/>
    <n v="29"/>
    <n v="3520"/>
    <n v="14256"/>
    <n v="10736"/>
    <d v="1899-12-31T00:00:00"/>
    <x v="1"/>
  </r>
  <r>
    <x v="20"/>
    <x v="111"/>
    <x v="7"/>
    <d v="1972-01-19T00:00:00"/>
    <x v="3"/>
    <n v="381"/>
    <s v="Pro09"/>
    <x v="3"/>
    <x v="1"/>
    <n v="0.1"/>
    <x v="3"/>
    <n v="10"/>
    <n v="45"/>
    <n v="52"/>
    <n v="3810"/>
    <n v="15430.5"/>
    <n v="11620.5"/>
    <d v="1900-01-01T00:00:00"/>
    <x v="0"/>
  </r>
  <r>
    <x v="20"/>
    <x v="112"/>
    <x v="10"/>
    <d v="1983-12-11T00:00:00"/>
    <x v="2"/>
    <n v="286"/>
    <s v="Pro07"/>
    <x v="2"/>
    <x v="0"/>
    <n v="0.1"/>
    <x v="0"/>
    <n v="19"/>
    <n v="23"/>
    <n v="40"/>
    <n v="5434"/>
    <n v="5920.2"/>
    <n v="486.19999999999982"/>
    <d v="1900-01-01T00:00:00"/>
    <x v="0"/>
  </r>
  <r>
    <x v="20"/>
    <x v="113"/>
    <x v="6"/>
    <d v="1948-02-15T00:00:00"/>
    <x v="0"/>
    <n v="172"/>
    <s v="Pro08"/>
    <x v="3"/>
    <x v="0"/>
    <n v="0.1"/>
    <x v="6"/>
    <n v="5"/>
    <n v="7"/>
    <n v="75"/>
    <n v="860"/>
    <n v="1083.6000000000001"/>
    <n v="223.60000000000014"/>
    <d v="1900-01-01T00:00:00"/>
    <x v="0"/>
  </r>
  <r>
    <x v="20"/>
    <x v="114"/>
    <x v="3"/>
    <d v="1950-04-20T00:00:00"/>
    <x v="3"/>
    <n v="477"/>
    <s v="Pro06"/>
    <x v="0"/>
    <x v="0"/>
    <n v="0.1"/>
    <x v="4"/>
    <n v="7"/>
    <n v="9"/>
    <n v="73"/>
    <n v="3339"/>
    <n v="3863.7000000000003"/>
    <n v="524.70000000000027"/>
    <d v="1900-01-01T00:00:00"/>
    <x v="0"/>
  </r>
  <r>
    <x v="21"/>
    <x v="115"/>
    <x v="8"/>
    <d v="1955-05-14T00:00:00"/>
    <x v="0"/>
    <n v="243"/>
    <s v="Pro07"/>
    <x v="1"/>
    <x v="0"/>
    <n v="0.1"/>
    <x v="0"/>
    <n v="19"/>
    <n v="23"/>
    <n v="68"/>
    <n v="4617"/>
    <n v="5030.1000000000004"/>
    <n v="413.10000000000036"/>
    <d v="1900-01-02T00:00:00"/>
    <x v="0"/>
  </r>
  <r>
    <x v="21"/>
    <x v="116"/>
    <x v="8"/>
    <d v="1991-07-20T00:00:00"/>
    <x v="0"/>
    <n v="35"/>
    <s v="Pro10"/>
    <x v="2"/>
    <x v="0"/>
    <n v="0.1"/>
    <x v="7"/>
    <n v="18"/>
    <n v="36"/>
    <n v="32"/>
    <n v="630"/>
    <n v="1134"/>
    <n v="504"/>
    <d v="1900-01-02T00:00:00"/>
    <x v="0"/>
  </r>
  <r>
    <x v="21"/>
    <x v="117"/>
    <x v="10"/>
    <d v="1946-04-02T00:00:00"/>
    <x v="2"/>
    <n v="255"/>
    <s v="Pro08"/>
    <x v="2"/>
    <x v="0"/>
    <n v="0.1"/>
    <x v="6"/>
    <n v="5"/>
    <n v="7"/>
    <n v="77"/>
    <n v="1275"/>
    <n v="1606.5"/>
    <n v="331.5"/>
    <d v="1900-01-02T00:00:00"/>
    <x v="0"/>
  </r>
  <r>
    <x v="21"/>
    <x v="118"/>
    <x v="1"/>
    <d v="1950-05-30T00:00:00"/>
    <x v="2"/>
    <n v="257"/>
    <s v="Pro01"/>
    <x v="2"/>
    <x v="0"/>
    <n v="0.1"/>
    <x v="9"/>
    <n v="10"/>
    <n v="11"/>
    <n v="73"/>
    <n v="2570"/>
    <n v="2544.3000000000002"/>
    <n v="-25.699999999999818"/>
    <d v="1900-01-02T00:00:00"/>
    <x v="0"/>
  </r>
  <r>
    <x v="22"/>
    <x v="94"/>
    <x v="4"/>
    <d v="1998-05-23T00:00:00"/>
    <x v="1"/>
    <n v="337"/>
    <s v="Pro04"/>
    <x v="2"/>
    <x v="2"/>
    <n v="0.1"/>
    <x v="1"/>
    <n v="10"/>
    <n v="14"/>
    <n v="25"/>
    <n v="3370"/>
    <n v="4246.2"/>
    <n v="876.19999999999982"/>
    <d v="1900-01-03T00:00:00"/>
    <x v="0"/>
  </r>
  <r>
    <x v="22"/>
    <x v="119"/>
    <x v="1"/>
    <d v="1999-01-30T00:00:00"/>
    <x v="3"/>
    <n v="150"/>
    <s v="Pro03"/>
    <x v="2"/>
    <x v="1"/>
    <n v="0.1"/>
    <x v="10"/>
    <n v="3"/>
    <n v="5"/>
    <n v="24"/>
    <n v="450"/>
    <n v="675"/>
    <n v="225"/>
    <d v="1900-01-03T00:00:00"/>
    <x v="0"/>
  </r>
  <r>
    <x v="22"/>
    <x v="120"/>
    <x v="8"/>
    <d v="1944-03-02T00:00:00"/>
    <x v="3"/>
    <n v="303"/>
    <s v="Pro06"/>
    <x v="3"/>
    <x v="0"/>
    <n v="0.1"/>
    <x v="4"/>
    <n v="7"/>
    <n v="9"/>
    <n v="79"/>
    <n v="2121"/>
    <n v="2454.3000000000002"/>
    <n v="333.30000000000018"/>
    <d v="1900-01-03T00:00:00"/>
    <x v="0"/>
  </r>
  <r>
    <x v="22"/>
    <x v="121"/>
    <x v="10"/>
    <d v="1960-01-30T00:00:00"/>
    <x v="3"/>
    <n v="227"/>
    <s v="Pro06"/>
    <x v="3"/>
    <x v="0"/>
    <n v="0.1"/>
    <x v="4"/>
    <n v="7"/>
    <n v="9"/>
    <n v="63"/>
    <n v="1589"/>
    <n v="1838.7"/>
    <n v="249.70000000000005"/>
    <d v="1900-01-03T00:00:00"/>
    <x v="0"/>
  </r>
  <r>
    <x v="22"/>
    <x v="122"/>
    <x v="6"/>
    <d v="2002-07-03T00:00:00"/>
    <x v="2"/>
    <n v="83"/>
    <s v="Pro06"/>
    <x v="1"/>
    <x v="0"/>
    <n v="0.1"/>
    <x v="4"/>
    <n v="7"/>
    <n v="9"/>
    <n v="21"/>
    <n v="581"/>
    <n v="672.30000000000007"/>
    <n v="91.300000000000068"/>
    <d v="1900-01-03T00:00:00"/>
    <x v="0"/>
  </r>
  <r>
    <x v="23"/>
    <x v="123"/>
    <x v="10"/>
    <d v="1958-04-21T00:00:00"/>
    <x v="0"/>
    <n v="447"/>
    <s v="Pro05"/>
    <x v="1"/>
    <x v="0"/>
    <n v="0.1"/>
    <x v="5"/>
    <n v="14"/>
    <n v="28"/>
    <n v="65"/>
    <n v="6258"/>
    <n v="11264.4"/>
    <n v="5006.3999999999996"/>
    <d v="1900-01-04T00:00:00"/>
    <x v="0"/>
  </r>
  <r>
    <x v="23"/>
    <x v="124"/>
    <x v="9"/>
    <d v="1992-12-22T00:00:00"/>
    <x v="1"/>
    <n v="230"/>
    <s v="Pro05"/>
    <x v="2"/>
    <x v="0"/>
    <n v="0.1"/>
    <x v="5"/>
    <n v="14"/>
    <n v="28"/>
    <n v="31"/>
    <n v="3220"/>
    <n v="5796"/>
    <n v="2576"/>
    <d v="1900-01-04T00:00:00"/>
    <x v="0"/>
  </r>
  <r>
    <x v="23"/>
    <x v="125"/>
    <x v="8"/>
    <d v="1950-03-31T00:00:00"/>
    <x v="1"/>
    <n v="195"/>
    <s v="Pro10"/>
    <x v="3"/>
    <x v="0"/>
    <n v="0.1"/>
    <x v="7"/>
    <n v="18"/>
    <n v="36"/>
    <n v="73"/>
    <n v="3510"/>
    <n v="6318"/>
    <n v="2808"/>
    <d v="1900-01-04T00:00:00"/>
    <x v="0"/>
  </r>
  <r>
    <x v="23"/>
    <x v="126"/>
    <x v="4"/>
    <d v="1988-06-26T00:00:00"/>
    <x v="3"/>
    <n v="191"/>
    <s v="Pro08"/>
    <x v="2"/>
    <x v="0"/>
    <n v="0.1"/>
    <x v="6"/>
    <n v="5"/>
    <n v="7"/>
    <n v="35"/>
    <n v="955"/>
    <n v="1203.3"/>
    <n v="248.29999999999995"/>
    <d v="1900-01-04T00:00:00"/>
    <x v="0"/>
  </r>
  <r>
    <x v="23"/>
    <x v="127"/>
    <x v="9"/>
    <d v="1955-07-10T00:00:00"/>
    <x v="3"/>
    <n v="216"/>
    <s v="Pro07"/>
    <x v="1"/>
    <x v="0"/>
    <n v="0.1"/>
    <x v="0"/>
    <n v="19"/>
    <n v="23"/>
    <n v="68"/>
    <n v="4104"/>
    <n v="4471.2"/>
    <n v="367.19999999999982"/>
    <d v="1900-01-04T00:00:00"/>
    <x v="0"/>
  </r>
  <r>
    <x v="23"/>
    <x v="128"/>
    <x v="8"/>
    <d v="1971-01-10T00:00:00"/>
    <x v="3"/>
    <n v="302"/>
    <s v="Pro10"/>
    <x v="2"/>
    <x v="0"/>
    <n v="0.1"/>
    <x v="7"/>
    <n v="18"/>
    <n v="36"/>
    <n v="53"/>
    <n v="5436"/>
    <n v="9784.8000000000011"/>
    <n v="4348.8000000000011"/>
    <d v="1900-01-04T00:00:00"/>
    <x v="0"/>
  </r>
  <r>
    <x v="23"/>
    <x v="129"/>
    <x v="7"/>
    <d v="1945-09-15T00:00:00"/>
    <x v="0"/>
    <n v="49"/>
    <s v="Pro04"/>
    <x v="1"/>
    <x v="0"/>
    <n v="0.1"/>
    <x v="1"/>
    <n v="10"/>
    <n v="14"/>
    <n v="78"/>
    <n v="490"/>
    <n v="617.4"/>
    <n v="127.39999999999998"/>
    <d v="1900-01-04T00:00:00"/>
    <x v="0"/>
  </r>
  <r>
    <x v="23"/>
    <x v="130"/>
    <x v="10"/>
    <d v="1963-03-21T00:00:00"/>
    <x v="3"/>
    <n v="138"/>
    <s v="Pro07"/>
    <x v="1"/>
    <x v="0"/>
    <n v="0.1"/>
    <x v="0"/>
    <n v="19"/>
    <n v="23"/>
    <n v="60"/>
    <n v="2622"/>
    <n v="2856.6"/>
    <n v="234.59999999999991"/>
    <d v="1900-01-04T00:00:00"/>
    <x v="0"/>
  </r>
  <r>
    <x v="23"/>
    <x v="131"/>
    <x v="3"/>
    <d v="1957-06-28T00:00:00"/>
    <x v="2"/>
    <n v="119"/>
    <s v="Pro08"/>
    <x v="1"/>
    <x v="0"/>
    <n v="0.1"/>
    <x v="6"/>
    <n v="5"/>
    <n v="7"/>
    <n v="66"/>
    <n v="595"/>
    <n v="749.7"/>
    <n v="154.70000000000005"/>
    <d v="1900-01-04T00:00:00"/>
    <x v="0"/>
  </r>
  <r>
    <x v="23"/>
    <x v="132"/>
    <x v="4"/>
    <d v="2001-04-01T00:00:00"/>
    <x v="1"/>
    <n v="57"/>
    <s v="Pro07"/>
    <x v="0"/>
    <x v="0"/>
    <n v="0.1"/>
    <x v="0"/>
    <n v="19"/>
    <n v="23"/>
    <n v="22"/>
    <n v="1083"/>
    <n v="1179.9000000000001"/>
    <n v="96.900000000000091"/>
    <d v="1900-01-04T00:00:00"/>
    <x v="0"/>
  </r>
  <r>
    <x v="23"/>
    <x v="133"/>
    <x v="6"/>
    <d v="1978-03-08T00:00:00"/>
    <x v="2"/>
    <n v="294"/>
    <s v="Pro10"/>
    <x v="2"/>
    <x v="0"/>
    <n v="0.1"/>
    <x v="7"/>
    <n v="18"/>
    <n v="36"/>
    <n v="45"/>
    <n v="5292"/>
    <n v="9525.6"/>
    <n v="4233.6000000000004"/>
    <d v="1900-01-04T00:00:00"/>
    <x v="0"/>
  </r>
  <r>
    <x v="24"/>
    <x v="134"/>
    <x v="1"/>
    <d v="1992-10-19T00:00:00"/>
    <x v="1"/>
    <n v="271"/>
    <s v="Pro08"/>
    <x v="1"/>
    <x v="0"/>
    <n v="0.1"/>
    <x v="6"/>
    <n v="5"/>
    <n v="7"/>
    <n v="31"/>
    <n v="1355"/>
    <n v="1707.3"/>
    <n v="352.29999999999995"/>
    <d v="1900-01-05T00:00:00"/>
    <x v="0"/>
  </r>
  <r>
    <x v="24"/>
    <x v="135"/>
    <x v="9"/>
    <d v="1989-07-01T00:00:00"/>
    <x v="2"/>
    <n v="274"/>
    <s v="Pro02"/>
    <x v="4"/>
    <x v="2"/>
    <n v="0.1"/>
    <x v="8"/>
    <n v="18"/>
    <n v="22"/>
    <n v="34"/>
    <n v="4932"/>
    <n v="5425.2"/>
    <n v="493.19999999999982"/>
    <d v="1900-01-05T00:00:00"/>
    <x v="0"/>
  </r>
  <r>
    <x v="24"/>
    <x v="2"/>
    <x v="2"/>
    <d v="1973-10-27T00:00:00"/>
    <x v="1"/>
    <n v="410"/>
    <s v="Pro10"/>
    <x v="1"/>
    <x v="0"/>
    <n v="0.1"/>
    <x v="7"/>
    <n v="18"/>
    <n v="36"/>
    <n v="50"/>
    <n v="7380"/>
    <n v="13284"/>
    <n v="5904"/>
    <d v="1900-01-05T00:00:00"/>
    <x v="0"/>
  </r>
  <r>
    <x v="24"/>
    <x v="136"/>
    <x v="5"/>
    <d v="1947-11-28T00:00:00"/>
    <x v="3"/>
    <n v="70"/>
    <s v="Pro07"/>
    <x v="2"/>
    <x v="0"/>
    <n v="0.1"/>
    <x v="0"/>
    <n v="19"/>
    <n v="23"/>
    <n v="76"/>
    <n v="1330"/>
    <n v="1449"/>
    <n v="119"/>
    <d v="1900-01-05T00:00:00"/>
    <x v="0"/>
  </r>
  <r>
    <x v="25"/>
    <x v="137"/>
    <x v="2"/>
    <d v="1958-02-10T00:00:00"/>
    <x v="0"/>
    <n v="221"/>
    <s v="Pro10"/>
    <x v="5"/>
    <x v="0"/>
    <n v="0.1"/>
    <x v="7"/>
    <n v="18"/>
    <n v="36"/>
    <n v="65"/>
    <n v="3978"/>
    <n v="7160.4000000000005"/>
    <n v="3182.4000000000005"/>
    <d v="1900-01-06T00:00:00"/>
    <x v="1"/>
  </r>
  <r>
    <x v="25"/>
    <x v="138"/>
    <x v="5"/>
    <d v="1976-05-07T00:00:00"/>
    <x v="0"/>
    <n v="67"/>
    <s v="Pro06"/>
    <x v="1"/>
    <x v="0"/>
    <n v="0.1"/>
    <x v="4"/>
    <n v="7"/>
    <n v="9"/>
    <n v="47"/>
    <n v="469"/>
    <n v="542.70000000000005"/>
    <n v="73.700000000000045"/>
    <d v="1900-01-06T00:00:00"/>
    <x v="1"/>
  </r>
  <r>
    <x v="25"/>
    <x v="139"/>
    <x v="7"/>
    <d v="1984-08-21T00:00:00"/>
    <x v="0"/>
    <n v="455"/>
    <s v="Pro09"/>
    <x v="1"/>
    <x v="0"/>
    <n v="0.1"/>
    <x v="3"/>
    <n v="10"/>
    <n v="45"/>
    <n v="39"/>
    <n v="4550"/>
    <n v="18427.5"/>
    <n v="13877.5"/>
    <d v="1900-01-06T00:00:00"/>
    <x v="1"/>
  </r>
  <r>
    <x v="26"/>
    <x v="140"/>
    <x v="10"/>
    <d v="1996-12-13T00:00:00"/>
    <x v="0"/>
    <n v="481"/>
    <s v="Pro05"/>
    <x v="1"/>
    <x v="0"/>
    <n v="0.1"/>
    <x v="5"/>
    <n v="14"/>
    <n v="28"/>
    <n v="27"/>
    <n v="6734"/>
    <n v="12121.2"/>
    <n v="5387.2000000000007"/>
    <d v="1899-12-31T00:00:00"/>
    <x v="1"/>
  </r>
  <r>
    <x v="26"/>
    <x v="141"/>
    <x v="5"/>
    <d v="1949-10-21T00:00:00"/>
    <x v="1"/>
    <n v="376"/>
    <s v="Pro09"/>
    <x v="3"/>
    <x v="1"/>
    <n v="0.1"/>
    <x v="3"/>
    <n v="10"/>
    <n v="45"/>
    <n v="74"/>
    <n v="3760"/>
    <n v="15228"/>
    <n v="11468"/>
    <d v="1899-12-31T00:00:00"/>
    <x v="1"/>
  </r>
  <r>
    <x v="26"/>
    <x v="142"/>
    <x v="10"/>
    <d v="1963-07-02T00:00:00"/>
    <x v="3"/>
    <n v="225"/>
    <s v="Pro02"/>
    <x v="1"/>
    <x v="2"/>
    <n v="0.1"/>
    <x v="8"/>
    <n v="18"/>
    <n v="22"/>
    <n v="60"/>
    <n v="4050"/>
    <n v="4455"/>
    <n v="405"/>
    <d v="1899-12-31T00:00:00"/>
    <x v="1"/>
  </r>
  <r>
    <x v="26"/>
    <x v="143"/>
    <x v="1"/>
    <d v="1986-01-29T00:00:00"/>
    <x v="1"/>
    <n v="251"/>
    <s v="Pro04"/>
    <x v="1"/>
    <x v="0"/>
    <n v="0.1"/>
    <x v="1"/>
    <n v="10"/>
    <n v="14"/>
    <n v="37"/>
    <n v="2510"/>
    <n v="3162.6"/>
    <n v="652.59999999999991"/>
    <d v="1899-12-31T00:00:00"/>
    <x v="1"/>
  </r>
  <r>
    <x v="26"/>
    <x v="144"/>
    <x v="9"/>
    <d v="1979-01-17T00:00:00"/>
    <x v="2"/>
    <n v="131"/>
    <s v="Pro09"/>
    <x v="2"/>
    <x v="0"/>
    <n v="0.1"/>
    <x v="3"/>
    <n v="10"/>
    <n v="45"/>
    <n v="45"/>
    <n v="1310"/>
    <n v="5305.5"/>
    <n v="3995.5"/>
    <d v="1899-12-31T00:00:00"/>
    <x v="1"/>
  </r>
  <r>
    <x v="26"/>
    <x v="145"/>
    <x v="3"/>
    <d v="1959-07-18T00:00:00"/>
    <x v="1"/>
    <n v="361"/>
    <s v="Pro08"/>
    <x v="1"/>
    <x v="0"/>
    <n v="0.1"/>
    <x v="6"/>
    <n v="5"/>
    <n v="7"/>
    <n v="64"/>
    <n v="1805"/>
    <n v="2274.3000000000002"/>
    <n v="469.30000000000018"/>
    <d v="1899-12-31T00:00:00"/>
    <x v="1"/>
  </r>
  <r>
    <x v="26"/>
    <x v="146"/>
    <x v="5"/>
    <d v="1949-04-30T00:00:00"/>
    <x v="0"/>
    <n v="188"/>
    <s v="Pro08"/>
    <x v="3"/>
    <x v="0"/>
    <n v="0.1"/>
    <x v="6"/>
    <n v="5"/>
    <n v="7"/>
    <n v="74"/>
    <n v="940"/>
    <n v="1184.4000000000001"/>
    <n v="244.40000000000009"/>
    <d v="1899-12-31T00:00:00"/>
    <x v="1"/>
  </r>
  <r>
    <x v="27"/>
    <x v="147"/>
    <x v="5"/>
    <d v="2000-06-09T00:00:00"/>
    <x v="1"/>
    <n v="440"/>
    <s v="Pro04"/>
    <x v="0"/>
    <x v="0"/>
    <n v="0.1"/>
    <x v="1"/>
    <n v="10"/>
    <n v="14"/>
    <n v="23"/>
    <n v="4400"/>
    <n v="5544"/>
    <n v="1144"/>
    <d v="1900-01-01T00:00:00"/>
    <x v="0"/>
  </r>
  <r>
    <x v="27"/>
    <x v="148"/>
    <x v="10"/>
    <d v="1965-03-06T00:00:00"/>
    <x v="3"/>
    <n v="18"/>
    <s v="Pro07"/>
    <x v="3"/>
    <x v="0"/>
    <n v="0.1"/>
    <x v="0"/>
    <n v="19"/>
    <n v="23"/>
    <n v="58"/>
    <n v="342"/>
    <n v="372.6"/>
    <n v="30.600000000000023"/>
    <d v="1900-01-01T00:00:00"/>
    <x v="0"/>
  </r>
  <r>
    <x v="27"/>
    <x v="149"/>
    <x v="2"/>
    <d v="1958-02-16T00:00:00"/>
    <x v="1"/>
    <n v="390"/>
    <s v="Pro04"/>
    <x v="5"/>
    <x v="2"/>
    <n v="0.1"/>
    <x v="1"/>
    <n v="10"/>
    <n v="14"/>
    <n v="65"/>
    <n v="3900"/>
    <n v="4914"/>
    <n v="1014"/>
    <d v="1900-01-01T00:00:00"/>
    <x v="0"/>
  </r>
  <r>
    <x v="27"/>
    <x v="150"/>
    <x v="8"/>
    <d v="1999-07-18T00:00:00"/>
    <x v="0"/>
    <n v="447"/>
    <s v="Pro01"/>
    <x v="1"/>
    <x v="0"/>
    <n v="0.1"/>
    <x v="9"/>
    <n v="10"/>
    <n v="11"/>
    <n v="24"/>
    <n v="4470"/>
    <n v="4425.3"/>
    <n v="-44.699999999999818"/>
    <d v="1900-01-01T00:00:00"/>
    <x v="0"/>
  </r>
  <r>
    <x v="27"/>
    <x v="151"/>
    <x v="10"/>
    <d v="1965-06-22T00:00:00"/>
    <x v="1"/>
    <n v="243"/>
    <s v="Pro05"/>
    <x v="3"/>
    <x v="0"/>
    <n v="0.1"/>
    <x v="5"/>
    <n v="14"/>
    <n v="28"/>
    <n v="58"/>
    <n v="3402"/>
    <n v="6123.6"/>
    <n v="2721.6000000000004"/>
    <d v="1900-01-01T00:00:00"/>
    <x v="0"/>
  </r>
  <r>
    <x v="27"/>
    <x v="152"/>
    <x v="1"/>
    <d v="1983-01-11T00:00:00"/>
    <x v="3"/>
    <n v="456"/>
    <s v="Pro01"/>
    <x v="1"/>
    <x v="0"/>
    <n v="0.1"/>
    <x v="9"/>
    <n v="10"/>
    <n v="11"/>
    <n v="41"/>
    <n v="4560"/>
    <n v="4514.4000000000005"/>
    <n v="-45.599999999999454"/>
    <d v="1900-01-01T00:00:00"/>
    <x v="0"/>
  </r>
  <r>
    <x v="27"/>
    <x v="153"/>
    <x v="1"/>
    <d v="1988-02-25T00:00:00"/>
    <x v="0"/>
    <n v="383"/>
    <s v="Pro07"/>
    <x v="1"/>
    <x v="0"/>
    <n v="0.1"/>
    <x v="0"/>
    <n v="19"/>
    <n v="23"/>
    <n v="35"/>
    <n v="7277"/>
    <n v="7928.1"/>
    <n v="651.10000000000036"/>
    <d v="1900-01-01T00:00:00"/>
    <x v="0"/>
  </r>
  <r>
    <x v="27"/>
    <x v="154"/>
    <x v="5"/>
    <d v="1962-07-27T00:00:00"/>
    <x v="0"/>
    <n v="94"/>
    <s v="Pro09"/>
    <x v="1"/>
    <x v="0"/>
    <n v="0.1"/>
    <x v="3"/>
    <n v="10"/>
    <n v="45"/>
    <n v="61"/>
    <n v="940"/>
    <n v="3807"/>
    <n v="2867"/>
    <d v="1900-01-01T00:00:00"/>
    <x v="0"/>
  </r>
  <r>
    <x v="28"/>
    <x v="155"/>
    <x v="2"/>
    <d v="1966-05-19T00:00:00"/>
    <x v="1"/>
    <n v="220"/>
    <s v="Pro02"/>
    <x v="5"/>
    <x v="1"/>
    <n v="0.1"/>
    <x v="8"/>
    <n v="18"/>
    <n v="22"/>
    <n v="57"/>
    <n v="3960"/>
    <n v="4356"/>
    <n v="396"/>
    <d v="1900-01-02T00:00:00"/>
    <x v="0"/>
  </r>
  <r>
    <x v="28"/>
    <x v="156"/>
    <x v="3"/>
    <d v="1972-08-19T00:00:00"/>
    <x v="3"/>
    <n v="59"/>
    <s v="Pro05"/>
    <x v="1"/>
    <x v="0"/>
    <n v="0.1"/>
    <x v="5"/>
    <n v="14"/>
    <n v="28"/>
    <n v="51"/>
    <n v="826"/>
    <n v="1486.8"/>
    <n v="660.8"/>
    <d v="1900-01-02T00:00:00"/>
    <x v="0"/>
  </r>
  <r>
    <x v="28"/>
    <x v="157"/>
    <x v="6"/>
    <d v="1974-09-27T00:00:00"/>
    <x v="3"/>
    <n v="258"/>
    <s v="Pro08"/>
    <x v="3"/>
    <x v="0"/>
    <n v="0.1"/>
    <x v="6"/>
    <n v="5"/>
    <n v="7"/>
    <n v="49"/>
    <n v="1290"/>
    <n v="1625.4"/>
    <n v="335.40000000000009"/>
    <d v="1900-01-02T00:00:00"/>
    <x v="0"/>
  </r>
  <r>
    <x v="29"/>
    <x v="158"/>
    <x v="1"/>
    <d v="1961-05-11T00:00:00"/>
    <x v="3"/>
    <n v="216"/>
    <s v="Pro09"/>
    <x v="2"/>
    <x v="0"/>
    <n v="0.1"/>
    <x v="3"/>
    <n v="10"/>
    <n v="45"/>
    <n v="62"/>
    <n v="2160"/>
    <n v="8748"/>
    <n v="6588"/>
    <d v="1900-01-03T00:00:00"/>
    <x v="0"/>
  </r>
  <r>
    <x v="29"/>
    <x v="159"/>
    <x v="0"/>
    <d v="2004-10-31T00:00:00"/>
    <x v="3"/>
    <n v="340"/>
    <s v="Pro09"/>
    <x v="1"/>
    <x v="0"/>
    <n v="0.1"/>
    <x v="3"/>
    <n v="10"/>
    <n v="45"/>
    <n v="19"/>
    <n v="3400"/>
    <n v="13770"/>
    <n v="10370"/>
    <d v="1900-01-03T00:00:00"/>
    <x v="0"/>
  </r>
  <r>
    <x v="29"/>
    <x v="160"/>
    <x v="7"/>
    <d v="1943-09-25T00:00:00"/>
    <x v="1"/>
    <n v="205"/>
    <s v="Pro09"/>
    <x v="1"/>
    <x v="1"/>
    <n v="0.1"/>
    <x v="3"/>
    <n v="10"/>
    <n v="45"/>
    <n v="80"/>
    <n v="2050"/>
    <n v="8302.5"/>
    <n v="6252.5"/>
    <d v="1900-01-03T00:00:00"/>
    <x v="0"/>
  </r>
  <r>
    <x v="29"/>
    <x v="161"/>
    <x v="1"/>
    <d v="2004-05-04T00:00:00"/>
    <x v="3"/>
    <n v="39"/>
    <s v="Pro06"/>
    <x v="3"/>
    <x v="0"/>
    <n v="0.1"/>
    <x v="4"/>
    <n v="7"/>
    <n v="9"/>
    <n v="19"/>
    <n v="273"/>
    <n v="315.90000000000003"/>
    <n v="42.900000000000034"/>
    <d v="1900-01-03T00:00:00"/>
    <x v="0"/>
  </r>
  <r>
    <x v="29"/>
    <x v="162"/>
    <x v="0"/>
    <d v="2003-01-30T00:00:00"/>
    <x v="2"/>
    <n v="134"/>
    <s v="Pro03"/>
    <x v="1"/>
    <x v="0"/>
    <n v="0.1"/>
    <x v="10"/>
    <n v="3"/>
    <n v="5"/>
    <n v="21"/>
    <n v="402"/>
    <n v="603"/>
    <n v="201"/>
    <d v="1900-01-03T00:00:00"/>
    <x v="0"/>
  </r>
  <r>
    <x v="29"/>
    <x v="163"/>
    <x v="1"/>
    <d v="1945-03-17T00:00:00"/>
    <x v="0"/>
    <n v="388"/>
    <s v="Pro07"/>
    <x v="3"/>
    <x v="0"/>
    <n v="0.1"/>
    <x v="0"/>
    <n v="19"/>
    <n v="23"/>
    <n v="78"/>
    <n v="7372"/>
    <n v="8031.6"/>
    <n v="659.60000000000036"/>
    <d v="1900-01-03T00:00:00"/>
    <x v="0"/>
  </r>
  <r>
    <x v="29"/>
    <x v="164"/>
    <x v="10"/>
    <d v="1992-07-07T00:00:00"/>
    <x v="2"/>
    <n v="344"/>
    <s v="Pro09"/>
    <x v="0"/>
    <x v="0"/>
    <n v="0.1"/>
    <x v="3"/>
    <n v="10"/>
    <n v="45"/>
    <n v="31"/>
    <n v="3440"/>
    <n v="13932"/>
    <n v="10492"/>
    <d v="1900-01-03T00:00:00"/>
    <x v="0"/>
  </r>
  <r>
    <x v="30"/>
    <x v="165"/>
    <x v="5"/>
    <d v="2005-06-11T00:00:00"/>
    <x v="2"/>
    <n v="116"/>
    <s v="Pro07"/>
    <x v="4"/>
    <x v="0"/>
    <n v="0.1"/>
    <x v="0"/>
    <n v="19"/>
    <n v="23"/>
    <n v="18"/>
    <n v="2204"/>
    <n v="2401.2000000000003"/>
    <n v="197.20000000000027"/>
    <d v="1900-01-04T00:00:00"/>
    <x v="0"/>
  </r>
  <r>
    <x v="30"/>
    <x v="166"/>
    <x v="1"/>
    <d v="1961-07-10T00:00:00"/>
    <x v="2"/>
    <n v="390"/>
    <s v="Pro03"/>
    <x v="2"/>
    <x v="0"/>
    <n v="0.1"/>
    <x v="10"/>
    <n v="3"/>
    <n v="5"/>
    <n v="62"/>
    <n v="1170"/>
    <n v="1755"/>
    <n v="585"/>
    <d v="1900-01-04T00:00:00"/>
    <x v="0"/>
  </r>
  <r>
    <x v="30"/>
    <x v="167"/>
    <x v="1"/>
    <d v="1947-07-22T00:00:00"/>
    <x v="0"/>
    <n v="469"/>
    <s v="Pro07"/>
    <x v="1"/>
    <x v="0"/>
    <n v="0.1"/>
    <x v="0"/>
    <n v="19"/>
    <n v="23"/>
    <n v="76"/>
    <n v="8911"/>
    <n v="9708.3000000000011"/>
    <n v="797.30000000000109"/>
    <d v="1900-01-04T00:00:00"/>
    <x v="0"/>
  </r>
  <r>
    <x v="30"/>
    <x v="168"/>
    <x v="7"/>
    <d v="1952-07-26T00:00:00"/>
    <x v="3"/>
    <n v="486"/>
    <s v="Pro06"/>
    <x v="1"/>
    <x v="0"/>
    <n v="0.1"/>
    <x v="4"/>
    <n v="7"/>
    <n v="9"/>
    <n v="71"/>
    <n v="3402"/>
    <n v="3936.6"/>
    <n v="534.59999999999991"/>
    <d v="1900-01-04T00:00:00"/>
    <x v="0"/>
  </r>
  <r>
    <x v="30"/>
    <x v="169"/>
    <x v="0"/>
    <d v="1975-05-13T00:00:00"/>
    <x v="2"/>
    <n v="207"/>
    <s v="Pro08"/>
    <x v="0"/>
    <x v="0"/>
    <n v="0.1"/>
    <x v="6"/>
    <n v="5"/>
    <n v="7"/>
    <n v="48"/>
    <n v="1035"/>
    <n v="1304.1000000000001"/>
    <n v="269.10000000000014"/>
    <d v="1900-01-04T00:00:00"/>
    <x v="0"/>
  </r>
  <r>
    <x v="31"/>
    <x v="170"/>
    <x v="4"/>
    <d v="1996-08-14T00:00:00"/>
    <x v="2"/>
    <n v="92"/>
    <s v="Pro04"/>
    <x v="1"/>
    <x v="0"/>
    <n v="0.1"/>
    <x v="1"/>
    <n v="10"/>
    <n v="14"/>
    <n v="27"/>
    <n v="920"/>
    <n v="1159.2"/>
    <n v="239.20000000000005"/>
    <d v="1900-01-05T00:00:00"/>
    <x v="0"/>
  </r>
  <r>
    <x v="31"/>
    <x v="171"/>
    <x v="10"/>
    <d v="2001-01-26T00:00:00"/>
    <x v="3"/>
    <n v="43"/>
    <s v="Pro02"/>
    <x v="0"/>
    <x v="0"/>
    <n v="0.1"/>
    <x v="8"/>
    <n v="18"/>
    <n v="22"/>
    <n v="23"/>
    <n v="774"/>
    <n v="851.4"/>
    <n v="77.399999999999977"/>
    <d v="1900-01-05T00:00:00"/>
    <x v="0"/>
  </r>
  <r>
    <x v="31"/>
    <x v="172"/>
    <x v="7"/>
    <d v="1953-06-19T00:00:00"/>
    <x v="3"/>
    <n v="390"/>
    <s v="Pro08"/>
    <x v="3"/>
    <x v="0"/>
    <n v="0.1"/>
    <x v="6"/>
    <n v="5"/>
    <n v="7"/>
    <n v="70"/>
    <n v="1950"/>
    <n v="2457"/>
    <n v="507"/>
    <d v="1900-01-05T00:00:00"/>
    <x v="0"/>
  </r>
  <r>
    <x v="31"/>
    <x v="173"/>
    <x v="1"/>
    <d v="1986-09-03T00:00:00"/>
    <x v="1"/>
    <n v="412"/>
    <s v="Pro10"/>
    <x v="2"/>
    <x v="0"/>
    <n v="0.1"/>
    <x v="7"/>
    <n v="18"/>
    <n v="36"/>
    <n v="37"/>
    <n v="7416"/>
    <n v="13348.800000000001"/>
    <n v="5932.8000000000011"/>
    <d v="1900-01-05T00:00:00"/>
    <x v="0"/>
  </r>
  <r>
    <x v="31"/>
    <x v="174"/>
    <x v="7"/>
    <d v="1977-11-28T00:00:00"/>
    <x v="3"/>
    <n v="318"/>
    <s v="Pro03"/>
    <x v="1"/>
    <x v="0"/>
    <n v="0.1"/>
    <x v="10"/>
    <n v="3"/>
    <n v="5"/>
    <n v="46"/>
    <n v="954"/>
    <n v="1431"/>
    <n v="477"/>
    <d v="1900-01-05T00:00:00"/>
    <x v="0"/>
  </r>
  <r>
    <x v="32"/>
    <x v="175"/>
    <x v="0"/>
    <d v="1974-05-25T00:00:00"/>
    <x v="0"/>
    <n v="313"/>
    <s v="Pro06"/>
    <x v="1"/>
    <x v="0"/>
    <n v="0.1"/>
    <x v="4"/>
    <n v="7"/>
    <n v="9"/>
    <n v="49"/>
    <n v="2191"/>
    <n v="2535.3000000000002"/>
    <n v="344.30000000000018"/>
    <d v="1900-01-06T00:00:00"/>
    <x v="1"/>
  </r>
  <r>
    <x v="32"/>
    <x v="176"/>
    <x v="10"/>
    <d v="1950-06-10T00:00:00"/>
    <x v="2"/>
    <n v="415"/>
    <s v="Pro09"/>
    <x v="2"/>
    <x v="0"/>
    <n v="0.1"/>
    <x v="3"/>
    <n v="10"/>
    <n v="45"/>
    <n v="73"/>
    <n v="4150"/>
    <n v="16807.5"/>
    <n v="12657.5"/>
    <d v="1900-01-06T00:00:00"/>
    <x v="1"/>
  </r>
  <r>
    <x v="32"/>
    <x v="177"/>
    <x v="7"/>
    <d v="1985-06-06T00:00:00"/>
    <x v="0"/>
    <n v="314"/>
    <s v="Pro10"/>
    <x v="4"/>
    <x v="0"/>
    <n v="0.1"/>
    <x v="7"/>
    <n v="18"/>
    <n v="36"/>
    <n v="38"/>
    <n v="5652"/>
    <n v="10173.6"/>
    <n v="4521.6000000000004"/>
    <d v="1900-01-06T00:00:00"/>
    <x v="1"/>
  </r>
  <r>
    <x v="33"/>
    <x v="178"/>
    <x v="8"/>
    <d v="1989-05-25T00:00:00"/>
    <x v="1"/>
    <n v="297"/>
    <s v="Pro04"/>
    <x v="2"/>
    <x v="0"/>
    <n v="0.1"/>
    <x v="1"/>
    <n v="10"/>
    <n v="14"/>
    <n v="34"/>
    <n v="2970"/>
    <n v="3742.2000000000003"/>
    <n v="772.20000000000027"/>
    <d v="1899-12-31T00:00:00"/>
    <x v="1"/>
  </r>
  <r>
    <x v="33"/>
    <x v="179"/>
    <x v="9"/>
    <d v="1949-10-13T00:00:00"/>
    <x v="3"/>
    <n v="99"/>
    <s v="Pro04"/>
    <x v="0"/>
    <x v="2"/>
    <n v="0.1"/>
    <x v="1"/>
    <n v="10"/>
    <n v="14"/>
    <n v="74"/>
    <n v="990"/>
    <n v="1247.4000000000001"/>
    <n v="257.40000000000009"/>
    <d v="1899-12-31T00:00:00"/>
    <x v="1"/>
  </r>
  <r>
    <x v="34"/>
    <x v="180"/>
    <x v="8"/>
    <d v="1963-11-10T00:00:00"/>
    <x v="3"/>
    <n v="320"/>
    <s v="Pro04"/>
    <x v="1"/>
    <x v="0"/>
    <n v="0.1"/>
    <x v="1"/>
    <n v="10"/>
    <n v="14"/>
    <n v="60"/>
    <n v="3200"/>
    <n v="4032"/>
    <n v="832"/>
    <d v="1900-01-01T00:00:00"/>
    <x v="0"/>
  </r>
  <r>
    <x v="34"/>
    <x v="181"/>
    <x v="6"/>
    <d v="1989-07-05T00:00:00"/>
    <x v="0"/>
    <n v="457"/>
    <s v="Pro04"/>
    <x v="1"/>
    <x v="0"/>
    <n v="0.1"/>
    <x v="1"/>
    <n v="10"/>
    <n v="14"/>
    <n v="34"/>
    <n v="4570"/>
    <n v="5758.2"/>
    <n v="1188.1999999999998"/>
    <d v="1900-01-01T00:00:00"/>
    <x v="0"/>
  </r>
  <r>
    <x v="34"/>
    <x v="182"/>
    <x v="4"/>
    <d v="1944-11-13T00:00:00"/>
    <x v="0"/>
    <n v="407"/>
    <s v="Pro08"/>
    <x v="1"/>
    <x v="0"/>
    <n v="0.1"/>
    <x v="6"/>
    <n v="5"/>
    <n v="7"/>
    <n v="79"/>
    <n v="2035"/>
    <n v="2564.1"/>
    <n v="529.09999999999991"/>
    <d v="1900-01-01T00:00:00"/>
    <x v="0"/>
  </r>
  <r>
    <x v="35"/>
    <x v="183"/>
    <x v="5"/>
    <d v="1979-05-17T00:00:00"/>
    <x v="1"/>
    <n v="364"/>
    <s v="Pro03"/>
    <x v="3"/>
    <x v="1"/>
    <n v="0.1"/>
    <x v="10"/>
    <n v="3"/>
    <n v="5"/>
    <n v="44"/>
    <n v="1092"/>
    <n v="1638"/>
    <n v="546"/>
    <d v="1900-01-02T00:00:00"/>
    <x v="0"/>
  </r>
  <r>
    <x v="35"/>
    <x v="184"/>
    <x v="9"/>
    <d v="1957-06-08T00:00:00"/>
    <x v="0"/>
    <n v="11"/>
    <s v="Pro06"/>
    <x v="1"/>
    <x v="0"/>
    <n v="0.1"/>
    <x v="4"/>
    <n v="7"/>
    <n v="9"/>
    <n v="66"/>
    <n v="77"/>
    <n v="89.100000000000009"/>
    <n v="12.100000000000009"/>
    <d v="1900-01-02T00:00:00"/>
    <x v="0"/>
  </r>
  <r>
    <x v="35"/>
    <x v="185"/>
    <x v="4"/>
    <d v="1958-01-01T00:00:00"/>
    <x v="1"/>
    <n v="119"/>
    <s v="Pro07"/>
    <x v="1"/>
    <x v="0"/>
    <n v="0.1"/>
    <x v="0"/>
    <n v="19"/>
    <n v="23"/>
    <n v="66"/>
    <n v="2261"/>
    <n v="2463.3000000000002"/>
    <n v="202.30000000000018"/>
    <d v="1900-01-02T00:00:00"/>
    <x v="0"/>
  </r>
  <r>
    <x v="35"/>
    <x v="186"/>
    <x v="2"/>
    <d v="2000-03-16T00:00:00"/>
    <x v="3"/>
    <n v="355"/>
    <s v="Pro10"/>
    <x v="1"/>
    <x v="0"/>
    <n v="0.1"/>
    <x v="7"/>
    <n v="18"/>
    <n v="36"/>
    <n v="23"/>
    <n v="6390"/>
    <n v="11502"/>
    <n v="5112"/>
    <d v="1900-01-02T00:00:00"/>
    <x v="0"/>
  </r>
  <r>
    <x v="35"/>
    <x v="187"/>
    <x v="3"/>
    <d v="1983-10-10T00:00:00"/>
    <x v="0"/>
    <n v="273"/>
    <s v="Pro01"/>
    <x v="4"/>
    <x v="2"/>
    <n v="0.1"/>
    <x v="9"/>
    <n v="10"/>
    <n v="11"/>
    <n v="40"/>
    <n v="2730"/>
    <n v="2702.7000000000003"/>
    <n v="-27.299999999999727"/>
    <d v="1900-01-02T00:00:00"/>
    <x v="0"/>
  </r>
  <r>
    <x v="36"/>
    <x v="2"/>
    <x v="2"/>
    <d v="1977-09-25T00:00:00"/>
    <x v="2"/>
    <n v="327"/>
    <s v="Pro09"/>
    <x v="6"/>
    <x v="1"/>
    <n v="0.1"/>
    <x v="3"/>
    <n v="10"/>
    <n v="45"/>
    <n v="46"/>
    <n v="3270"/>
    <n v="13243.5"/>
    <n v="9973.5"/>
    <d v="1900-01-03T00:00:00"/>
    <x v="0"/>
  </r>
  <r>
    <x v="36"/>
    <x v="188"/>
    <x v="10"/>
    <d v="1994-06-05T00:00:00"/>
    <x v="2"/>
    <n v="292"/>
    <s v="Pro10"/>
    <x v="1"/>
    <x v="0"/>
    <n v="0.1"/>
    <x v="7"/>
    <n v="18"/>
    <n v="36"/>
    <n v="29"/>
    <n v="5256"/>
    <n v="9460.8000000000011"/>
    <n v="4204.8000000000011"/>
    <d v="1900-01-03T00:00:00"/>
    <x v="0"/>
  </r>
  <r>
    <x v="36"/>
    <x v="189"/>
    <x v="4"/>
    <d v="1955-04-08T00:00:00"/>
    <x v="1"/>
    <n v="263"/>
    <s v="Pro08"/>
    <x v="2"/>
    <x v="0"/>
    <n v="0.1"/>
    <x v="6"/>
    <n v="5"/>
    <n v="7"/>
    <n v="68"/>
    <n v="1315"/>
    <n v="1656.9"/>
    <n v="341.90000000000009"/>
    <d v="1900-01-03T00:00:00"/>
    <x v="0"/>
  </r>
  <r>
    <x v="36"/>
    <x v="190"/>
    <x v="9"/>
    <d v="1983-03-14T00:00:00"/>
    <x v="3"/>
    <n v="227"/>
    <s v="Pro10"/>
    <x v="4"/>
    <x v="0"/>
    <n v="0.1"/>
    <x v="7"/>
    <n v="18"/>
    <n v="36"/>
    <n v="40"/>
    <n v="4086"/>
    <n v="7354.8"/>
    <n v="3268.8"/>
    <d v="1900-01-03T00:00:00"/>
    <x v="0"/>
  </r>
  <r>
    <x v="36"/>
    <x v="191"/>
    <x v="8"/>
    <d v="1949-07-03T00:00:00"/>
    <x v="0"/>
    <n v="219"/>
    <s v="Pro06"/>
    <x v="2"/>
    <x v="0"/>
    <n v="0.1"/>
    <x v="4"/>
    <n v="7"/>
    <n v="9"/>
    <n v="74"/>
    <n v="1533"/>
    <n v="1773.9"/>
    <n v="240.90000000000009"/>
    <d v="1900-01-03T00:00:00"/>
    <x v="0"/>
  </r>
  <r>
    <x v="36"/>
    <x v="192"/>
    <x v="5"/>
    <d v="1996-01-03T00:00:00"/>
    <x v="1"/>
    <n v="14"/>
    <s v="Pro10"/>
    <x v="2"/>
    <x v="0"/>
    <n v="0.1"/>
    <x v="7"/>
    <n v="18"/>
    <n v="36"/>
    <n v="28"/>
    <n v="252"/>
    <n v="453.6"/>
    <n v="201.60000000000002"/>
    <d v="1900-01-03T00:00:00"/>
    <x v="0"/>
  </r>
  <r>
    <x v="36"/>
    <x v="193"/>
    <x v="4"/>
    <d v="1950-11-26T00:00:00"/>
    <x v="0"/>
    <n v="164"/>
    <s v="Pro10"/>
    <x v="1"/>
    <x v="0"/>
    <n v="0.1"/>
    <x v="7"/>
    <n v="18"/>
    <n v="36"/>
    <n v="73"/>
    <n v="2952"/>
    <n v="5313.6"/>
    <n v="2361.6000000000004"/>
    <d v="1900-01-03T00:00:00"/>
    <x v="0"/>
  </r>
  <r>
    <x v="36"/>
    <x v="194"/>
    <x v="7"/>
    <d v="1997-02-13T00:00:00"/>
    <x v="3"/>
    <n v="400"/>
    <s v="Pro09"/>
    <x v="1"/>
    <x v="0"/>
    <n v="0.1"/>
    <x v="3"/>
    <n v="10"/>
    <n v="45"/>
    <n v="26"/>
    <n v="4000"/>
    <n v="16200"/>
    <n v="12200"/>
    <d v="1900-01-03T00:00:00"/>
    <x v="0"/>
  </r>
  <r>
    <x v="36"/>
    <x v="195"/>
    <x v="4"/>
    <d v="1982-11-13T00:00:00"/>
    <x v="0"/>
    <n v="367"/>
    <s v="Pro04"/>
    <x v="4"/>
    <x v="0"/>
    <n v="0.1"/>
    <x v="1"/>
    <n v="10"/>
    <n v="14"/>
    <n v="41"/>
    <n v="3670"/>
    <n v="4624.2"/>
    <n v="954.19999999999982"/>
    <d v="1900-01-03T00:00:00"/>
    <x v="0"/>
  </r>
  <r>
    <x v="36"/>
    <x v="196"/>
    <x v="8"/>
    <d v="1949-06-27T00:00:00"/>
    <x v="2"/>
    <n v="226"/>
    <s v="Pro10"/>
    <x v="1"/>
    <x v="0"/>
    <n v="0.1"/>
    <x v="7"/>
    <n v="18"/>
    <n v="36"/>
    <n v="74"/>
    <n v="4068"/>
    <n v="7322.4000000000005"/>
    <n v="3254.4000000000005"/>
    <d v="1900-01-03T00:00:00"/>
    <x v="0"/>
  </r>
  <r>
    <x v="37"/>
    <x v="197"/>
    <x v="5"/>
    <d v="1963-10-27T00:00:00"/>
    <x v="1"/>
    <n v="332"/>
    <s v="Pro02"/>
    <x v="1"/>
    <x v="0"/>
    <n v="0.1"/>
    <x v="8"/>
    <n v="18"/>
    <n v="22"/>
    <n v="60"/>
    <n v="5976"/>
    <n v="6573.6"/>
    <n v="597.60000000000036"/>
    <d v="1900-01-04T00:00:00"/>
    <x v="0"/>
  </r>
  <r>
    <x v="37"/>
    <x v="198"/>
    <x v="10"/>
    <d v="1990-05-17T00:00:00"/>
    <x v="0"/>
    <n v="54"/>
    <s v="Pro07"/>
    <x v="2"/>
    <x v="1"/>
    <n v="0.1"/>
    <x v="0"/>
    <n v="19"/>
    <n v="23"/>
    <n v="33"/>
    <n v="1026"/>
    <n v="1117.8"/>
    <n v="91.799999999999955"/>
    <d v="1900-01-04T00:00:00"/>
    <x v="0"/>
  </r>
  <r>
    <x v="37"/>
    <x v="199"/>
    <x v="1"/>
    <d v="1964-09-02T00:00:00"/>
    <x v="2"/>
    <n v="138"/>
    <s v="Pro10"/>
    <x v="4"/>
    <x v="0"/>
    <n v="0.1"/>
    <x v="7"/>
    <n v="18"/>
    <n v="36"/>
    <n v="59"/>
    <n v="2484"/>
    <n v="4471.2"/>
    <n v="1987.1999999999998"/>
    <d v="1900-01-04T00:00:00"/>
    <x v="0"/>
  </r>
  <r>
    <x v="37"/>
    <x v="200"/>
    <x v="9"/>
    <d v="1973-09-10T00:00:00"/>
    <x v="0"/>
    <n v="424"/>
    <s v="Pro01"/>
    <x v="2"/>
    <x v="2"/>
    <n v="0.1"/>
    <x v="9"/>
    <n v="10"/>
    <n v="11"/>
    <n v="50"/>
    <n v="4240"/>
    <n v="4197.6000000000004"/>
    <n v="-42.399999999999636"/>
    <d v="1900-01-04T00:00:00"/>
    <x v="0"/>
  </r>
  <r>
    <x v="37"/>
    <x v="201"/>
    <x v="9"/>
    <d v="1954-08-05T00:00:00"/>
    <x v="2"/>
    <n v="311"/>
    <s v="Pro03"/>
    <x v="3"/>
    <x v="0"/>
    <n v="0.1"/>
    <x v="10"/>
    <n v="3"/>
    <n v="5"/>
    <n v="69"/>
    <n v="933"/>
    <n v="1399.5"/>
    <n v="466.5"/>
    <d v="1900-01-04T00:00:00"/>
    <x v="0"/>
  </r>
  <r>
    <x v="37"/>
    <x v="202"/>
    <x v="8"/>
    <d v="1944-03-07T00:00:00"/>
    <x v="3"/>
    <n v="493"/>
    <s v="Pro01"/>
    <x v="4"/>
    <x v="0"/>
    <n v="0.1"/>
    <x v="9"/>
    <n v="10"/>
    <n v="11"/>
    <n v="79"/>
    <n v="4930"/>
    <n v="4880.7"/>
    <n v="-49.300000000000182"/>
    <d v="1900-01-04T00:00:00"/>
    <x v="0"/>
  </r>
  <r>
    <x v="38"/>
    <x v="203"/>
    <x v="4"/>
    <d v="1960-11-01T00:00:00"/>
    <x v="0"/>
    <n v="175"/>
    <s v="Pro01"/>
    <x v="3"/>
    <x v="0"/>
    <n v="0.1"/>
    <x v="9"/>
    <n v="10"/>
    <n v="11"/>
    <n v="63"/>
    <n v="1750"/>
    <n v="1732.5"/>
    <n v="-17.5"/>
    <d v="1900-01-05T00:00:00"/>
    <x v="0"/>
  </r>
  <r>
    <x v="38"/>
    <x v="94"/>
    <x v="4"/>
    <d v="1987-08-10T00:00:00"/>
    <x v="3"/>
    <n v="376"/>
    <s v="Pro03"/>
    <x v="0"/>
    <x v="2"/>
    <n v="0.1"/>
    <x v="10"/>
    <n v="3"/>
    <n v="5"/>
    <n v="36"/>
    <n v="1128"/>
    <n v="1692"/>
    <n v="564"/>
    <d v="1900-01-05T00:00:00"/>
    <x v="0"/>
  </r>
  <r>
    <x v="38"/>
    <x v="204"/>
    <x v="7"/>
    <d v="1945-08-18T00:00:00"/>
    <x v="2"/>
    <n v="386"/>
    <s v="Pro06"/>
    <x v="3"/>
    <x v="0"/>
    <n v="0.1"/>
    <x v="4"/>
    <n v="7"/>
    <n v="9"/>
    <n v="78"/>
    <n v="2702"/>
    <n v="3126.6"/>
    <n v="424.59999999999991"/>
    <d v="1900-01-05T00:00:00"/>
    <x v="0"/>
  </r>
  <r>
    <x v="38"/>
    <x v="205"/>
    <x v="9"/>
    <d v="1970-05-16T00:00:00"/>
    <x v="3"/>
    <n v="289"/>
    <s v="Pro07"/>
    <x v="1"/>
    <x v="0"/>
    <n v="0.1"/>
    <x v="0"/>
    <n v="19"/>
    <n v="23"/>
    <n v="53"/>
    <n v="5491"/>
    <n v="5982.3"/>
    <n v="491.30000000000018"/>
    <d v="1900-01-05T00:00:00"/>
    <x v="0"/>
  </r>
  <r>
    <x v="39"/>
    <x v="206"/>
    <x v="2"/>
    <d v="1947-05-31T00:00:00"/>
    <x v="0"/>
    <n v="484"/>
    <s v="Pro10"/>
    <x v="0"/>
    <x v="1"/>
    <n v="0.1"/>
    <x v="7"/>
    <n v="18"/>
    <n v="36"/>
    <n v="76"/>
    <n v="8712"/>
    <n v="15681.6"/>
    <n v="6969.6"/>
    <d v="1900-01-06T00:00:00"/>
    <x v="1"/>
  </r>
  <r>
    <x v="39"/>
    <x v="207"/>
    <x v="6"/>
    <d v="1987-05-08T00:00:00"/>
    <x v="1"/>
    <n v="471"/>
    <s v="Pro01"/>
    <x v="0"/>
    <x v="0"/>
    <n v="0.1"/>
    <x v="9"/>
    <n v="10"/>
    <n v="11"/>
    <n v="36"/>
    <n v="4710"/>
    <n v="4662.9000000000005"/>
    <n v="-47.099999999999454"/>
    <d v="1900-01-06T00:00:00"/>
    <x v="1"/>
  </r>
  <r>
    <x v="39"/>
    <x v="208"/>
    <x v="10"/>
    <d v="1962-02-28T00:00:00"/>
    <x v="0"/>
    <n v="92"/>
    <s v="Pro05"/>
    <x v="0"/>
    <x v="0"/>
    <n v="0.1"/>
    <x v="5"/>
    <n v="14"/>
    <n v="28"/>
    <n v="61"/>
    <n v="1288"/>
    <n v="2318.4"/>
    <n v="1030.4000000000001"/>
    <d v="1900-01-06T00:00:00"/>
    <x v="1"/>
  </r>
  <r>
    <x v="39"/>
    <x v="209"/>
    <x v="6"/>
    <d v="1945-05-07T00:00:00"/>
    <x v="0"/>
    <n v="288"/>
    <s v="Pro05"/>
    <x v="3"/>
    <x v="0"/>
    <n v="0.1"/>
    <x v="5"/>
    <n v="14"/>
    <n v="28"/>
    <n v="78"/>
    <n v="4032"/>
    <n v="7257.6"/>
    <n v="3225.6000000000004"/>
    <d v="1900-01-06T00:00:00"/>
    <x v="1"/>
  </r>
  <r>
    <x v="39"/>
    <x v="210"/>
    <x v="3"/>
    <d v="1996-03-17T00:00:00"/>
    <x v="3"/>
    <n v="421"/>
    <s v="Pro05"/>
    <x v="5"/>
    <x v="0"/>
    <n v="0.1"/>
    <x v="5"/>
    <n v="14"/>
    <n v="28"/>
    <n v="27"/>
    <n v="5894"/>
    <n v="10609.2"/>
    <n v="4715.2000000000007"/>
    <d v="1900-01-06T00:00:00"/>
    <x v="1"/>
  </r>
  <r>
    <x v="40"/>
    <x v="211"/>
    <x v="7"/>
    <d v="2003-09-25T00:00:00"/>
    <x v="3"/>
    <n v="242"/>
    <s v="Pro08"/>
    <x v="3"/>
    <x v="0"/>
    <n v="0.1"/>
    <x v="6"/>
    <n v="5"/>
    <n v="7"/>
    <n v="20"/>
    <n v="1210"/>
    <n v="1524.6000000000001"/>
    <n v="314.60000000000014"/>
    <d v="1899-12-31T00:00:00"/>
    <x v="1"/>
  </r>
  <r>
    <x v="40"/>
    <x v="212"/>
    <x v="6"/>
    <d v="1988-11-18T00:00:00"/>
    <x v="2"/>
    <n v="81"/>
    <s v="Pro01"/>
    <x v="2"/>
    <x v="0"/>
    <n v="0.1"/>
    <x v="9"/>
    <n v="10"/>
    <n v="11"/>
    <n v="35"/>
    <n v="810"/>
    <n v="801.9"/>
    <n v="-8.1000000000000227"/>
    <d v="1899-12-31T00:00:00"/>
    <x v="1"/>
  </r>
  <r>
    <x v="40"/>
    <x v="213"/>
    <x v="2"/>
    <d v="1957-05-02T00:00:00"/>
    <x v="3"/>
    <n v="167"/>
    <s v="Pro10"/>
    <x v="2"/>
    <x v="0"/>
    <n v="0.1"/>
    <x v="7"/>
    <n v="18"/>
    <n v="36"/>
    <n v="66"/>
    <n v="3006"/>
    <n v="5410.8"/>
    <n v="2404.8000000000002"/>
    <d v="1899-12-31T00:00:00"/>
    <x v="1"/>
  </r>
  <r>
    <x v="40"/>
    <x v="94"/>
    <x v="4"/>
    <d v="1968-10-30T00:00:00"/>
    <x v="0"/>
    <n v="90"/>
    <s v="Pro04"/>
    <x v="2"/>
    <x v="2"/>
    <n v="0.1"/>
    <x v="1"/>
    <n v="10"/>
    <n v="14"/>
    <n v="55"/>
    <n v="900"/>
    <n v="1134"/>
    <n v="234"/>
    <d v="1899-12-31T00:00:00"/>
    <x v="1"/>
  </r>
  <r>
    <x v="40"/>
    <x v="214"/>
    <x v="4"/>
    <d v="1979-06-11T00:00:00"/>
    <x v="2"/>
    <n v="143"/>
    <s v="Pro07"/>
    <x v="3"/>
    <x v="0"/>
    <n v="0.1"/>
    <x v="0"/>
    <n v="19"/>
    <n v="23"/>
    <n v="44"/>
    <n v="2717"/>
    <n v="2960.1"/>
    <n v="243.09999999999991"/>
    <d v="1899-12-31T00:00:00"/>
    <x v="1"/>
  </r>
  <r>
    <x v="40"/>
    <x v="215"/>
    <x v="10"/>
    <d v="1955-08-20T00:00:00"/>
    <x v="2"/>
    <n v="164"/>
    <s v="Pro06"/>
    <x v="1"/>
    <x v="0"/>
    <n v="0.1"/>
    <x v="4"/>
    <n v="7"/>
    <n v="9"/>
    <n v="68"/>
    <n v="1148"/>
    <n v="1328.4"/>
    <n v="180.40000000000009"/>
    <d v="1899-12-31T00:00:00"/>
    <x v="1"/>
  </r>
  <r>
    <x v="41"/>
    <x v="216"/>
    <x v="4"/>
    <d v="2002-11-29T00:00:00"/>
    <x v="2"/>
    <n v="66"/>
    <s v="Pro10"/>
    <x v="2"/>
    <x v="1"/>
    <n v="0.1"/>
    <x v="7"/>
    <n v="18"/>
    <n v="36"/>
    <n v="21"/>
    <n v="1188"/>
    <n v="2138.4"/>
    <n v="950.40000000000009"/>
    <d v="1900-01-01T00:00:00"/>
    <x v="0"/>
  </r>
  <r>
    <x v="41"/>
    <x v="217"/>
    <x v="7"/>
    <d v="1948-06-06T00:00:00"/>
    <x v="3"/>
    <n v="318"/>
    <s v="Pro10"/>
    <x v="1"/>
    <x v="1"/>
    <n v="0.1"/>
    <x v="7"/>
    <n v="18"/>
    <n v="36"/>
    <n v="75"/>
    <n v="5724"/>
    <n v="10303.200000000001"/>
    <n v="4579.2000000000007"/>
    <d v="1900-01-01T00:00:00"/>
    <x v="0"/>
  </r>
  <r>
    <x v="41"/>
    <x v="218"/>
    <x v="3"/>
    <d v="1958-06-10T00:00:00"/>
    <x v="0"/>
    <n v="496"/>
    <s v="Pro05"/>
    <x v="1"/>
    <x v="0"/>
    <n v="0.1"/>
    <x v="5"/>
    <n v="14"/>
    <n v="28"/>
    <n v="65"/>
    <n v="6944"/>
    <n v="12499.2"/>
    <n v="5555.2000000000007"/>
    <d v="1900-01-01T00:00:00"/>
    <x v="0"/>
  </r>
  <r>
    <x v="41"/>
    <x v="219"/>
    <x v="10"/>
    <d v="1947-04-04T00:00:00"/>
    <x v="2"/>
    <n v="59"/>
    <s v="Pro04"/>
    <x v="3"/>
    <x v="1"/>
    <n v="0.1"/>
    <x v="1"/>
    <n v="10"/>
    <n v="14"/>
    <n v="76"/>
    <n v="590"/>
    <n v="743.4"/>
    <n v="153.39999999999998"/>
    <d v="1900-01-01T00:00:00"/>
    <x v="0"/>
  </r>
  <r>
    <x v="41"/>
    <x v="220"/>
    <x v="1"/>
    <d v="1977-09-12T00:00:00"/>
    <x v="0"/>
    <n v="190"/>
    <s v="Pro07"/>
    <x v="0"/>
    <x v="0"/>
    <n v="0.1"/>
    <x v="0"/>
    <n v="19"/>
    <n v="23"/>
    <n v="46"/>
    <n v="3610"/>
    <n v="3933"/>
    <n v="323"/>
    <d v="1900-01-01T00:00:00"/>
    <x v="0"/>
  </r>
  <r>
    <x v="41"/>
    <x v="221"/>
    <x v="1"/>
    <d v="1953-12-13T00:00:00"/>
    <x v="3"/>
    <n v="181"/>
    <s v="Pro09"/>
    <x v="2"/>
    <x v="2"/>
    <n v="0.1"/>
    <x v="3"/>
    <n v="10"/>
    <n v="45"/>
    <n v="70"/>
    <n v="1810"/>
    <n v="7330.5"/>
    <n v="5520.5"/>
    <d v="1900-01-01T00:00:00"/>
    <x v="0"/>
  </r>
  <r>
    <x v="41"/>
    <x v="222"/>
    <x v="1"/>
    <d v="1960-01-24T00:00:00"/>
    <x v="2"/>
    <n v="15"/>
    <s v="Pro05"/>
    <x v="0"/>
    <x v="0"/>
    <n v="0.1"/>
    <x v="5"/>
    <n v="14"/>
    <n v="28"/>
    <n v="64"/>
    <n v="210"/>
    <n v="378"/>
    <n v="168"/>
    <d v="1900-01-01T00:00:00"/>
    <x v="0"/>
  </r>
  <r>
    <x v="41"/>
    <x v="223"/>
    <x v="6"/>
    <d v="2002-08-01T00:00:00"/>
    <x v="2"/>
    <n v="164"/>
    <s v="Pro04"/>
    <x v="1"/>
    <x v="0"/>
    <n v="0.1"/>
    <x v="1"/>
    <n v="10"/>
    <n v="14"/>
    <n v="21"/>
    <n v="1640"/>
    <n v="2066.4"/>
    <n v="426.40000000000009"/>
    <d v="1900-01-01T00:00:00"/>
    <x v="0"/>
  </r>
  <r>
    <x v="41"/>
    <x v="224"/>
    <x v="5"/>
    <d v="2005-08-16T00:00:00"/>
    <x v="2"/>
    <n v="493"/>
    <s v="Pro01"/>
    <x v="3"/>
    <x v="0"/>
    <n v="0.1"/>
    <x v="9"/>
    <n v="10"/>
    <n v="11"/>
    <n v="18"/>
    <n v="4930"/>
    <n v="4880.7"/>
    <n v="-49.300000000000182"/>
    <d v="1900-01-01T00:00:00"/>
    <x v="0"/>
  </r>
  <r>
    <x v="41"/>
    <x v="225"/>
    <x v="9"/>
    <d v="1953-09-02T00:00:00"/>
    <x v="3"/>
    <n v="107"/>
    <s v="Pro04"/>
    <x v="3"/>
    <x v="0"/>
    <n v="0.1"/>
    <x v="1"/>
    <n v="10"/>
    <n v="14"/>
    <n v="70"/>
    <n v="1070"/>
    <n v="1348.2"/>
    <n v="278.20000000000005"/>
    <d v="1900-01-01T00:00:00"/>
    <x v="0"/>
  </r>
  <r>
    <x v="41"/>
    <x v="226"/>
    <x v="6"/>
    <d v="1986-12-01T00:00:00"/>
    <x v="2"/>
    <n v="187"/>
    <s v="Pro07"/>
    <x v="2"/>
    <x v="0"/>
    <n v="0.1"/>
    <x v="0"/>
    <n v="19"/>
    <n v="23"/>
    <n v="37"/>
    <n v="3553"/>
    <n v="3870.9"/>
    <n v="317.90000000000009"/>
    <d v="1900-01-01T00:00:00"/>
    <x v="0"/>
  </r>
  <r>
    <x v="41"/>
    <x v="227"/>
    <x v="8"/>
    <d v="1998-12-11T00:00:00"/>
    <x v="3"/>
    <n v="450"/>
    <s v="Pro09"/>
    <x v="5"/>
    <x v="0"/>
    <n v="0.1"/>
    <x v="3"/>
    <n v="10"/>
    <n v="45"/>
    <n v="25"/>
    <n v="4500"/>
    <n v="18225"/>
    <n v="13725"/>
    <d v="1900-01-01T00:00:00"/>
    <x v="0"/>
  </r>
  <r>
    <x v="42"/>
    <x v="228"/>
    <x v="6"/>
    <d v="1994-05-29T00:00:00"/>
    <x v="1"/>
    <n v="483"/>
    <s v="Pro10"/>
    <x v="5"/>
    <x v="2"/>
    <n v="0.1"/>
    <x v="7"/>
    <n v="18"/>
    <n v="36"/>
    <n v="29"/>
    <n v="8694"/>
    <n v="15649.2"/>
    <n v="6955.2000000000007"/>
    <d v="1900-01-02T00:00:00"/>
    <x v="0"/>
  </r>
  <r>
    <x v="42"/>
    <x v="229"/>
    <x v="6"/>
    <d v="1972-10-17T00:00:00"/>
    <x v="2"/>
    <n v="320"/>
    <s v="Pro10"/>
    <x v="4"/>
    <x v="0"/>
    <n v="0.1"/>
    <x v="7"/>
    <n v="18"/>
    <n v="36"/>
    <n v="51"/>
    <n v="5760"/>
    <n v="10368"/>
    <n v="4608"/>
    <d v="1900-01-02T00:00:00"/>
    <x v="0"/>
  </r>
  <r>
    <x v="42"/>
    <x v="230"/>
    <x v="3"/>
    <d v="1995-01-02T00:00:00"/>
    <x v="3"/>
    <n v="339"/>
    <s v="Pro10"/>
    <x v="1"/>
    <x v="0"/>
    <n v="0.1"/>
    <x v="7"/>
    <n v="18"/>
    <n v="36"/>
    <n v="29"/>
    <n v="6102"/>
    <n v="10983.6"/>
    <n v="4881.6000000000004"/>
    <d v="1900-01-02T00:00:00"/>
    <x v="0"/>
  </r>
  <r>
    <x v="42"/>
    <x v="231"/>
    <x v="4"/>
    <d v="1998-12-13T00:00:00"/>
    <x v="0"/>
    <n v="58"/>
    <s v="Pro06"/>
    <x v="4"/>
    <x v="0"/>
    <n v="0.1"/>
    <x v="4"/>
    <n v="7"/>
    <n v="9"/>
    <n v="25"/>
    <n v="406"/>
    <n v="469.8"/>
    <n v="63.800000000000011"/>
    <d v="1900-01-02T00:00:00"/>
    <x v="0"/>
  </r>
  <r>
    <x v="42"/>
    <x v="232"/>
    <x v="10"/>
    <d v="1952-04-25T00:00:00"/>
    <x v="2"/>
    <n v="35"/>
    <s v="Pro04"/>
    <x v="2"/>
    <x v="0"/>
    <n v="0.1"/>
    <x v="1"/>
    <n v="10"/>
    <n v="14"/>
    <n v="71"/>
    <n v="350"/>
    <n v="441"/>
    <n v="91"/>
    <d v="1900-01-02T00:00:00"/>
    <x v="0"/>
  </r>
  <r>
    <x v="43"/>
    <x v="233"/>
    <x v="1"/>
    <d v="1966-02-14T00:00:00"/>
    <x v="0"/>
    <n v="409"/>
    <s v="Pro01"/>
    <x v="1"/>
    <x v="0"/>
    <n v="0.1"/>
    <x v="9"/>
    <n v="10"/>
    <n v="11"/>
    <n v="58"/>
    <n v="4090"/>
    <n v="4049.1"/>
    <n v="-40.900000000000091"/>
    <d v="1900-01-03T00:00:00"/>
    <x v="0"/>
  </r>
  <r>
    <x v="43"/>
    <x v="234"/>
    <x v="2"/>
    <d v="1978-12-11T00:00:00"/>
    <x v="2"/>
    <n v="240"/>
    <s v="Pro06"/>
    <x v="3"/>
    <x v="0"/>
    <n v="0.1"/>
    <x v="4"/>
    <n v="7"/>
    <n v="9"/>
    <n v="45"/>
    <n v="1680"/>
    <n v="1944"/>
    <n v="264"/>
    <d v="1900-01-03T00:00:00"/>
    <x v="0"/>
  </r>
  <r>
    <x v="43"/>
    <x v="235"/>
    <x v="6"/>
    <d v="1982-09-18T00:00:00"/>
    <x v="2"/>
    <n v="482"/>
    <s v="Pro02"/>
    <x v="1"/>
    <x v="0"/>
    <n v="0.1"/>
    <x v="8"/>
    <n v="18"/>
    <n v="22"/>
    <n v="41"/>
    <n v="8676"/>
    <n v="9543.6"/>
    <n v="867.60000000000036"/>
    <d v="1900-01-03T00:00:00"/>
    <x v="0"/>
  </r>
  <r>
    <x v="43"/>
    <x v="236"/>
    <x v="3"/>
    <d v="1973-02-12T00:00:00"/>
    <x v="1"/>
    <n v="427"/>
    <s v="Pro06"/>
    <x v="2"/>
    <x v="0"/>
    <n v="0.1"/>
    <x v="4"/>
    <n v="7"/>
    <n v="9"/>
    <n v="51"/>
    <n v="2989"/>
    <n v="3458.7000000000003"/>
    <n v="469.70000000000027"/>
    <d v="1900-01-03T00:00:00"/>
    <x v="0"/>
  </r>
  <r>
    <x v="43"/>
    <x v="237"/>
    <x v="10"/>
    <d v="1970-03-19T00:00:00"/>
    <x v="2"/>
    <n v="255"/>
    <s v="Pro10"/>
    <x v="4"/>
    <x v="0"/>
    <n v="0.1"/>
    <x v="7"/>
    <n v="18"/>
    <n v="36"/>
    <n v="53"/>
    <n v="4590"/>
    <n v="8262"/>
    <n v="3672"/>
    <d v="1900-01-03T00:00:00"/>
    <x v="0"/>
  </r>
  <r>
    <x v="43"/>
    <x v="238"/>
    <x v="10"/>
    <d v="1975-08-11T00:00:00"/>
    <x v="0"/>
    <n v="120"/>
    <s v="Pro09"/>
    <x v="1"/>
    <x v="0"/>
    <n v="0.1"/>
    <x v="3"/>
    <n v="10"/>
    <n v="45"/>
    <n v="48"/>
    <n v="1200"/>
    <n v="4860"/>
    <n v="3660"/>
    <d v="1900-01-03T00:00:00"/>
    <x v="0"/>
  </r>
  <r>
    <x v="43"/>
    <x v="239"/>
    <x v="8"/>
    <d v="2000-08-10T00:00:00"/>
    <x v="2"/>
    <n v="35"/>
    <s v="Pro07"/>
    <x v="2"/>
    <x v="0"/>
    <n v="0.1"/>
    <x v="0"/>
    <n v="19"/>
    <n v="23"/>
    <n v="23"/>
    <n v="665"/>
    <n v="724.5"/>
    <n v="59.5"/>
    <d v="1900-01-03T00:00:00"/>
    <x v="0"/>
  </r>
  <r>
    <x v="43"/>
    <x v="240"/>
    <x v="1"/>
    <d v="1971-06-07T00:00:00"/>
    <x v="1"/>
    <n v="381"/>
    <s v="Pro07"/>
    <x v="1"/>
    <x v="0"/>
    <n v="0.1"/>
    <x v="0"/>
    <n v="19"/>
    <n v="23"/>
    <n v="52"/>
    <n v="7239"/>
    <n v="7886.7"/>
    <n v="647.69999999999982"/>
    <d v="1900-01-03T00:00:00"/>
    <x v="0"/>
  </r>
  <r>
    <x v="43"/>
    <x v="241"/>
    <x v="10"/>
    <d v="1980-02-28T00:00:00"/>
    <x v="0"/>
    <n v="271"/>
    <s v="Pro04"/>
    <x v="1"/>
    <x v="0"/>
    <n v="0.1"/>
    <x v="1"/>
    <n v="10"/>
    <n v="14"/>
    <n v="43"/>
    <n v="2710"/>
    <n v="3414.6"/>
    <n v="704.59999999999991"/>
    <d v="1900-01-03T00:00:00"/>
    <x v="0"/>
  </r>
  <r>
    <x v="43"/>
    <x v="242"/>
    <x v="1"/>
    <d v="2001-10-21T00:00:00"/>
    <x v="3"/>
    <n v="196"/>
    <s v="Pro08"/>
    <x v="2"/>
    <x v="0"/>
    <n v="0.1"/>
    <x v="6"/>
    <n v="5"/>
    <n v="7"/>
    <n v="22"/>
    <n v="980"/>
    <n v="1234.8"/>
    <n v="254.79999999999995"/>
    <d v="1900-01-03T00:00:00"/>
    <x v="0"/>
  </r>
  <r>
    <x v="44"/>
    <x v="243"/>
    <x v="9"/>
    <d v="1947-11-21T00:00:00"/>
    <x v="1"/>
    <n v="468"/>
    <s v="Pro10"/>
    <x v="3"/>
    <x v="0"/>
    <n v="0.1"/>
    <x v="7"/>
    <n v="18"/>
    <n v="36"/>
    <n v="76"/>
    <n v="8424"/>
    <n v="15163.2"/>
    <n v="6739.2000000000007"/>
    <d v="1900-01-04T00:00:00"/>
    <x v="0"/>
  </r>
  <r>
    <x v="45"/>
    <x v="244"/>
    <x v="1"/>
    <d v="1949-04-13T00:00:00"/>
    <x v="0"/>
    <n v="250"/>
    <s v="Pro10"/>
    <x v="2"/>
    <x v="0"/>
    <n v="0.1"/>
    <x v="7"/>
    <n v="18"/>
    <n v="36"/>
    <n v="74"/>
    <n v="4500"/>
    <n v="8100"/>
    <n v="3600"/>
    <d v="1900-01-05T00:00:00"/>
    <x v="0"/>
  </r>
  <r>
    <x v="45"/>
    <x v="245"/>
    <x v="8"/>
    <d v="1989-06-08T00:00:00"/>
    <x v="0"/>
    <n v="146"/>
    <s v="Pro04"/>
    <x v="2"/>
    <x v="0"/>
    <n v="0.1"/>
    <x v="1"/>
    <n v="10"/>
    <n v="14"/>
    <n v="34"/>
    <n v="1460"/>
    <n v="1839.6000000000001"/>
    <n v="379.60000000000014"/>
    <d v="1900-01-05T00:00:00"/>
    <x v="0"/>
  </r>
  <r>
    <x v="45"/>
    <x v="246"/>
    <x v="6"/>
    <d v="2002-02-28T00:00:00"/>
    <x v="2"/>
    <n v="367"/>
    <s v="Pro10"/>
    <x v="0"/>
    <x v="0"/>
    <n v="0.1"/>
    <x v="7"/>
    <n v="18"/>
    <n v="36"/>
    <n v="21"/>
    <n v="6606"/>
    <n v="11890.800000000001"/>
    <n v="5284.8000000000011"/>
    <d v="1900-01-05T00:00:00"/>
    <x v="0"/>
  </r>
  <r>
    <x v="46"/>
    <x v="247"/>
    <x v="6"/>
    <d v="1960-05-03T00:00:00"/>
    <x v="2"/>
    <n v="366"/>
    <s v="Pro06"/>
    <x v="2"/>
    <x v="1"/>
    <n v="0.1"/>
    <x v="4"/>
    <n v="7"/>
    <n v="9"/>
    <n v="63"/>
    <n v="2562"/>
    <n v="2964.6"/>
    <n v="402.59999999999991"/>
    <d v="1900-01-06T00:00:00"/>
    <x v="1"/>
  </r>
  <r>
    <x v="46"/>
    <x v="94"/>
    <x v="4"/>
    <d v="1946-09-04T00:00:00"/>
    <x v="0"/>
    <n v="229"/>
    <s v="Pro03"/>
    <x v="0"/>
    <x v="2"/>
    <n v="0.1"/>
    <x v="10"/>
    <n v="3"/>
    <n v="5"/>
    <n v="77"/>
    <n v="687"/>
    <n v="1030.5"/>
    <n v="343.5"/>
    <d v="1900-01-06T00:00:00"/>
    <x v="1"/>
  </r>
  <r>
    <x v="46"/>
    <x v="248"/>
    <x v="9"/>
    <d v="1996-07-25T00:00:00"/>
    <x v="2"/>
    <n v="377"/>
    <s v="Pro09"/>
    <x v="1"/>
    <x v="0"/>
    <n v="0.1"/>
    <x v="3"/>
    <n v="10"/>
    <n v="45"/>
    <n v="27"/>
    <n v="3770"/>
    <n v="15268.5"/>
    <n v="11498.5"/>
    <d v="1900-01-06T00:00:00"/>
    <x v="1"/>
  </r>
  <r>
    <x v="46"/>
    <x v="249"/>
    <x v="9"/>
    <d v="1954-08-30T00:00:00"/>
    <x v="2"/>
    <n v="366"/>
    <s v="Pro05"/>
    <x v="1"/>
    <x v="0"/>
    <n v="0.1"/>
    <x v="5"/>
    <n v="14"/>
    <n v="28"/>
    <n v="69"/>
    <n v="5124"/>
    <n v="9223.2000000000007"/>
    <n v="4099.2000000000007"/>
    <d v="1900-01-06T00:00:00"/>
    <x v="1"/>
  </r>
  <r>
    <x v="47"/>
    <x v="250"/>
    <x v="4"/>
    <d v="1950-03-15T00:00:00"/>
    <x v="0"/>
    <n v="132"/>
    <s v="Pro10"/>
    <x v="2"/>
    <x v="0"/>
    <n v="0.1"/>
    <x v="7"/>
    <n v="18"/>
    <n v="36"/>
    <n v="73"/>
    <n v="2376"/>
    <n v="4276.8"/>
    <n v="1900.8000000000002"/>
    <d v="1899-12-31T00:00:00"/>
    <x v="1"/>
  </r>
  <r>
    <x v="47"/>
    <x v="251"/>
    <x v="4"/>
    <d v="1964-01-30T00:00:00"/>
    <x v="2"/>
    <n v="73"/>
    <s v="Pro01"/>
    <x v="0"/>
    <x v="0"/>
    <n v="0.1"/>
    <x v="9"/>
    <n v="10"/>
    <n v="11"/>
    <n v="60"/>
    <n v="730"/>
    <n v="722.7"/>
    <n v="-7.2999999999999545"/>
    <d v="1899-12-31T00:00:00"/>
    <x v="1"/>
  </r>
  <r>
    <x v="47"/>
    <x v="252"/>
    <x v="6"/>
    <d v="1989-04-04T00:00:00"/>
    <x v="2"/>
    <n v="107"/>
    <s v="Pro05"/>
    <x v="3"/>
    <x v="0"/>
    <n v="0.1"/>
    <x v="5"/>
    <n v="14"/>
    <n v="28"/>
    <n v="34"/>
    <n v="1498"/>
    <n v="2696.4"/>
    <n v="1198.4000000000001"/>
    <d v="1899-12-31T00:00:00"/>
    <x v="1"/>
  </r>
  <r>
    <x v="47"/>
    <x v="253"/>
    <x v="9"/>
    <d v="1965-10-19T00:00:00"/>
    <x v="3"/>
    <n v="173"/>
    <s v="Pro03"/>
    <x v="1"/>
    <x v="0"/>
    <n v="0.1"/>
    <x v="10"/>
    <n v="3"/>
    <n v="5"/>
    <n v="58"/>
    <n v="519"/>
    <n v="778.5"/>
    <n v="259.5"/>
    <d v="1899-12-31T00:00:00"/>
    <x v="1"/>
  </r>
  <r>
    <x v="47"/>
    <x v="254"/>
    <x v="7"/>
    <d v="1999-10-27T00:00:00"/>
    <x v="1"/>
    <n v="482"/>
    <s v="Pro01"/>
    <x v="0"/>
    <x v="0"/>
    <n v="0.1"/>
    <x v="9"/>
    <n v="10"/>
    <n v="11"/>
    <n v="24"/>
    <n v="4820"/>
    <n v="4771.8"/>
    <n v="-48.199999999999818"/>
    <d v="1899-12-31T00:00:00"/>
    <x v="1"/>
  </r>
  <r>
    <x v="48"/>
    <x v="255"/>
    <x v="4"/>
    <d v="1962-07-05T00:00:00"/>
    <x v="1"/>
    <n v="496"/>
    <s v="Pro07"/>
    <x v="3"/>
    <x v="0"/>
    <n v="0.1"/>
    <x v="0"/>
    <n v="19"/>
    <n v="23"/>
    <n v="61"/>
    <n v="9424"/>
    <n v="10267.200000000001"/>
    <n v="843.20000000000073"/>
    <d v="1900-01-01T00:00:00"/>
    <x v="0"/>
  </r>
  <r>
    <x v="48"/>
    <x v="256"/>
    <x v="0"/>
    <d v="1971-12-22T00:00:00"/>
    <x v="2"/>
    <n v="297"/>
    <s v="Pro09"/>
    <x v="1"/>
    <x v="0"/>
    <n v="0.1"/>
    <x v="3"/>
    <n v="10"/>
    <n v="45"/>
    <n v="52"/>
    <n v="2970"/>
    <n v="12028.5"/>
    <n v="9058.5"/>
    <d v="1900-01-01T00:00:00"/>
    <x v="0"/>
  </r>
  <r>
    <x v="48"/>
    <x v="257"/>
    <x v="9"/>
    <d v="2004-03-08T00:00:00"/>
    <x v="3"/>
    <n v="67"/>
    <s v="Pro07"/>
    <x v="2"/>
    <x v="0"/>
    <n v="0.1"/>
    <x v="0"/>
    <n v="19"/>
    <n v="23"/>
    <n v="19"/>
    <n v="1273"/>
    <n v="1386.9"/>
    <n v="113.90000000000009"/>
    <d v="1900-01-01T00:00:00"/>
    <x v="0"/>
  </r>
  <r>
    <x v="48"/>
    <x v="258"/>
    <x v="2"/>
    <d v="1947-07-25T00:00:00"/>
    <x v="3"/>
    <n v="79"/>
    <s v="Pro02"/>
    <x v="1"/>
    <x v="0"/>
    <n v="0.1"/>
    <x v="8"/>
    <n v="18"/>
    <n v="22"/>
    <n v="76"/>
    <n v="1422"/>
    <n v="1564.2"/>
    <n v="142.20000000000005"/>
    <d v="1900-01-01T00:00:00"/>
    <x v="0"/>
  </r>
  <r>
    <x v="48"/>
    <x v="259"/>
    <x v="1"/>
    <d v="2002-12-11T00:00:00"/>
    <x v="0"/>
    <n v="212"/>
    <s v="Pro06"/>
    <x v="1"/>
    <x v="0"/>
    <n v="0.1"/>
    <x v="4"/>
    <n v="7"/>
    <n v="9"/>
    <n v="21"/>
    <n v="1484"/>
    <n v="1717.2"/>
    <n v="233.20000000000005"/>
    <d v="1900-01-01T00:00:00"/>
    <x v="0"/>
  </r>
  <r>
    <x v="48"/>
    <x v="260"/>
    <x v="0"/>
    <d v="1954-06-28T00:00:00"/>
    <x v="0"/>
    <n v="124"/>
    <s v="Pro09"/>
    <x v="1"/>
    <x v="0"/>
    <n v="0.1"/>
    <x v="3"/>
    <n v="10"/>
    <n v="45"/>
    <n v="69"/>
    <n v="1240"/>
    <n v="5022"/>
    <n v="3782"/>
    <d v="1900-01-01T00:00:00"/>
    <x v="0"/>
  </r>
  <r>
    <x v="49"/>
    <x v="261"/>
    <x v="2"/>
    <d v="1954-10-23T00:00:00"/>
    <x v="2"/>
    <n v="129"/>
    <s v="Pro04"/>
    <x v="7"/>
    <x v="0"/>
    <n v="0.1"/>
    <x v="1"/>
    <n v="10"/>
    <n v="14"/>
    <n v="69"/>
    <n v="1290"/>
    <n v="1625.4"/>
    <n v="335.40000000000009"/>
    <d v="1900-01-02T00:00:00"/>
    <x v="0"/>
  </r>
  <r>
    <x v="49"/>
    <x v="262"/>
    <x v="4"/>
    <d v="1961-10-03T00:00:00"/>
    <x v="1"/>
    <n v="428"/>
    <s v="Pro08"/>
    <x v="5"/>
    <x v="0"/>
    <n v="0.1"/>
    <x v="6"/>
    <n v="5"/>
    <n v="7"/>
    <n v="62"/>
    <n v="2140"/>
    <n v="2696.4"/>
    <n v="556.40000000000009"/>
    <d v="1900-01-02T00:00:00"/>
    <x v="0"/>
  </r>
  <r>
    <x v="49"/>
    <x v="263"/>
    <x v="5"/>
    <d v="1945-12-21T00:00:00"/>
    <x v="3"/>
    <n v="182"/>
    <s v="Pro10"/>
    <x v="1"/>
    <x v="0"/>
    <n v="0.1"/>
    <x v="7"/>
    <n v="18"/>
    <n v="36"/>
    <n v="78"/>
    <n v="3276"/>
    <n v="5896.8"/>
    <n v="2620.8000000000002"/>
    <d v="1900-01-02T00:00:00"/>
    <x v="0"/>
  </r>
  <r>
    <x v="50"/>
    <x v="264"/>
    <x v="2"/>
    <d v="1970-03-20T00:00:00"/>
    <x v="1"/>
    <n v="32"/>
    <s v="Pro07"/>
    <x v="2"/>
    <x v="0"/>
    <n v="0.1"/>
    <x v="0"/>
    <n v="19"/>
    <n v="23"/>
    <n v="53"/>
    <n v="608"/>
    <n v="662.4"/>
    <n v="54.399999999999977"/>
    <d v="1900-01-03T00:00:00"/>
    <x v="0"/>
  </r>
  <r>
    <x v="51"/>
    <x v="265"/>
    <x v="1"/>
    <d v="1968-02-13T00:00:00"/>
    <x v="2"/>
    <n v="136"/>
    <s v="Pro06"/>
    <x v="0"/>
    <x v="0"/>
    <n v="0.1"/>
    <x v="4"/>
    <n v="7"/>
    <n v="9"/>
    <n v="56"/>
    <n v="952"/>
    <n v="1101.6000000000001"/>
    <n v="149.60000000000014"/>
    <d v="1900-01-04T00:00:00"/>
    <x v="0"/>
  </r>
  <r>
    <x v="51"/>
    <x v="266"/>
    <x v="10"/>
    <d v="1996-02-19T00:00:00"/>
    <x v="2"/>
    <n v="64"/>
    <s v="Pro10"/>
    <x v="4"/>
    <x v="0"/>
    <n v="0.1"/>
    <x v="7"/>
    <n v="18"/>
    <n v="36"/>
    <n v="28"/>
    <n v="1152"/>
    <n v="2073.6"/>
    <n v="921.59999999999991"/>
    <d v="1900-01-04T00:00:00"/>
    <x v="0"/>
  </r>
  <r>
    <x v="51"/>
    <x v="267"/>
    <x v="2"/>
    <d v="1980-09-19T00:00:00"/>
    <x v="3"/>
    <n v="456"/>
    <s v="Pro09"/>
    <x v="0"/>
    <x v="0"/>
    <n v="0.1"/>
    <x v="3"/>
    <n v="10"/>
    <n v="45"/>
    <n v="43"/>
    <n v="4560"/>
    <n v="18468"/>
    <n v="13908"/>
    <d v="1900-01-04T00:00:00"/>
    <x v="0"/>
  </r>
  <r>
    <x v="51"/>
    <x v="61"/>
    <x v="5"/>
    <d v="1959-09-08T00:00:00"/>
    <x v="3"/>
    <n v="30"/>
    <s v="Pro01"/>
    <x v="4"/>
    <x v="0"/>
    <n v="0.1"/>
    <x v="9"/>
    <n v="10"/>
    <n v="11"/>
    <n v="64"/>
    <n v="300"/>
    <n v="297"/>
    <n v="-3"/>
    <d v="1900-01-04T00:00:00"/>
    <x v="0"/>
  </r>
  <r>
    <x v="52"/>
    <x v="268"/>
    <x v="9"/>
    <d v="1967-01-20T00:00:00"/>
    <x v="1"/>
    <n v="407"/>
    <s v="Pro09"/>
    <x v="1"/>
    <x v="0"/>
    <n v="0.1"/>
    <x v="3"/>
    <n v="10"/>
    <n v="45"/>
    <n v="57"/>
    <n v="4070"/>
    <n v="16483.5"/>
    <n v="12413.5"/>
    <d v="1900-01-05T00:00:00"/>
    <x v="0"/>
  </r>
  <r>
    <x v="52"/>
    <x v="269"/>
    <x v="7"/>
    <d v="1956-04-18T00:00:00"/>
    <x v="0"/>
    <n v="265"/>
    <s v="Pro01"/>
    <x v="4"/>
    <x v="0"/>
    <n v="0.1"/>
    <x v="9"/>
    <n v="10"/>
    <n v="11"/>
    <n v="67"/>
    <n v="2650"/>
    <n v="2623.5"/>
    <n v="-26.5"/>
    <d v="1900-01-05T00:00:00"/>
    <x v="0"/>
  </r>
  <r>
    <x v="52"/>
    <x v="270"/>
    <x v="8"/>
    <d v="2000-11-20T00:00:00"/>
    <x v="0"/>
    <n v="322"/>
    <s v="Pro05"/>
    <x v="3"/>
    <x v="0"/>
    <n v="0.1"/>
    <x v="5"/>
    <n v="14"/>
    <n v="28"/>
    <n v="23"/>
    <n v="4508"/>
    <n v="8114.4000000000005"/>
    <n v="3606.4000000000005"/>
    <d v="1900-01-05T00:00:00"/>
    <x v="0"/>
  </r>
  <r>
    <x v="53"/>
    <x v="271"/>
    <x v="7"/>
    <d v="1972-12-23T00:00:00"/>
    <x v="2"/>
    <n v="150"/>
    <s v="Pro01"/>
    <x v="1"/>
    <x v="0"/>
    <n v="0.1"/>
    <x v="9"/>
    <n v="10"/>
    <n v="11"/>
    <n v="51"/>
    <n v="1500"/>
    <n v="1485"/>
    <n v="-15"/>
    <d v="1900-01-06T00:00:00"/>
    <x v="1"/>
  </r>
  <r>
    <x v="53"/>
    <x v="272"/>
    <x v="2"/>
    <d v="1978-06-07T00:00:00"/>
    <x v="3"/>
    <n v="349"/>
    <s v="Pro03"/>
    <x v="5"/>
    <x v="2"/>
    <n v="0.1"/>
    <x v="10"/>
    <n v="3"/>
    <n v="5"/>
    <n v="45"/>
    <n v="1047"/>
    <n v="1570.5"/>
    <n v="523.5"/>
    <d v="1900-01-06T00:00:00"/>
    <x v="1"/>
  </r>
  <r>
    <x v="53"/>
    <x v="273"/>
    <x v="1"/>
    <d v="1983-03-31T00:00:00"/>
    <x v="3"/>
    <n v="146"/>
    <s v="Pro06"/>
    <x v="1"/>
    <x v="0"/>
    <n v="0.1"/>
    <x v="4"/>
    <n v="7"/>
    <n v="9"/>
    <n v="40"/>
    <n v="1022"/>
    <n v="1182.6000000000001"/>
    <n v="160.60000000000014"/>
    <d v="1900-01-06T00:00:00"/>
    <x v="1"/>
  </r>
  <r>
    <x v="53"/>
    <x v="274"/>
    <x v="10"/>
    <d v="1997-06-06T00:00:00"/>
    <x v="1"/>
    <n v="401"/>
    <s v="Pro04"/>
    <x v="2"/>
    <x v="0"/>
    <n v="0.1"/>
    <x v="1"/>
    <n v="10"/>
    <n v="14"/>
    <n v="26"/>
    <n v="4010"/>
    <n v="5052.6000000000004"/>
    <n v="1042.6000000000004"/>
    <d v="1900-01-06T00:00:00"/>
    <x v="1"/>
  </r>
  <r>
    <x v="53"/>
    <x v="275"/>
    <x v="8"/>
    <d v="1976-07-14T00:00:00"/>
    <x v="1"/>
    <n v="81"/>
    <s v="Pro02"/>
    <x v="5"/>
    <x v="0"/>
    <n v="0.1"/>
    <x v="8"/>
    <n v="18"/>
    <n v="22"/>
    <n v="47"/>
    <n v="1458"/>
    <n v="1603.8"/>
    <n v="145.79999999999995"/>
    <d v="1900-01-06T00:00:00"/>
    <x v="1"/>
  </r>
  <r>
    <x v="53"/>
    <x v="276"/>
    <x v="10"/>
    <d v="1944-06-18T00:00:00"/>
    <x v="2"/>
    <n v="298"/>
    <s v="Pro06"/>
    <x v="2"/>
    <x v="0"/>
    <n v="0.1"/>
    <x v="4"/>
    <n v="7"/>
    <n v="9"/>
    <n v="79"/>
    <n v="2086"/>
    <n v="2413.8000000000002"/>
    <n v="327.80000000000018"/>
    <d v="1900-01-06T00:00:00"/>
    <x v="1"/>
  </r>
  <r>
    <x v="53"/>
    <x v="277"/>
    <x v="10"/>
    <d v="1987-03-27T00:00:00"/>
    <x v="2"/>
    <n v="307"/>
    <s v="Pro10"/>
    <x v="3"/>
    <x v="0"/>
    <n v="0.1"/>
    <x v="7"/>
    <n v="18"/>
    <n v="36"/>
    <n v="36"/>
    <n v="5526"/>
    <n v="9946.8000000000011"/>
    <n v="4420.8000000000011"/>
    <d v="1900-01-06T00:00:00"/>
    <x v="1"/>
  </r>
  <r>
    <x v="53"/>
    <x v="278"/>
    <x v="5"/>
    <d v="1996-02-21T00:00:00"/>
    <x v="2"/>
    <n v="31"/>
    <s v="Pro01"/>
    <x v="0"/>
    <x v="0"/>
    <n v="0.1"/>
    <x v="9"/>
    <n v="10"/>
    <n v="11"/>
    <n v="28"/>
    <n v="310"/>
    <n v="306.90000000000003"/>
    <n v="-3.0999999999999659"/>
    <d v="1900-01-06T00:00:00"/>
    <x v="1"/>
  </r>
  <r>
    <x v="54"/>
    <x v="279"/>
    <x v="1"/>
    <d v="1958-09-23T00:00:00"/>
    <x v="1"/>
    <n v="276"/>
    <s v="Pro03"/>
    <x v="1"/>
    <x v="0"/>
    <n v="0.1"/>
    <x v="10"/>
    <n v="3"/>
    <n v="5"/>
    <n v="65"/>
    <n v="828"/>
    <n v="1242"/>
    <n v="414"/>
    <d v="1899-12-31T00:00:00"/>
    <x v="1"/>
  </r>
  <r>
    <x v="54"/>
    <x v="280"/>
    <x v="9"/>
    <d v="1969-11-18T00:00:00"/>
    <x v="1"/>
    <n v="387"/>
    <s v="Pro06"/>
    <x v="2"/>
    <x v="0"/>
    <n v="0.1"/>
    <x v="4"/>
    <n v="7"/>
    <n v="9"/>
    <n v="54"/>
    <n v="2709"/>
    <n v="3134.7000000000003"/>
    <n v="425.70000000000027"/>
    <d v="1899-12-31T00:00:00"/>
    <x v="1"/>
  </r>
  <r>
    <x v="54"/>
    <x v="281"/>
    <x v="2"/>
    <d v="1980-02-13T00:00:00"/>
    <x v="0"/>
    <n v="74"/>
    <s v="Pro05"/>
    <x v="2"/>
    <x v="0"/>
    <n v="0.1"/>
    <x v="5"/>
    <n v="14"/>
    <n v="28"/>
    <n v="44"/>
    <n v="1036"/>
    <n v="1864.8"/>
    <n v="828.8"/>
    <d v="1899-12-31T00:00:00"/>
    <x v="1"/>
  </r>
  <r>
    <x v="54"/>
    <x v="282"/>
    <x v="3"/>
    <d v="1963-09-20T00:00:00"/>
    <x v="2"/>
    <n v="487"/>
    <s v="Pro08"/>
    <x v="2"/>
    <x v="0"/>
    <n v="0.1"/>
    <x v="6"/>
    <n v="5"/>
    <n v="7"/>
    <n v="60"/>
    <n v="2435"/>
    <n v="3068.1"/>
    <n v="633.09999999999991"/>
    <d v="1899-12-31T00:00:00"/>
    <x v="1"/>
  </r>
  <r>
    <x v="55"/>
    <x v="283"/>
    <x v="5"/>
    <d v="1978-02-25T00:00:00"/>
    <x v="3"/>
    <n v="432"/>
    <s v="Pro10"/>
    <x v="4"/>
    <x v="0"/>
    <n v="0.1"/>
    <x v="7"/>
    <n v="18"/>
    <n v="36"/>
    <n v="46"/>
    <n v="7776"/>
    <n v="13996.800000000001"/>
    <n v="6220.8000000000011"/>
    <d v="1900-01-01T00:00:00"/>
    <x v="0"/>
  </r>
  <r>
    <x v="55"/>
    <x v="284"/>
    <x v="0"/>
    <d v="2004-11-21T00:00:00"/>
    <x v="1"/>
    <n v="56"/>
    <s v="Pro04"/>
    <x v="1"/>
    <x v="0"/>
    <n v="0.1"/>
    <x v="1"/>
    <n v="10"/>
    <n v="14"/>
    <n v="19"/>
    <n v="560"/>
    <n v="705.6"/>
    <n v="145.60000000000002"/>
    <d v="1900-01-01T00:00:00"/>
    <x v="0"/>
  </r>
  <r>
    <x v="55"/>
    <x v="285"/>
    <x v="6"/>
    <d v="1966-11-03T00:00:00"/>
    <x v="0"/>
    <n v="495"/>
    <s v="Pro08"/>
    <x v="1"/>
    <x v="0"/>
    <n v="0.1"/>
    <x v="6"/>
    <n v="5"/>
    <n v="7"/>
    <n v="57"/>
    <n v="2475"/>
    <n v="3118.5"/>
    <n v="643.5"/>
    <d v="1900-01-01T00:00:00"/>
    <x v="0"/>
  </r>
  <r>
    <x v="56"/>
    <x v="286"/>
    <x v="0"/>
    <d v="1962-02-16T00:00:00"/>
    <x v="2"/>
    <n v="149"/>
    <s v="Pro03"/>
    <x v="1"/>
    <x v="1"/>
    <n v="0.1"/>
    <x v="10"/>
    <n v="3"/>
    <n v="5"/>
    <n v="62"/>
    <n v="447"/>
    <n v="670.5"/>
    <n v="223.5"/>
    <d v="1900-01-02T00:00:00"/>
    <x v="0"/>
  </r>
  <r>
    <x v="56"/>
    <x v="287"/>
    <x v="1"/>
    <d v="1960-09-19T00:00:00"/>
    <x v="1"/>
    <n v="223"/>
    <s v="Pro09"/>
    <x v="2"/>
    <x v="0"/>
    <n v="0.1"/>
    <x v="3"/>
    <n v="10"/>
    <n v="45"/>
    <n v="63"/>
    <n v="2230"/>
    <n v="9031.5"/>
    <n v="6801.5"/>
    <d v="1900-01-02T00:00:00"/>
    <x v="0"/>
  </r>
  <r>
    <x v="57"/>
    <x v="288"/>
    <x v="8"/>
    <d v="1945-08-02T00:00:00"/>
    <x v="0"/>
    <n v="265"/>
    <s v="Pro10"/>
    <x v="2"/>
    <x v="0"/>
    <n v="0.1"/>
    <x v="7"/>
    <n v="18"/>
    <n v="36"/>
    <n v="78"/>
    <n v="4770"/>
    <n v="8586"/>
    <n v="3816"/>
    <d v="1900-01-03T00:00:00"/>
    <x v="0"/>
  </r>
  <r>
    <x v="57"/>
    <x v="289"/>
    <x v="3"/>
    <d v="1963-11-19T00:00:00"/>
    <x v="1"/>
    <n v="242"/>
    <s v="Pro05"/>
    <x v="2"/>
    <x v="0"/>
    <n v="0.1"/>
    <x v="5"/>
    <n v="14"/>
    <n v="28"/>
    <n v="60"/>
    <n v="3388"/>
    <n v="6098.4000000000005"/>
    <n v="2710.4000000000005"/>
    <d v="1900-01-03T00:00:00"/>
    <x v="0"/>
  </r>
  <r>
    <x v="57"/>
    <x v="290"/>
    <x v="1"/>
    <d v="1979-06-19T00:00:00"/>
    <x v="3"/>
    <n v="76"/>
    <s v="Pro08"/>
    <x v="1"/>
    <x v="0"/>
    <n v="0.1"/>
    <x v="6"/>
    <n v="5"/>
    <n v="7"/>
    <n v="44"/>
    <n v="380"/>
    <n v="478.8"/>
    <n v="98.800000000000011"/>
    <d v="1900-01-03T00:00:00"/>
    <x v="0"/>
  </r>
  <r>
    <x v="57"/>
    <x v="291"/>
    <x v="7"/>
    <d v="1974-06-16T00:00:00"/>
    <x v="0"/>
    <n v="125"/>
    <s v="Pro05"/>
    <x v="4"/>
    <x v="0"/>
    <n v="0.1"/>
    <x v="5"/>
    <n v="14"/>
    <n v="28"/>
    <n v="49"/>
    <n v="1750"/>
    <n v="3150"/>
    <n v="1400"/>
    <d v="1900-01-03T00:00:00"/>
    <x v="0"/>
  </r>
  <r>
    <x v="58"/>
    <x v="292"/>
    <x v="8"/>
    <d v="1999-02-15T00:00:00"/>
    <x v="2"/>
    <n v="252"/>
    <s v="Pro09"/>
    <x v="4"/>
    <x v="0"/>
    <n v="0.1"/>
    <x v="3"/>
    <n v="10"/>
    <n v="45"/>
    <n v="25"/>
    <n v="2520"/>
    <n v="10206"/>
    <n v="7686"/>
    <d v="1900-01-04T00:00:00"/>
    <x v="0"/>
  </r>
  <r>
    <x v="58"/>
    <x v="293"/>
    <x v="9"/>
    <d v="1965-02-13T00:00:00"/>
    <x v="0"/>
    <n v="81"/>
    <s v="Pro05"/>
    <x v="5"/>
    <x v="0"/>
    <n v="0.1"/>
    <x v="5"/>
    <n v="14"/>
    <n v="28"/>
    <n v="59"/>
    <n v="1134"/>
    <n v="2041.2"/>
    <n v="907.2"/>
    <d v="1900-01-04T00:00:00"/>
    <x v="0"/>
  </r>
  <r>
    <x v="58"/>
    <x v="294"/>
    <x v="8"/>
    <d v="1946-05-30T00:00:00"/>
    <x v="1"/>
    <n v="414"/>
    <s v="Pro03"/>
    <x v="2"/>
    <x v="0"/>
    <n v="0.1"/>
    <x v="10"/>
    <n v="3"/>
    <n v="5"/>
    <n v="77"/>
    <n v="1242"/>
    <n v="1863"/>
    <n v="621"/>
    <d v="1900-01-04T00:00:00"/>
    <x v="0"/>
  </r>
  <r>
    <x v="58"/>
    <x v="295"/>
    <x v="5"/>
    <d v="1943-08-10T00:00:00"/>
    <x v="3"/>
    <n v="380"/>
    <s v="Pro09"/>
    <x v="1"/>
    <x v="0"/>
    <n v="0.1"/>
    <x v="3"/>
    <n v="10"/>
    <n v="45"/>
    <n v="80"/>
    <n v="3800"/>
    <n v="15390"/>
    <n v="11590"/>
    <d v="1900-01-04T00:00:00"/>
    <x v="0"/>
  </r>
  <r>
    <x v="58"/>
    <x v="296"/>
    <x v="6"/>
    <d v="1985-11-15T00:00:00"/>
    <x v="2"/>
    <n v="193"/>
    <s v="Pro09"/>
    <x v="4"/>
    <x v="0"/>
    <n v="0.1"/>
    <x v="3"/>
    <n v="10"/>
    <n v="45"/>
    <n v="38"/>
    <n v="1930"/>
    <n v="7816.5"/>
    <n v="5886.5"/>
    <d v="1900-01-04T00:00:00"/>
    <x v="0"/>
  </r>
  <r>
    <x v="59"/>
    <x v="297"/>
    <x v="10"/>
    <d v="1943-12-29T00:00:00"/>
    <x v="1"/>
    <n v="319"/>
    <s v="Pro01"/>
    <x v="1"/>
    <x v="0"/>
    <n v="0.1"/>
    <x v="9"/>
    <n v="10"/>
    <n v="11"/>
    <n v="80"/>
    <n v="3190"/>
    <n v="3158.1"/>
    <n v="-31.900000000000091"/>
    <d v="1900-01-05T00:00:00"/>
    <x v="0"/>
  </r>
  <r>
    <x v="59"/>
    <x v="298"/>
    <x v="10"/>
    <d v="1990-08-15T00:00:00"/>
    <x v="0"/>
    <n v="500"/>
    <s v="Pro02"/>
    <x v="1"/>
    <x v="0"/>
    <n v="0.1"/>
    <x v="8"/>
    <n v="18"/>
    <n v="22"/>
    <n v="33"/>
    <n v="9000"/>
    <n v="9900"/>
    <n v="900"/>
    <d v="1900-01-05T00:00:00"/>
    <x v="0"/>
  </r>
  <r>
    <x v="59"/>
    <x v="299"/>
    <x v="0"/>
    <d v="2003-06-30T00:00:00"/>
    <x v="2"/>
    <n v="103"/>
    <s v="Pro01"/>
    <x v="1"/>
    <x v="0"/>
    <n v="0.1"/>
    <x v="9"/>
    <n v="10"/>
    <n v="11"/>
    <n v="20"/>
    <n v="1030"/>
    <n v="1019.7"/>
    <n v="-10.299999999999955"/>
    <d v="1900-01-05T00:00:00"/>
    <x v="0"/>
  </r>
  <r>
    <x v="59"/>
    <x v="300"/>
    <x v="9"/>
    <d v="1985-06-24T00:00:00"/>
    <x v="1"/>
    <n v="229"/>
    <s v="Pro02"/>
    <x v="3"/>
    <x v="0"/>
    <n v="0.1"/>
    <x v="8"/>
    <n v="18"/>
    <n v="22"/>
    <n v="38"/>
    <n v="4122"/>
    <n v="4534.2"/>
    <n v="412.19999999999982"/>
    <d v="1900-01-05T00:00:00"/>
    <x v="0"/>
  </r>
  <r>
    <x v="59"/>
    <x v="301"/>
    <x v="10"/>
    <d v="2005-05-02T00:00:00"/>
    <x v="1"/>
    <n v="159"/>
    <s v="Pro03"/>
    <x v="2"/>
    <x v="0"/>
    <n v="0.1"/>
    <x v="10"/>
    <n v="3"/>
    <n v="5"/>
    <n v="18"/>
    <n v="477"/>
    <n v="715.5"/>
    <n v="238.5"/>
    <d v="1900-01-05T00:00:00"/>
    <x v="0"/>
  </r>
  <r>
    <x v="59"/>
    <x v="302"/>
    <x v="9"/>
    <d v="2001-03-02T00:00:00"/>
    <x v="0"/>
    <n v="184"/>
    <s v="Pro04"/>
    <x v="1"/>
    <x v="0"/>
    <n v="0.1"/>
    <x v="1"/>
    <n v="10"/>
    <n v="14"/>
    <n v="22"/>
    <n v="1840"/>
    <n v="2318.4"/>
    <n v="478.40000000000009"/>
    <d v="1900-01-05T00:00:00"/>
    <x v="0"/>
  </r>
  <r>
    <x v="60"/>
    <x v="303"/>
    <x v="5"/>
    <d v="1978-07-03T00:00:00"/>
    <x v="0"/>
    <n v="78"/>
    <s v="Pro09"/>
    <x v="5"/>
    <x v="0"/>
    <n v="0.1"/>
    <x v="3"/>
    <n v="10"/>
    <n v="45"/>
    <n v="45"/>
    <n v="780"/>
    <n v="3159"/>
    <n v="2379"/>
    <d v="1900-01-06T00:00:00"/>
    <x v="1"/>
  </r>
  <r>
    <x v="60"/>
    <x v="304"/>
    <x v="3"/>
    <d v="1970-05-17T00:00:00"/>
    <x v="1"/>
    <n v="349"/>
    <s v="Pro10"/>
    <x v="1"/>
    <x v="0"/>
    <n v="0.1"/>
    <x v="7"/>
    <n v="18"/>
    <n v="36"/>
    <n v="53"/>
    <n v="6282"/>
    <n v="11307.6"/>
    <n v="5025.6000000000004"/>
    <d v="1900-01-06T00:00:00"/>
    <x v="1"/>
  </r>
  <r>
    <x v="60"/>
    <x v="305"/>
    <x v="0"/>
    <d v="1989-04-12T00:00:00"/>
    <x v="3"/>
    <n v="244"/>
    <s v="Pro07"/>
    <x v="1"/>
    <x v="0"/>
    <n v="0.1"/>
    <x v="0"/>
    <n v="19"/>
    <n v="23"/>
    <n v="34"/>
    <n v="4636"/>
    <n v="5050.8"/>
    <n v="414.80000000000018"/>
    <d v="1900-01-06T00:00:00"/>
    <x v="1"/>
  </r>
  <r>
    <x v="61"/>
    <x v="306"/>
    <x v="0"/>
    <d v="1966-03-24T00:00:00"/>
    <x v="0"/>
    <n v="20"/>
    <s v="Pro10"/>
    <x v="3"/>
    <x v="0"/>
    <n v="0.1"/>
    <x v="7"/>
    <n v="18"/>
    <n v="36"/>
    <n v="57"/>
    <n v="360"/>
    <n v="648"/>
    <n v="288"/>
    <d v="1899-12-31T00:00:00"/>
    <x v="1"/>
  </r>
  <r>
    <x v="61"/>
    <x v="307"/>
    <x v="6"/>
    <d v="2005-04-19T00:00:00"/>
    <x v="3"/>
    <n v="284"/>
    <s v="Pro09"/>
    <x v="0"/>
    <x v="0"/>
    <n v="0.1"/>
    <x v="3"/>
    <n v="10"/>
    <n v="45"/>
    <n v="18"/>
    <n v="2840"/>
    <n v="11502"/>
    <n v="8662"/>
    <d v="1899-12-31T00:00:00"/>
    <x v="1"/>
  </r>
  <r>
    <x v="61"/>
    <x v="308"/>
    <x v="8"/>
    <d v="2004-04-24T00:00:00"/>
    <x v="3"/>
    <n v="351"/>
    <s v="Pro05"/>
    <x v="1"/>
    <x v="0"/>
    <n v="0.1"/>
    <x v="5"/>
    <n v="14"/>
    <n v="28"/>
    <n v="19"/>
    <n v="4914"/>
    <n v="8845.2000000000007"/>
    <n v="3931.2000000000007"/>
    <d v="1899-12-31T00:00:00"/>
    <x v="1"/>
  </r>
  <r>
    <x v="61"/>
    <x v="309"/>
    <x v="8"/>
    <d v="1978-09-02T00:00:00"/>
    <x v="0"/>
    <n v="207"/>
    <s v="Pro09"/>
    <x v="4"/>
    <x v="0"/>
    <n v="0.1"/>
    <x v="3"/>
    <n v="10"/>
    <n v="45"/>
    <n v="45"/>
    <n v="2070"/>
    <n v="8383.5"/>
    <n v="6313.5"/>
    <d v="1899-12-31T00:00:00"/>
    <x v="1"/>
  </r>
  <r>
    <x v="61"/>
    <x v="310"/>
    <x v="7"/>
    <d v="1947-09-30T00:00:00"/>
    <x v="2"/>
    <n v="319"/>
    <s v="Pro03"/>
    <x v="1"/>
    <x v="0"/>
    <n v="0.1"/>
    <x v="10"/>
    <n v="3"/>
    <n v="5"/>
    <n v="76"/>
    <n v="957"/>
    <n v="1435.5"/>
    <n v="478.5"/>
    <d v="1899-12-31T00:00:00"/>
    <x v="1"/>
  </r>
  <r>
    <x v="62"/>
    <x v="311"/>
    <x v="5"/>
    <d v="1978-03-09T00:00:00"/>
    <x v="2"/>
    <n v="440"/>
    <s v="Pro10"/>
    <x v="1"/>
    <x v="0"/>
    <n v="0.1"/>
    <x v="7"/>
    <n v="18"/>
    <n v="36"/>
    <n v="45"/>
    <n v="7920"/>
    <n v="14256"/>
    <n v="6336"/>
    <d v="1900-01-01T00:00:00"/>
    <x v="0"/>
  </r>
  <r>
    <x v="62"/>
    <x v="312"/>
    <x v="0"/>
    <d v="1948-05-10T00:00:00"/>
    <x v="0"/>
    <n v="492"/>
    <s v="Pro06"/>
    <x v="1"/>
    <x v="2"/>
    <n v="0.1"/>
    <x v="4"/>
    <n v="7"/>
    <n v="9"/>
    <n v="75"/>
    <n v="3444"/>
    <n v="3985.2000000000003"/>
    <n v="541.20000000000027"/>
    <d v="1900-01-01T00:00:00"/>
    <x v="0"/>
  </r>
  <r>
    <x v="62"/>
    <x v="313"/>
    <x v="8"/>
    <d v="1981-03-03T00:00:00"/>
    <x v="0"/>
    <n v="246"/>
    <s v="Pro06"/>
    <x v="2"/>
    <x v="0"/>
    <n v="0.1"/>
    <x v="4"/>
    <n v="7"/>
    <n v="9"/>
    <n v="43"/>
    <n v="1722"/>
    <n v="1992.6000000000001"/>
    <n v="270.60000000000014"/>
    <d v="1900-01-01T00:00:00"/>
    <x v="0"/>
  </r>
  <r>
    <x v="62"/>
    <x v="314"/>
    <x v="1"/>
    <d v="1957-12-22T00:00:00"/>
    <x v="2"/>
    <n v="475"/>
    <s v="Pro10"/>
    <x v="1"/>
    <x v="0"/>
    <n v="0.1"/>
    <x v="7"/>
    <n v="18"/>
    <n v="36"/>
    <n v="66"/>
    <n v="8550"/>
    <n v="15390"/>
    <n v="6840"/>
    <d v="1900-01-01T00:00:00"/>
    <x v="0"/>
  </r>
  <r>
    <x v="62"/>
    <x v="315"/>
    <x v="7"/>
    <d v="1966-10-15T00:00:00"/>
    <x v="0"/>
    <n v="252"/>
    <s v="Pro04"/>
    <x v="0"/>
    <x v="0"/>
    <n v="0.1"/>
    <x v="1"/>
    <n v="10"/>
    <n v="14"/>
    <n v="57"/>
    <n v="2520"/>
    <n v="3175.2000000000003"/>
    <n v="655.20000000000027"/>
    <d v="1900-01-01T00:00:00"/>
    <x v="0"/>
  </r>
  <r>
    <x v="63"/>
    <x v="316"/>
    <x v="9"/>
    <d v="1965-06-19T00:00:00"/>
    <x v="1"/>
    <n v="264"/>
    <s v="Pro05"/>
    <x v="1"/>
    <x v="0"/>
    <n v="0.1"/>
    <x v="5"/>
    <n v="14"/>
    <n v="28"/>
    <n v="58"/>
    <n v="3696"/>
    <n v="6652.8"/>
    <n v="2956.8"/>
    <d v="1900-01-02T00:00:00"/>
    <x v="0"/>
  </r>
  <r>
    <x v="63"/>
    <x v="317"/>
    <x v="1"/>
    <d v="1988-02-26T00:00:00"/>
    <x v="1"/>
    <n v="445"/>
    <s v="Unknown"/>
    <x v="2"/>
    <x v="0"/>
    <n v="0.1"/>
    <x v="2"/>
    <n v="0"/>
    <n v="0"/>
    <n v="36"/>
    <n v="0"/>
    <n v="0"/>
    <n v="0"/>
    <d v="1900-01-02T00:00:00"/>
    <x v="0"/>
  </r>
  <r>
    <x v="63"/>
    <x v="318"/>
    <x v="2"/>
    <s v="Unknown"/>
    <x v="1"/>
    <n v="158"/>
    <s v="Pro05"/>
    <x v="2"/>
    <x v="0"/>
    <n v="0.1"/>
    <x v="5"/>
    <n v="14"/>
    <n v="28"/>
    <e v="#VALUE!"/>
    <n v="2212"/>
    <n v="3981.6"/>
    <n v="1769.6"/>
    <d v="1900-01-02T00:00:00"/>
    <x v="0"/>
  </r>
  <r>
    <x v="63"/>
    <x v="319"/>
    <x v="7"/>
    <d v="1998-02-22T00:00:00"/>
    <x v="2"/>
    <n v="73"/>
    <s v="Pro04"/>
    <x v="2"/>
    <x v="0"/>
    <n v="0.1"/>
    <x v="1"/>
    <n v="10"/>
    <n v="14"/>
    <n v="26"/>
    <n v="730"/>
    <n v="919.80000000000007"/>
    <n v="189.80000000000007"/>
    <d v="1900-01-02T00:00:00"/>
    <x v="0"/>
  </r>
  <r>
    <x v="64"/>
    <x v="320"/>
    <x v="0"/>
    <d v="2003-07-13T00:00:00"/>
    <x v="3"/>
    <n v="82"/>
    <s v="Pro03"/>
    <x v="5"/>
    <x v="1"/>
    <n v="0.1"/>
    <x v="10"/>
    <n v="3"/>
    <n v="5"/>
    <n v="20"/>
    <n v="246"/>
    <n v="369"/>
    <n v="123"/>
    <d v="1900-01-03T00:00:00"/>
    <x v="0"/>
  </r>
  <r>
    <x v="64"/>
    <x v="321"/>
    <x v="0"/>
    <d v="1948-10-18T00:00:00"/>
    <x v="0"/>
    <n v="385"/>
    <s v="Pro06"/>
    <x v="2"/>
    <x v="0"/>
    <n v="0.1"/>
    <x v="4"/>
    <n v="7"/>
    <n v="9"/>
    <n v="75"/>
    <n v="2695"/>
    <n v="3118.5"/>
    <n v="423.5"/>
    <d v="1900-01-03T00:00:00"/>
    <x v="0"/>
  </r>
  <r>
    <x v="65"/>
    <x v="322"/>
    <x v="10"/>
    <d v="1972-04-23T00:00:00"/>
    <x v="0"/>
    <n v="241"/>
    <s v="Pro05"/>
    <x v="3"/>
    <x v="0"/>
    <n v="0.1"/>
    <x v="5"/>
    <n v="14"/>
    <n v="28"/>
    <n v="51"/>
    <n v="3374"/>
    <n v="6073.2"/>
    <n v="2699.2"/>
    <d v="1900-01-04T00:00:00"/>
    <x v="0"/>
  </r>
  <r>
    <x v="65"/>
    <x v="323"/>
    <x v="6"/>
    <d v="1952-03-16T00:00:00"/>
    <x v="2"/>
    <n v="483"/>
    <s v="Pro04"/>
    <x v="2"/>
    <x v="0"/>
    <n v="0.1"/>
    <x v="1"/>
    <n v="10"/>
    <n v="14"/>
    <n v="71"/>
    <n v="4830"/>
    <n v="6085.8"/>
    <n v="1255.8000000000002"/>
    <d v="1900-01-04T00:00:00"/>
    <x v="0"/>
  </r>
  <r>
    <x v="65"/>
    <x v="324"/>
    <x v="7"/>
    <d v="1985-12-30T00:00:00"/>
    <x v="3"/>
    <n v="283"/>
    <s v="Pro03"/>
    <x v="3"/>
    <x v="2"/>
    <n v="0.1"/>
    <x v="10"/>
    <n v="3"/>
    <n v="5"/>
    <n v="38"/>
    <n v="849"/>
    <n v="1273.5"/>
    <n v="424.5"/>
    <d v="1900-01-04T00:00:00"/>
    <x v="0"/>
  </r>
  <r>
    <x v="66"/>
    <x v="325"/>
    <x v="5"/>
    <d v="1972-09-27T00:00:00"/>
    <x v="3"/>
    <n v="346"/>
    <s v="Pro04"/>
    <x v="0"/>
    <x v="1"/>
    <n v="0.1"/>
    <x v="1"/>
    <n v="10"/>
    <n v="14"/>
    <n v="51"/>
    <n v="3460"/>
    <n v="4359.6000000000004"/>
    <n v="899.60000000000036"/>
    <d v="1900-01-05T00:00:00"/>
    <x v="0"/>
  </r>
  <r>
    <x v="66"/>
    <x v="326"/>
    <x v="3"/>
    <d v="1973-07-20T00:00:00"/>
    <x v="1"/>
    <n v="455"/>
    <s v="Pro04"/>
    <x v="2"/>
    <x v="0"/>
    <n v="0.1"/>
    <x v="1"/>
    <n v="10"/>
    <n v="14"/>
    <n v="50"/>
    <n v="4550"/>
    <n v="5733"/>
    <n v="1183"/>
    <d v="1900-01-05T00:00:00"/>
    <x v="0"/>
  </r>
  <r>
    <x v="66"/>
    <x v="327"/>
    <x v="6"/>
    <d v="1981-04-13T00:00:00"/>
    <x v="0"/>
    <n v="361"/>
    <s v="Pro06"/>
    <x v="2"/>
    <x v="0"/>
    <n v="0.1"/>
    <x v="4"/>
    <n v="7"/>
    <n v="9"/>
    <n v="42"/>
    <n v="2527"/>
    <n v="2924.1"/>
    <n v="397.09999999999991"/>
    <d v="1900-01-05T00:00:00"/>
    <x v="0"/>
  </r>
  <r>
    <x v="66"/>
    <x v="328"/>
    <x v="2"/>
    <d v="1999-10-31T00:00:00"/>
    <x v="3"/>
    <n v="103"/>
    <s v="Pro02"/>
    <x v="3"/>
    <x v="0"/>
    <n v="0.1"/>
    <x v="8"/>
    <n v="18"/>
    <n v="22"/>
    <n v="24"/>
    <n v="1854"/>
    <n v="2039.4"/>
    <n v="185.40000000000009"/>
    <d v="1900-01-05T00:00:00"/>
    <x v="0"/>
  </r>
  <r>
    <x v="66"/>
    <x v="329"/>
    <x v="3"/>
    <d v="1959-02-26T00:00:00"/>
    <x v="3"/>
    <n v="210"/>
    <s v="Pro05"/>
    <x v="1"/>
    <x v="0"/>
    <n v="0.1"/>
    <x v="5"/>
    <n v="14"/>
    <n v="28"/>
    <n v="65"/>
    <n v="2940"/>
    <n v="5292"/>
    <n v="2352"/>
    <d v="1900-01-05T00:00:00"/>
    <x v="0"/>
  </r>
  <r>
    <x v="66"/>
    <x v="330"/>
    <x v="8"/>
    <d v="1988-03-08T00:00:00"/>
    <x v="2"/>
    <n v="355"/>
    <s v="Pro07"/>
    <x v="3"/>
    <x v="0"/>
    <n v="0.1"/>
    <x v="0"/>
    <n v="19"/>
    <n v="23"/>
    <n v="36"/>
    <n v="6745"/>
    <n v="7348.5"/>
    <n v="603.5"/>
    <d v="1900-01-05T00:00:00"/>
    <x v="0"/>
  </r>
  <r>
    <x v="66"/>
    <x v="331"/>
    <x v="7"/>
    <d v="1990-11-14T00:00:00"/>
    <x v="0"/>
    <n v="342"/>
    <s v="Pro10"/>
    <x v="0"/>
    <x v="0"/>
    <n v="0.1"/>
    <x v="7"/>
    <n v="18"/>
    <n v="36"/>
    <n v="33"/>
    <n v="6156"/>
    <n v="11080.800000000001"/>
    <n v="4924.8000000000011"/>
    <d v="1900-01-05T00:00:00"/>
    <x v="0"/>
  </r>
  <r>
    <x v="66"/>
    <x v="332"/>
    <x v="0"/>
    <d v="1979-07-05T00:00:00"/>
    <x v="2"/>
    <n v="319"/>
    <s v="Pro07"/>
    <x v="1"/>
    <x v="0"/>
    <n v="0.1"/>
    <x v="0"/>
    <n v="19"/>
    <n v="23"/>
    <n v="44"/>
    <n v="6061"/>
    <n v="6603.3"/>
    <n v="542.30000000000018"/>
    <d v="1900-01-05T00:00:00"/>
    <x v="0"/>
  </r>
  <r>
    <x v="66"/>
    <x v="333"/>
    <x v="0"/>
    <d v="1950-10-06T00:00:00"/>
    <x v="0"/>
    <n v="350"/>
    <s v="Pro04"/>
    <x v="2"/>
    <x v="0"/>
    <n v="0.1"/>
    <x v="1"/>
    <n v="10"/>
    <n v="14"/>
    <n v="73"/>
    <n v="3500"/>
    <n v="4410"/>
    <n v="910"/>
    <d v="1900-01-05T00:00:00"/>
    <x v="0"/>
  </r>
  <r>
    <x v="67"/>
    <x v="334"/>
    <x v="7"/>
    <d v="1966-12-27T00:00:00"/>
    <x v="2"/>
    <n v="181"/>
    <s v="Pro06"/>
    <x v="5"/>
    <x v="0"/>
    <n v="0.1"/>
    <x v="4"/>
    <n v="7"/>
    <n v="9"/>
    <n v="57"/>
    <n v="1267"/>
    <n v="1466.1000000000001"/>
    <n v="199.10000000000014"/>
    <d v="1900-01-06T00:00:00"/>
    <x v="1"/>
  </r>
  <r>
    <x v="67"/>
    <x v="335"/>
    <x v="9"/>
    <d v="1992-03-08T00:00:00"/>
    <x v="0"/>
    <n v="444"/>
    <s v="Pro06"/>
    <x v="2"/>
    <x v="0"/>
    <n v="0.1"/>
    <x v="4"/>
    <n v="7"/>
    <n v="9"/>
    <n v="32"/>
    <n v="3108"/>
    <n v="3596.4"/>
    <n v="488.40000000000009"/>
    <d v="1900-01-06T00:00:00"/>
    <x v="1"/>
  </r>
  <r>
    <x v="67"/>
    <x v="336"/>
    <x v="3"/>
    <d v="1984-01-29T00:00:00"/>
    <x v="1"/>
    <n v="143"/>
    <s v="Unknown"/>
    <x v="4"/>
    <x v="0"/>
    <n v="0.1"/>
    <x v="2"/>
    <n v="0"/>
    <n v="0"/>
    <n v="40"/>
    <n v="0"/>
    <n v="0"/>
    <n v="0"/>
    <d v="1900-01-06T00:00:00"/>
    <x v="1"/>
  </r>
  <r>
    <x v="67"/>
    <x v="337"/>
    <x v="9"/>
    <d v="1984-07-15T00:00:00"/>
    <x v="1"/>
    <n v="311"/>
    <s v="Pro10"/>
    <x v="1"/>
    <x v="0"/>
    <n v="0.1"/>
    <x v="7"/>
    <n v="18"/>
    <n v="36"/>
    <n v="39"/>
    <n v="5598"/>
    <n v="10076.4"/>
    <n v="4478.3999999999996"/>
    <d v="1900-01-06T00:00:00"/>
    <x v="1"/>
  </r>
  <r>
    <x v="67"/>
    <x v="338"/>
    <x v="2"/>
    <d v="1955-05-21T00:00:00"/>
    <x v="3"/>
    <n v="34"/>
    <s v="Pro01"/>
    <x v="2"/>
    <x v="0"/>
    <n v="0.1"/>
    <x v="9"/>
    <n v="10"/>
    <n v="11"/>
    <n v="68"/>
    <n v="340"/>
    <n v="336.6"/>
    <n v="-3.3999999999999773"/>
    <d v="1900-01-06T00:00:00"/>
    <x v="1"/>
  </r>
  <r>
    <x v="68"/>
    <x v="339"/>
    <x v="10"/>
    <d v="1986-01-28T00:00:00"/>
    <x v="2"/>
    <n v="500"/>
    <s v="Pro10"/>
    <x v="2"/>
    <x v="1"/>
    <n v="0.1"/>
    <x v="7"/>
    <n v="18"/>
    <n v="36"/>
    <n v="38"/>
    <n v="9000"/>
    <n v="16200"/>
    <n v="7200"/>
    <d v="1899-12-31T00:00:00"/>
    <x v="1"/>
  </r>
  <r>
    <x v="68"/>
    <x v="340"/>
    <x v="3"/>
    <d v="1995-12-30T00:00:00"/>
    <x v="1"/>
    <n v="150"/>
    <s v="Pro09"/>
    <x v="1"/>
    <x v="1"/>
    <n v="0.1"/>
    <x v="3"/>
    <n v="10"/>
    <n v="45"/>
    <n v="28"/>
    <n v="1500"/>
    <n v="6075"/>
    <n v="4575"/>
    <d v="1899-12-31T00:00:00"/>
    <x v="1"/>
  </r>
  <r>
    <x v="68"/>
    <x v="341"/>
    <x v="8"/>
    <d v="1991-11-17T00:00:00"/>
    <x v="3"/>
    <n v="77"/>
    <s v="Pro06"/>
    <x v="0"/>
    <x v="0"/>
    <n v="0.1"/>
    <x v="4"/>
    <n v="7"/>
    <n v="9"/>
    <n v="32"/>
    <n v="539"/>
    <n v="623.70000000000005"/>
    <n v="84.700000000000045"/>
    <d v="1899-12-31T00:00:00"/>
    <x v="1"/>
  </r>
  <r>
    <x v="68"/>
    <x v="342"/>
    <x v="8"/>
    <d v="1978-05-10T00:00:00"/>
    <x v="1"/>
    <n v="381"/>
    <s v="Pro02"/>
    <x v="2"/>
    <x v="0"/>
    <n v="0.1"/>
    <x v="8"/>
    <n v="18"/>
    <n v="22"/>
    <n v="45"/>
    <n v="6858"/>
    <n v="7543.8"/>
    <n v="685.80000000000018"/>
    <d v="1899-12-31T00:00:00"/>
    <x v="1"/>
  </r>
  <r>
    <x v="68"/>
    <x v="343"/>
    <x v="4"/>
    <s v="Unknown"/>
    <x v="3"/>
    <n v="329"/>
    <s v="Pro01"/>
    <x v="3"/>
    <x v="2"/>
    <n v="0.1"/>
    <x v="9"/>
    <n v="10"/>
    <n v="11"/>
    <e v="#VALUE!"/>
    <n v="3290"/>
    <n v="3257.1"/>
    <n v="-32.900000000000091"/>
    <d v="1899-12-31T00:00:00"/>
    <x v="1"/>
  </r>
  <r>
    <x v="69"/>
    <x v="344"/>
    <x v="5"/>
    <d v="1981-03-27T00:00:00"/>
    <x v="1"/>
    <n v="117"/>
    <s v="Pro03"/>
    <x v="0"/>
    <x v="0"/>
    <n v="0.1"/>
    <x v="10"/>
    <n v="3"/>
    <n v="5"/>
    <n v="42"/>
    <n v="351"/>
    <n v="526.5"/>
    <n v="175.5"/>
    <d v="1900-01-01T00:00:00"/>
    <x v="0"/>
  </r>
  <r>
    <x v="69"/>
    <x v="345"/>
    <x v="1"/>
    <d v="1991-01-31T00:00:00"/>
    <x v="3"/>
    <n v="107"/>
    <s v="Pro05"/>
    <x v="3"/>
    <x v="0"/>
    <n v="0.1"/>
    <x v="5"/>
    <n v="14"/>
    <n v="28"/>
    <n v="33"/>
    <n v="1498"/>
    <n v="2696.4"/>
    <n v="1198.4000000000001"/>
    <d v="1900-01-01T00:00:00"/>
    <x v="0"/>
  </r>
  <r>
    <x v="69"/>
    <x v="346"/>
    <x v="1"/>
    <d v="1989-01-27T00:00:00"/>
    <x v="1"/>
    <n v="479"/>
    <s v="Pro05"/>
    <x v="2"/>
    <x v="0"/>
    <n v="0.1"/>
    <x v="5"/>
    <n v="14"/>
    <n v="28"/>
    <n v="35"/>
    <n v="6706"/>
    <n v="12070.800000000001"/>
    <n v="5364.8000000000011"/>
    <d v="1900-01-01T00:00:00"/>
    <x v="0"/>
  </r>
  <r>
    <x v="70"/>
    <x v="347"/>
    <x v="7"/>
    <d v="1946-12-07T00:00:00"/>
    <x v="1"/>
    <n v="122"/>
    <s v="Pro02"/>
    <x v="2"/>
    <x v="1"/>
    <n v="0.1"/>
    <x v="8"/>
    <n v="18"/>
    <n v="22"/>
    <n v="77"/>
    <n v="2196"/>
    <n v="2415.6"/>
    <n v="219.59999999999991"/>
    <d v="1900-01-02T00:00:00"/>
    <x v="0"/>
  </r>
  <r>
    <x v="70"/>
    <x v="348"/>
    <x v="0"/>
    <d v="1956-08-19T00:00:00"/>
    <x v="1"/>
    <n v="115"/>
    <s v="Pro07"/>
    <x v="1"/>
    <x v="0"/>
    <n v="0.1"/>
    <x v="0"/>
    <n v="19"/>
    <n v="23"/>
    <n v="67"/>
    <n v="2185"/>
    <n v="2380.5"/>
    <n v="195.5"/>
    <d v="1900-01-02T00:00:00"/>
    <x v="0"/>
  </r>
  <r>
    <x v="70"/>
    <x v="349"/>
    <x v="5"/>
    <d v="1980-08-11T00:00:00"/>
    <x v="2"/>
    <n v="331"/>
    <s v="Pro03"/>
    <x v="1"/>
    <x v="0"/>
    <n v="0.1"/>
    <x v="10"/>
    <n v="3"/>
    <n v="5"/>
    <n v="43"/>
    <n v="993"/>
    <n v="1489.5"/>
    <n v="496.5"/>
    <d v="1900-01-02T00:00:00"/>
    <x v="0"/>
  </r>
  <r>
    <x v="70"/>
    <x v="350"/>
    <x v="8"/>
    <d v="1998-10-21T00:00:00"/>
    <x v="1"/>
    <n v="430"/>
    <s v="Pro08"/>
    <x v="1"/>
    <x v="0"/>
    <n v="0.1"/>
    <x v="6"/>
    <n v="5"/>
    <n v="7"/>
    <n v="25"/>
    <n v="2150"/>
    <n v="2709"/>
    <n v="559"/>
    <d v="1900-01-02T00:00:00"/>
    <x v="0"/>
  </r>
  <r>
    <x v="70"/>
    <x v="351"/>
    <x v="7"/>
    <d v="1987-05-08T00:00:00"/>
    <x v="0"/>
    <n v="471"/>
    <s v="Pro10"/>
    <x v="0"/>
    <x v="0"/>
    <n v="0.1"/>
    <x v="7"/>
    <n v="18"/>
    <n v="36"/>
    <n v="36"/>
    <n v="8478"/>
    <n v="15260.4"/>
    <n v="6782.4"/>
    <d v="1900-01-02T00:00:00"/>
    <x v="0"/>
  </r>
  <r>
    <x v="70"/>
    <x v="352"/>
    <x v="5"/>
    <d v="1945-10-30T00:00:00"/>
    <x v="1"/>
    <n v="490"/>
    <s v="Pro01"/>
    <x v="2"/>
    <x v="0"/>
    <n v="0.1"/>
    <x v="9"/>
    <n v="10"/>
    <n v="11"/>
    <n v="78"/>
    <n v="4900"/>
    <n v="4851"/>
    <n v="-49"/>
    <d v="1900-01-02T00:00:00"/>
    <x v="0"/>
  </r>
  <r>
    <x v="71"/>
    <x v="353"/>
    <x v="2"/>
    <d v="1956-12-13T00:00:00"/>
    <x v="1"/>
    <n v="195"/>
    <s v="Pro06"/>
    <x v="2"/>
    <x v="0"/>
    <n v="0.1"/>
    <x v="4"/>
    <n v="7"/>
    <n v="9"/>
    <n v="67"/>
    <n v="1365"/>
    <n v="1579.5"/>
    <n v="214.5"/>
    <d v="1900-01-03T00:00:00"/>
    <x v="0"/>
  </r>
  <r>
    <x v="71"/>
    <x v="354"/>
    <x v="5"/>
    <d v="2002-04-01T00:00:00"/>
    <x v="1"/>
    <n v="458"/>
    <s v="Pro10"/>
    <x v="2"/>
    <x v="0"/>
    <n v="0.1"/>
    <x v="7"/>
    <n v="18"/>
    <n v="36"/>
    <n v="21"/>
    <n v="8244"/>
    <n v="14839.2"/>
    <n v="6595.2000000000007"/>
    <d v="1900-01-03T00:00:00"/>
    <x v="0"/>
  </r>
  <r>
    <x v="71"/>
    <x v="355"/>
    <x v="9"/>
    <d v="2000-10-21T00:00:00"/>
    <x v="1"/>
    <n v="53"/>
    <s v="Pro05"/>
    <x v="2"/>
    <x v="2"/>
    <n v="0.1"/>
    <x v="5"/>
    <n v="14"/>
    <n v="28"/>
    <n v="23"/>
    <n v="742"/>
    <n v="1335.6000000000001"/>
    <n v="593.60000000000014"/>
    <d v="1900-01-03T00:00:00"/>
    <x v="0"/>
  </r>
  <r>
    <x v="71"/>
    <x v="356"/>
    <x v="8"/>
    <d v="1951-10-09T00:00:00"/>
    <x v="3"/>
    <n v="391"/>
    <s v="Pro07"/>
    <x v="1"/>
    <x v="0"/>
    <n v="0.1"/>
    <x v="0"/>
    <n v="19"/>
    <n v="23"/>
    <n v="72"/>
    <n v="7429"/>
    <n v="8093.7"/>
    <n v="664.69999999999982"/>
    <d v="1900-01-03T00:00:00"/>
    <x v="0"/>
  </r>
  <r>
    <x v="72"/>
    <x v="357"/>
    <x v="6"/>
    <d v="1973-06-08T00:00:00"/>
    <x v="1"/>
    <n v="200"/>
    <s v="Pro06"/>
    <x v="3"/>
    <x v="0"/>
    <n v="0.1"/>
    <x v="4"/>
    <n v="7"/>
    <n v="9"/>
    <n v="50"/>
    <n v="1400"/>
    <n v="1620"/>
    <n v="220"/>
    <d v="1900-01-04T00:00:00"/>
    <x v="0"/>
  </r>
  <r>
    <x v="72"/>
    <x v="358"/>
    <x v="6"/>
    <d v="1979-10-26T00:00:00"/>
    <x v="3"/>
    <n v="203"/>
    <s v="Pro02"/>
    <x v="3"/>
    <x v="0"/>
    <n v="0.1"/>
    <x v="8"/>
    <n v="18"/>
    <n v="22"/>
    <n v="44"/>
    <n v="3654"/>
    <n v="4019.4"/>
    <n v="365.40000000000009"/>
    <d v="1900-01-04T00:00:00"/>
    <x v="0"/>
  </r>
  <r>
    <x v="72"/>
    <x v="359"/>
    <x v="7"/>
    <d v="1991-09-13T00:00:00"/>
    <x v="1"/>
    <n v="446"/>
    <s v="Pro05"/>
    <x v="2"/>
    <x v="0"/>
    <n v="0.1"/>
    <x v="5"/>
    <n v="14"/>
    <n v="28"/>
    <n v="32"/>
    <n v="6244"/>
    <n v="11239.2"/>
    <n v="4995.2000000000007"/>
    <d v="1900-01-04T00:00:00"/>
    <x v="0"/>
  </r>
  <r>
    <x v="73"/>
    <x v="360"/>
    <x v="2"/>
    <d v="1980-05-05T00:00:00"/>
    <x v="1"/>
    <n v="370"/>
    <s v="Pro09"/>
    <x v="6"/>
    <x v="2"/>
    <n v="0.1"/>
    <x v="3"/>
    <n v="10"/>
    <n v="45"/>
    <n v="43"/>
    <n v="3700"/>
    <n v="14985"/>
    <n v="11285"/>
    <d v="1900-01-05T00:00:00"/>
    <x v="0"/>
  </r>
  <r>
    <x v="73"/>
    <x v="361"/>
    <x v="6"/>
    <d v="1947-02-02T00:00:00"/>
    <x v="1"/>
    <n v="218"/>
    <s v="Pro07"/>
    <x v="1"/>
    <x v="0"/>
    <n v="0.1"/>
    <x v="0"/>
    <n v="19"/>
    <n v="23"/>
    <n v="77"/>
    <n v="4142"/>
    <n v="4512.6000000000004"/>
    <n v="370.60000000000036"/>
    <d v="1900-01-05T00:00:00"/>
    <x v="0"/>
  </r>
  <r>
    <x v="73"/>
    <x v="362"/>
    <x v="5"/>
    <d v="1944-01-03T00:00:00"/>
    <x v="2"/>
    <n v="31"/>
    <s v="Pro01"/>
    <x v="1"/>
    <x v="0"/>
    <n v="0.1"/>
    <x v="9"/>
    <n v="10"/>
    <n v="11"/>
    <n v="80"/>
    <n v="310"/>
    <n v="306.90000000000003"/>
    <n v="-3.0999999999999659"/>
    <d v="1900-01-05T00:00:00"/>
    <x v="0"/>
  </r>
  <r>
    <x v="74"/>
    <x v="363"/>
    <x v="3"/>
    <d v="1971-03-04T00:00:00"/>
    <x v="2"/>
    <n v="99"/>
    <s v="Pro06"/>
    <x v="1"/>
    <x v="0"/>
    <n v="0.1"/>
    <x v="4"/>
    <n v="7"/>
    <n v="9"/>
    <n v="53"/>
    <n v="693"/>
    <n v="801.9"/>
    <n v="108.89999999999998"/>
    <d v="1900-01-06T00:00:00"/>
    <x v="1"/>
  </r>
  <r>
    <x v="74"/>
    <x v="364"/>
    <x v="5"/>
    <d v="1969-04-22T00:00:00"/>
    <x v="3"/>
    <n v="162"/>
    <s v="Pro03"/>
    <x v="8"/>
    <x v="0"/>
    <n v="0.1"/>
    <x v="10"/>
    <n v="3"/>
    <n v="5"/>
    <n v="54"/>
    <n v="486"/>
    <n v="729"/>
    <n v="243"/>
    <d v="1900-01-06T00:00:00"/>
    <x v="1"/>
  </r>
  <r>
    <x v="74"/>
    <x v="365"/>
    <x v="2"/>
    <d v="1969-03-17T00:00:00"/>
    <x v="2"/>
    <n v="214"/>
    <s v="Pro09"/>
    <x v="5"/>
    <x v="0"/>
    <n v="0.1"/>
    <x v="3"/>
    <n v="10"/>
    <n v="45"/>
    <n v="54"/>
    <n v="2140"/>
    <n v="8667"/>
    <n v="6527"/>
    <d v="1900-01-06T00:00:00"/>
    <x v="1"/>
  </r>
  <r>
    <x v="75"/>
    <x v="366"/>
    <x v="5"/>
    <d v="2001-03-03T00:00:00"/>
    <x v="1"/>
    <n v="346"/>
    <s v="Pro01"/>
    <x v="0"/>
    <x v="0"/>
    <n v="0.1"/>
    <x v="9"/>
    <n v="10"/>
    <n v="11"/>
    <n v="23"/>
    <n v="3460"/>
    <n v="3425.4"/>
    <n v="-34.599999999999909"/>
    <d v="1899-12-31T00:00:00"/>
    <x v="1"/>
  </r>
  <r>
    <x v="75"/>
    <x v="367"/>
    <x v="1"/>
    <d v="1990-04-25T00:00:00"/>
    <x v="0"/>
    <n v="473"/>
    <s v="Pro07"/>
    <x v="3"/>
    <x v="0"/>
    <n v="0.1"/>
    <x v="0"/>
    <n v="19"/>
    <n v="23"/>
    <n v="33"/>
    <n v="8987"/>
    <n v="9791.1"/>
    <n v="804.10000000000036"/>
    <d v="1899-12-31T00:00:00"/>
    <x v="1"/>
  </r>
  <r>
    <x v="75"/>
    <x v="368"/>
    <x v="2"/>
    <d v="1956-03-30T00:00:00"/>
    <x v="0"/>
    <n v="447"/>
    <s v="Pro02"/>
    <x v="5"/>
    <x v="0"/>
    <n v="0.1"/>
    <x v="8"/>
    <n v="18"/>
    <n v="22"/>
    <n v="67"/>
    <n v="8046"/>
    <n v="8850.6"/>
    <n v="804.60000000000036"/>
    <d v="1899-12-31T00:00:00"/>
    <x v="1"/>
  </r>
  <r>
    <x v="76"/>
    <x v="369"/>
    <x v="8"/>
    <d v="1953-06-26T00:00:00"/>
    <x v="0"/>
    <n v="28"/>
    <s v="Pro05"/>
    <x v="3"/>
    <x v="0"/>
    <n v="0.1"/>
    <x v="5"/>
    <n v="14"/>
    <n v="28"/>
    <n v="70"/>
    <n v="392"/>
    <n v="705.6"/>
    <n v="313.60000000000002"/>
    <d v="1900-01-01T00:00:00"/>
    <x v="0"/>
  </r>
  <r>
    <x v="76"/>
    <x v="370"/>
    <x v="1"/>
    <d v="1968-12-16T00:00:00"/>
    <x v="2"/>
    <n v="182"/>
    <s v="Pro07"/>
    <x v="0"/>
    <x v="0"/>
    <n v="0.1"/>
    <x v="0"/>
    <n v="19"/>
    <n v="23"/>
    <n v="55"/>
    <n v="3458"/>
    <n v="3767.4"/>
    <n v="309.40000000000009"/>
    <d v="1900-01-01T00:00:00"/>
    <x v="0"/>
  </r>
  <r>
    <x v="77"/>
    <x v="371"/>
    <x v="2"/>
    <d v="1957-10-21T00:00:00"/>
    <x v="0"/>
    <n v="323"/>
    <s v="Pro06"/>
    <x v="1"/>
    <x v="0"/>
    <n v="0.1"/>
    <x v="4"/>
    <n v="7"/>
    <n v="9"/>
    <n v="66"/>
    <n v="2261"/>
    <n v="2616.3000000000002"/>
    <n v="355.30000000000018"/>
    <d v="1900-01-02T00:00:00"/>
    <x v="0"/>
  </r>
  <r>
    <x v="77"/>
    <x v="372"/>
    <x v="9"/>
    <d v="1948-09-12T00:00:00"/>
    <x v="2"/>
    <n v="308"/>
    <s v="Pro10"/>
    <x v="1"/>
    <x v="0"/>
    <n v="0.1"/>
    <x v="7"/>
    <n v="18"/>
    <n v="36"/>
    <n v="75"/>
    <n v="5544"/>
    <n v="9979.2000000000007"/>
    <n v="4435.2000000000007"/>
    <d v="1900-01-02T00:00:00"/>
    <x v="0"/>
  </r>
  <r>
    <x v="77"/>
    <x v="373"/>
    <x v="5"/>
    <d v="1973-05-23T00:00:00"/>
    <x v="3"/>
    <n v="360"/>
    <s v="Pro01"/>
    <x v="2"/>
    <x v="0"/>
    <n v="0.1"/>
    <x v="9"/>
    <n v="10"/>
    <n v="11"/>
    <n v="50"/>
    <n v="3600"/>
    <n v="3564"/>
    <n v="-36"/>
    <d v="1900-01-02T00:00:00"/>
    <x v="0"/>
  </r>
  <r>
    <x v="77"/>
    <x v="374"/>
    <x v="1"/>
    <d v="1960-01-11T00:00:00"/>
    <x v="0"/>
    <n v="313"/>
    <s v="Pro09"/>
    <x v="4"/>
    <x v="0"/>
    <n v="0.1"/>
    <x v="3"/>
    <n v="10"/>
    <n v="45"/>
    <n v="64"/>
    <n v="3130"/>
    <n v="12676.5"/>
    <n v="9546.5"/>
    <d v="1900-01-02T00:00:00"/>
    <x v="0"/>
  </r>
  <r>
    <x v="77"/>
    <x v="375"/>
    <x v="8"/>
    <d v="1954-11-12T00:00:00"/>
    <x v="2"/>
    <n v="114"/>
    <s v="Pro05"/>
    <x v="2"/>
    <x v="0"/>
    <n v="0.1"/>
    <x v="5"/>
    <n v="14"/>
    <n v="28"/>
    <n v="69"/>
    <n v="1596"/>
    <n v="2872.8"/>
    <n v="1276.8000000000002"/>
    <d v="1900-01-02T00:00:00"/>
    <x v="0"/>
  </r>
  <r>
    <x v="78"/>
    <x v="376"/>
    <x v="2"/>
    <d v="1998-09-18T00:00:00"/>
    <x v="0"/>
    <n v="385"/>
    <s v="Pro04"/>
    <x v="2"/>
    <x v="1"/>
    <n v="0.1"/>
    <x v="1"/>
    <n v="10"/>
    <n v="14"/>
    <n v="25"/>
    <n v="3850"/>
    <n v="4851"/>
    <n v="1001"/>
    <d v="1900-01-03T00:00:00"/>
    <x v="0"/>
  </r>
  <r>
    <x v="78"/>
    <x v="377"/>
    <x v="6"/>
    <d v="1966-09-23T00:00:00"/>
    <x v="2"/>
    <n v="66"/>
    <s v="Pro08"/>
    <x v="1"/>
    <x v="0"/>
    <n v="0.1"/>
    <x v="6"/>
    <n v="5"/>
    <n v="7"/>
    <n v="57"/>
    <n v="330"/>
    <n v="415.8"/>
    <n v="85.800000000000011"/>
    <d v="1900-01-03T00:00:00"/>
    <x v="0"/>
  </r>
  <r>
    <x v="78"/>
    <x v="378"/>
    <x v="10"/>
    <d v="1972-06-22T00:00:00"/>
    <x v="1"/>
    <n v="405"/>
    <s v="Pro10"/>
    <x v="2"/>
    <x v="0"/>
    <n v="0.1"/>
    <x v="7"/>
    <n v="18"/>
    <n v="36"/>
    <n v="51"/>
    <n v="7290"/>
    <n v="13122"/>
    <n v="5832"/>
    <d v="1900-01-03T00:00:00"/>
    <x v="0"/>
  </r>
  <r>
    <x v="78"/>
    <x v="379"/>
    <x v="5"/>
    <d v="1991-12-16T00:00:00"/>
    <x v="0"/>
    <n v="306"/>
    <s v="Pro01"/>
    <x v="0"/>
    <x v="0"/>
    <n v="0.1"/>
    <x v="9"/>
    <n v="10"/>
    <n v="11"/>
    <n v="32"/>
    <n v="3060"/>
    <n v="3029.4"/>
    <n v="-30.599999999999909"/>
    <d v="1900-01-03T00:00:00"/>
    <x v="0"/>
  </r>
  <r>
    <x v="78"/>
    <x v="380"/>
    <x v="0"/>
    <d v="1973-03-07T00:00:00"/>
    <x v="0"/>
    <n v="472"/>
    <s v="Pro06"/>
    <x v="3"/>
    <x v="0"/>
    <n v="0.1"/>
    <x v="4"/>
    <n v="7"/>
    <n v="9"/>
    <n v="51"/>
    <n v="3304"/>
    <n v="3823.2000000000003"/>
    <n v="519.20000000000027"/>
    <d v="1900-01-03T00:00:00"/>
    <x v="0"/>
  </r>
  <r>
    <x v="79"/>
    <x v="381"/>
    <x v="4"/>
    <d v="2004-10-18T00:00:00"/>
    <x v="3"/>
    <n v="209"/>
    <s v="Pro02"/>
    <x v="0"/>
    <x v="0"/>
    <n v="0.1"/>
    <x v="8"/>
    <n v="18"/>
    <n v="22"/>
    <n v="19"/>
    <n v="3762"/>
    <n v="4138.2"/>
    <n v="376.19999999999982"/>
    <d v="1900-01-04T00:00:00"/>
    <x v="0"/>
  </r>
  <r>
    <x v="79"/>
    <x v="382"/>
    <x v="8"/>
    <d v="1982-09-16T00:00:00"/>
    <x v="3"/>
    <n v="205"/>
    <s v="Pro10"/>
    <x v="1"/>
    <x v="0"/>
    <n v="0.1"/>
    <x v="7"/>
    <n v="18"/>
    <n v="36"/>
    <n v="41"/>
    <n v="3690"/>
    <n v="6642"/>
    <n v="2952"/>
    <d v="1900-01-04T00:00:00"/>
    <x v="0"/>
  </r>
  <r>
    <x v="79"/>
    <x v="383"/>
    <x v="6"/>
    <d v="1946-06-08T00:00:00"/>
    <x v="1"/>
    <n v="472"/>
    <s v="Pro10"/>
    <x v="5"/>
    <x v="0"/>
    <n v="0.1"/>
    <x v="7"/>
    <n v="18"/>
    <n v="36"/>
    <n v="77"/>
    <n v="8496"/>
    <n v="15292.800000000001"/>
    <n v="6796.8000000000011"/>
    <d v="1900-01-04T00:00:00"/>
    <x v="0"/>
  </r>
  <r>
    <x v="80"/>
    <x v="384"/>
    <x v="9"/>
    <d v="1958-06-07T00:00:00"/>
    <x v="0"/>
    <n v="388"/>
    <s v="Pro02"/>
    <x v="1"/>
    <x v="0"/>
    <n v="0.1"/>
    <x v="8"/>
    <n v="18"/>
    <n v="22"/>
    <n v="65"/>
    <n v="6984"/>
    <n v="7682.4000000000005"/>
    <n v="698.40000000000055"/>
    <d v="1900-01-05T00:00:00"/>
    <x v="0"/>
  </r>
  <r>
    <x v="80"/>
    <x v="385"/>
    <x v="1"/>
    <d v="1999-03-27T00:00:00"/>
    <x v="1"/>
    <n v="213"/>
    <s v="Pro10"/>
    <x v="1"/>
    <x v="0"/>
    <n v="0.1"/>
    <x v="7"/>
    <n v="18"/>
    <n v="36"/>
    <n v="24"/>
    <n v="3834"/>
    <n v="6901.2"/>
    <n v="3067.2"/>
    <d v="1900-01-05T00:00:00"/>
    <x v="0"/>
  </r>
  <r>
    <x v="81"/>
    <x v="386"/>
    <x v="9"/>
    <d v="1963-11-21T00:00:00"/>
    <x v="3"/>
    <n v="263"/>
    <s v="Pro07"/>
    <x v="0"/>
    <x v="0"/>
    <n v="0.1"/>
    <x v="0"/>
    <n v="19"/>
    <n v="23"/>
    <n v="60"/>
    <n v="4997"/>
    <n v="5444.1"/>
    <n v="447.10000000000036"/>
    <d v="1900-01-06T00:00:00"/>
    <x v="1"/>
  </r>
  <r>
    <x v="81"/>
    <x v="387"/>
    <x v="3"/>
    <d v="1986-11-10T00:00:00"/>
    <x v="1"/>
    <n v="496"/>
    <s v="Pro10"/>
    <x v="2"/>
    <x v="0"/>
    <n v="0.1"/>
    <x v="7"/>
    <n v="18"/>
    <n v="36"/>
    <n v="37"/>
    <n v="8928"/>
    <n v="16070.4"/>
    <n v="7142.4"/>
    <d v="1900-01-06T00:00:00"/>
    <x v="1"/>
  </r>
  <r>
    <x v="81"/>
    <x v="388"/>
    <x v="4"/>
    <d v="1990-04-09T00:00:00"/>
    <x v="1"/>
    <n v="143"/>
    <s v="Pro04"/>
    <x v="5"/>
    <x v="0"/>
    <n v="0.1"/>
    <x v="1"/>
    <n v="10"/>
    <n v="14"/>
    <n v="33"/>
    <n v="1430"/>
    <n v="1801.8"/>
    <n v="371.79999999999995"/>
    <d v="1900-01-06T00:00:00"/>
    <x v="1"/>
  </r>
  <r>
    <x v="81"/>
    <x v="389"/>
    <x v="1"/>
    <d v="1991-06-05T00:00:00"/>
    <x v="1"/>
    <n v="90"/>
    <s v="Pro10"/>
    <x v="0"/>
    <x v="0"/>
    <n v="0.1"/>
    <x v="7"/>
    <n v="18"/>
    <n v="36"/>
    <n v="32"/>
    <n v="1620"/>
    <n v="2916"/>
    <n v="1296"/>
    <d v="1900-01-06T00:00:00"/>
    <x v="1"/>
  </r>
  <r>
    <x v="81"/>
    <x v="390"/>
    <x v="6"/>
    <d v="1980-07-26T00:00:00"/>
    <x v="0"/>
    <n v="289"/>
    <s v="Pro05"/>
    <x v="1"/>
    <x v="0"/>
    <n v="0.1"/>
    <x v="5"/>
    <n v="14"/>
    <n v="28"/>
    <n v="43"/>
    <n v="4046"/>
    <n v="7282.8"/>
    <n v="3236.8"/>
    <d v="1900-01-06T00:00:00"/>
    <x v="1"/>
  </r>
  <r>
    <x v="81"/>
    <x v="391"/>
    <x v="3"/>
    <d v="1965-02-20T00:00:00"/>
    <x v="1"/>
    <n v="395"/>
    <s v="Pro04"/>
    <x v="3"/>
    <x v="0"/>
    <n v="0.1"/>
    <x v="1"/>
    <n v="10"/>
    <n v="14"/>
    <n v="59"/>
    <n v="3950"/>
    <n v="4977"/>
    <n v="1027"/>
    <d v="1900-01-06T00:00:00"/>
    <x v="1"/>
  </r>
  <r>
    <x v="81"/>
    <x v="392"/>
    <x v="4"/>
    <d v="1976-05-10T00:00:00"/>
    <x v="3"/>
    <n v="309"/>
    <s v="Pro01"/>
    <x v="2"/>
    <x v="0"/>
    <n v="0.1"/>
    <x v="9"/>
    <n v="10"/>
    <n v="11"/>
    <n v="47"/>
    <n v="3090"/>
    <n v="3059.1"/>
    <n v="-30.900000000000091"/>
    <d v="1900-01-06T00:00:00"/>
    <x v="1"/>
  </r>
  <r>
    <x v="81"/>
    <x v="393"/>
    <x v="6"/>
    <d v="1997-11-13T00:00:00"/>
    <x v="3"/>
    <n v="306"/>
    <s v="Pro02"/>
    <x v="3"/>
    <x v="0"/>
    <n v="0.1"/>
    <x v="8"/>
    <n v="18"/>
    <n v="22"/>
    <n v="26"/>
    <n v="5508"/>
    <n v="6058.8"/>
    <n v="550.80000000000018"/>
    <d v="1900-01-06T00:00:00"/>
    <x v="1"/>
  </r>
  <r>
    <x v="81"/>
    <x v="394"/>
    <x v="0"/>
    <d v="1964-09-06T00:00:00"/>
    <x v="2"/>
    <n v="84"/>
    <s v="Pro08"/>
    <x v="1"/>
    <x v="0"/>
    <n v="0.1"/>
    <x v="6"/>
    <n v="5"/>
    <n v="7"/>
    <n v="59"/>
    <n v="420"/>
    <n v="529.20000000000005"/>
    <n v="109.20000000000005"/>
    <d v="1900-01-06T00:00:00"/>
    <x v="1"/>
  </r>
  <r>
    <x v="81"/>
    <x v="395"/>
    <x v="10"/>
    <d v="1988-08-07T00:00:00"/>
    <x v="1"/>
    <n v="178"/>
    <s v="Pro05"/>
    <x v="1"/>
    <x v="0"/>
    <n v="0.1"/>
    <x v="5"/>
    <n v="14"/>
    <n v="28"/>
    <n v="35"/>
    <n v="2492"/>
    <n v="4485.6000000000004"/>
    <n v="1993.6000000000004"/>
    <d v="1900-01-06T00:00:00"/>
    <x v="1"/>
  </r>
  <r>
    <x v="82"/>
    <x v="396"/>
    <x v="6"/>
    <d v="1949-11-14T00:00:00"/>
    <x v="0"/>
    <n v="495"/>
    <s v="Pro09"/>
    <x v="0"/>
    <x v="0"/>
    <n v="0.1"/>
    <x v="3"/>
    <n v="10"/>
    <n v="45"/>
    <n v="74"/>
    <n v="4950"/>
    <n v="20047.5"/>
    <n v="15097.5"/>
    <d v="1899-12-31T00:00:00"/>
    <x v="1"/>
  </r>
  <r>
    <x v="82"/>
    <x v="397"/>
    <x v="2"/>
    <d v="1988-09-06T00:00:00"/>
    <x v="0"/>
    <n v="432"/>
    <s v="Pro02"/>
    <x v="1"/>
    <x v="2"/>
    <n v="0.1"/>
    <x v="8"/>
    <n v="18"/>
    <n v="22"/>
    <n v="35"/>
    <n v="7776"/>
    <n v="8553.6"/>
    <n v="777.60000000000036"/>
    <d v="1899-12-31T00:00:00"/>
    <x v="1"/>
  </r>
  <r>
    <x v="82"/>
    <x v="398"/>
    <x v="9"/>
    <d v="1972-09-14T00:00:00"/>
    <x v="0"/>
    <n v="215"/>
    <s v="Pro09"/>
    <x v="2"/>
    <x v="2"/>
    <n v="0.1"/>
    <x v="3"/>
    <n v="10"/>
    <n v="45"/>
    <n v="51"/>
    <n v="2150"/>
    <n v="8707.5"/>
    <n v="6557.5"/>
    <d v="1899-12-31T00:00:00"/>
    <x v="1"/>
  </r>
  <r>
    <x v="82"/>
    <x v="399"/>
    <x v="5"/>
    <d v="1976-11-21T00:00:00"/>
    <x v="3"/>
    <n v="319"/>
    <s v="Pro10"/>
    <x v="2"/>
    <x v="0"/>
    <n v="0.1"/>
    <x v="7"/>
    <n v="18"/>
    <n v="36"/>
    <n v="47"/>
    <n v="5742"/>
    <n v="10335.6"/>
    <n v="4593.6000000000004"/>
    <d v="1899-12-31T00:00:00"/>
    <x v="1"/>
  </r>
  <r>
    <x v="82"/>
    <x v="400"/>
    <x v="7"/>
    <d v="1983-06-29T00:00:00"/>
    <x v="3"/>
    <n v="461"/>
    <s v="Pro05"/>
    <x v="2"/>
    <x v="0"/>
    <n v="0.1"/>
    <x v="5"/>
    <n v="14"/>
    <n v="28"/>
    <n v="40"/>
    <n v="6454"/>
    <n v="11617.2"/>
    <n v="5163.2000000000007"/>
    <d v="1899-12-31T00:00:00"/>
    <x v="1"/>
  </r>
  <r>
    <x v="82"/>
    <x v="401"/>
    <x v="0"/>
    <d v="1988-02-17T00:00:00"/>
    <x v="0"/>
    <n v="480"/>
    <s v="Pro09"/>
    <x v="3"/>
    <x v="0"/>
    <n v="0.1"/>
    <x v="3"/>
    <n v="10"/>
    <n v="45"/>
    <n v="36"/>
    <n v="4800"/>
    <n v="19440"/>
    <n v="14640"/>
    <d v="1899-12-31T00:00:00"/>
    <x v="1"/>
  </r>
  <r>
    <x v="83"/>
    <x v="402"/>
    <x v="0"/>
    <d v="1988-08-11T00:00:00"/>
    <x v="3"/>
    <n v="166"/>
    <s v="Pro02"/>
    <x v="3"/>
    <x v="0"/>
    <n v="0.1"/>
    <x v="8"/>
    <n v="18"/>
    <n v="22"/>
    <n v="35"/>
    <n v="2988"/>
    <n v="3286.8"/>
    <n v="298.80000000000018"/>
    <d v="1900-01-01T00:00:00"/>
    <x v="0"/>
  </r>
  <r>
    <x v="83"/>
    <x v="403"/>
    <x v="1"/>
    <d v="1976-07-08T00:00:00"/>
    <x v="0"/>
    <n v="217"/>
    <s v="Pro02"/>
    <x v="1"/>
    <x v="0"/>
    <n v="0.1"/>
    <x v="8"/>
    <n v="18"/>
    <n v="22"/>
    <n v="47"/>
    <n v="3906"/>
    <n v="4296.6000000000004"/>
    <n v="390.60000000000036"/>
    <d v="1900-01-01T00:00:00"/>
    <x v="0"/>
  </r>
  <r>
    <x v="84"/>
    <x v="61"/>
    <x v="5"/>
    <d v="1981-02-03T00:00:00"/>
    <x v="0"/>
    <n v="272"/>
    <s v="Pro07"/>
    <x v="4"/>
    <x v="1"/>
    <n v="0.1"/>
    <x v="0"/>
    <n v="19"/>
    <n v="23"/>
    <n v="43"/>
    <n v="5168"/>
    <n v="5630.4000000000005"/>
    <n v="462.40000000000055"/>
    <d v="1900-01-02T00:00:00"/>
    <x v="0"/>
  </r>
  <r>
    <x v="84"/>
    <x v="404"/>
    <x v="2"/>
    <d v="1999-10-06T00:00:00"/>
    <x v="0"/>
    <n v="93"/>
    <s v="Pro10"/>
    <x v="0"/>
    <x v="0"/>
    <n v="0.1"/>
    <x v="7"/>
    <n v="18"/>
    <n v="36"/>
    <n v="24"/>
    <n v="1674"/>
    <n v="3013.2000000000003"/>
    <n v="1339.2000000000003"/>
    <d v="1900-01-02T00:00:00"/>
    <x v="0"/>
  </r>
  <r>
    <x v="84"/>
    <x v="405"/>
    <x v="4"/>
    <d v="1944-07-01T00:00:00"/>
    <x v="3"/>
    <n v="476"/>
    <s v="Pro01"/>
    <x v="2"/>
    <x v="0"/>
    <n v="0.1"/>
    <x v="9"/>
    <n v="10"/>
    <n v="11"/>
    <n v="79"/>
    <n v="4760"/>
    <n v="4712.4000000000005"/>
    <n v="-47.599999999999454"/>
    <d v="1900-01-02T00:00:00"/>
    <x v="0"/>
  </r>
  <r>
    <x v="85"/>
    <x v="406"/>
    <x v="8"/>
    <d v="1962-01-12T00:00:00"/>
    <x v="2"/>
    <n v="42"/>
    <s v="Pro05"/>
    <x v="0"/>
    <x v="1"/>
    <n v="0.1"/>
    <x v="5"/>
    <n v="14"/>
    <n v="28"/>
    <n v="62"/>
    <n v="588"/>
    <n v="1058.4000000000001"/>
    <n v="470.40000000000009"/>
    <d v="1900-01-03T00:00:00"/>
    <x v="0"/>
  </r>
  <r>
    <x v="85"/>
    <x v="407"/>
    <x v="9"/>
    <d v="2003-02-22T00:00:00"/>
    <x v="0"/>
    <n v="403"/>
    <s v="Pro05"/>
    <x v="1"/>
    <x v="0"/>
    <n v="0.1"/>
    <x v="5"/>
    <n v="14"/>
    <n v="28"/>
    <n v="21"/>
    <n v="5642"/>
    <n v="10155.6"/>
    <n v="4513.6000000000004"/>
    <d v="1900-01-03T00:00:00"/>
    <x v="0"/>
  </r>
  <r>
    <x v="86"/>
    <x v="408"/>
    <x v="1"/>
    <s v="Unknown"/>
    <x v="3"/>
    <n v="356"/>
    <s v="Pro07"/>
    <x v="8"/>
    <x v="0"/>
    <n v="0.1"/>
    <x v="0"/>
    <n v="19"/>
    <n v="23"/>
    <e v="#VALUE!"/>
    <n v="6764"/>
    <n v="7369.2"/>
    <n v="605.19999999999982"/>
    <d v="1900-01-04T00:00:00"/>
    <x v="0"/>
  </r>
  <r>
    <x v="86"/>
    <x v="409"/>
    <x v="6"/>
    <d v="1966-04-24T00:00:00"/>
    <x v="2"/>
    <n v="412"/>
    <s v="Pro07"/>
    <x v="1"/>
    <x v="0"/>
    <n v="0.1"/>
    <x v="0"/>
    <n v="19"/>
    <n v="23"/>
    <n v="57"/>
    <n v="7828"/>
    <n v="8528.4"/>
    <n v="700.39999999999964"/>
    <d v="1900-01-04T00:00:00"/>
    <x v="0"/>
  </r>
  <r>
    <x v="86"/>
    <x v="2"/>
    <x v="2"/>
    <d v="1955-04-14T00:00:00"/>
    <x v="3"/>
    <n v="433"/>
    <s v="Pro09"/>
    <x v="0"/>
    <x v="0"/>
    <n v="0.1"/>
    <x v="3"/>
    <n v="10"/>
    <n v="45"/>
    <n v="68"/>
    <n v="4330"/>
    <n v="17536.5"/>
    <n v="13206.5"/>
    <d v="1900-01-04T00:00:00"/>
    <x v="0"/>
  </r>
  <r>
    <x v="86"/>
    <x v="2"/>
    <x v="2"/>
    <d v="1946-08-28T00:00:00"/>
    <x v="1"/>
    <n v="133"/>
    <s v="Pro09"/>
    <x v="4"/>
    <x v="0"/>
    <n v="0.1"/>
    <x v="3"/>
    <n v="10"/>
    <n v="45"/>
    <n v="77"/>
    <n v="1330"/>
    <n v="5386.5"/>
    <n v="4056.5"/>
    <d v="1900-01-04T00:00:00"/>
    <x v="0"/>
  </r>
  <r>
    <x v="86"/>
    <x v="410"/>
    <x v="10"/>
    <d v="1973-05-30T00:00:00"/>
    <x v="1"/>
    <n v="38"/>
    <s v="Pro03"/>
    <x v="2"/>
    <x v="2"/>
    <n v="0.1"/>
    <x v="10"/>
    <n v="3"/>
    <n v="5"/>
    <n v="50"/>
    <n v="114"/>
    <n v="171"/>
    <n v="57"/>
    <d v="1900-01-04T00:00:00"/>
    <x v="0"/>
  </r>
  <r>
    <x v="86"/>
    <x v="411"/>
    <x v="2"/>
    <d v="1964-09-22T00:00:00"/>
    <x v="2"/>
    <n v="127"/>
    <s v="Pro05"/>
    <x v="1"/>
    <x v="0"/>
    <n v="0.1"/>
    <x v="5"/>
    <n v="14"/>
    <n v="28"/>
    <n v="59"/>
    <n v="1778"/>
    <n v="3200.4"/>
    <n v="1422.4"/>
    <d v="1900-01-04T00:00:00"/>
    <x v="0"/>
  </r>
  <r>
    <x v="86"/>
    <x v="412"/>
    <x v="10"/>
    <d v="1975-01-25T00:00:00"/>
    <x v="2"/>
    <n v="225"/>
    <s v="Pro09"/>
    <x v="2"/>
    <x v="2"/>
    <n v="0.1"/>
    <x v="3"/>
    <n v="10"/>
    <n v="45"/>
    <n v="49"/>
    <n v="2250"/>
    <n v="9112.5"/>
    <n v="6862.5"/>
    <d v="1900-01-04T00:00:00"/>
    <x v="0"/>
  </r>
  <r>
    <x v="87"/>
    <x v="413"/>
    <x v="10"/>
    <d v="1994-03-03T00:00:00"/>
    <x v="2"/>
    <n v="199"/>
    <s v="Pro06"/>
    <x v="1"/>
    <x v="0"/>
    <n v="0.1"/>
    <x v="4"/>
    <n v="7"/>
    <n v="9"/>
    <n v="30"/>
    <n v="1393"/>
    <n v="1611.9"/>
    <n v="218.90000000000009"/>
    <d v="1900-01-05T00:00:00"/>
    <x v="0"/>
  </r>
  <r>
    <x v="88"/>
    <x v="414"/>
    <x v="6"/>
    <d v="1972-05-27T00:00:00"/>
    <x v="1"/>
    <n v="357"/>
    <s v="Pro03"/>
    <x v="1"/>
    <x v="0"/>
    <n v="0.1"/>
    <x v="10"/>
    <n v="3"/>
    <n v="5"/>
    <n v="51"/>
    <n v="1071"/>
    <n v="1606.5"/>
    <n v="535.5"/>
    <d v="1900-01-06T00:00:00"/>
    <x v="1"/>
  </r>
  <r>
    <x v="88"/>
    <x v="415"/>
    <x v="2"/>
    <d v="1992-11-11T00:00:00"/>
    <x v="0"/>
    <n v="78"/>
    <s v="Pro02"/>
    <x v="3"/>
    <x v="0"/>
    <n v="0.1"/>
    <x v="8"/>
    <n v="18"/>
    <n v="22"/>
    <n v="31"/>
    <n v="1404"/>
    <n v="1544.4"/>
    <n v="140.40000000000009"/>
    <d v="1900-01-06T00:00:00"/>
    <x v="1"/>
  </r>
  <r>
    <x v="88"/>
    <x v="416"/>
    <x v="2"/>
    <d v="2005-05-12T00:00:00"/>
    <x v="0"/>
    <n v="145"/>
    <s v="Pro03"/>
    <x v="2"/>
    <x v="0"/>
    <n v="0.1"/>
    <x v="10"/>
    <n v="3"/>
    <n v="5"/>
    <n v="18"/>
    <n v="435"/>
    <n v="652.5"/>
    <n v="217.5"/>
    <d v="1900-01-06T00:00:00"/>
    <x v="1"/>
  </r>
  <r>
    <x v="88"/>
    <x v="417"/>
    <x v="10"/>
    <d v="1966-07-06T00:00:00"/>
    <x v="0"/>
    <n v="419"/>
    <s v="Pro06"/>
    <x v="5"/>
    <x v="0"/>
    <n v="0.1"/>
    <x v="4"/>
    <n v="7"/>
    <n v="9"/>
    <n v="57"/>
    <n v="2933"/>
    <n v="3393.9"/>
    <n v="460.90000000000009"/>
    <d v="1900-01-06T00:00:00"/>
    <x v="1"/>
  </r>
  <r>
    <x v="88"/>
    <x v="418"/>
    <x v="9"/>
    <d v="2004-06-15T00:00:00"/>
    <x v="0"/>
    <n v="392"/>
    <s v="Pro09"/>
    <x v="1"/>
    <x v="0"/>
    <n v="0.1"/>
    <x v="3"/>
    <n v="10"/>
    <n v="45"/>
    <n v="19"/>
    <n v="3920"/>
    <n v="15876"/>
    <n v="11956"/>
    <d v="1900-01-06T00:00:00"/>
    <x v="1"/>
  </r>
  <r>
    <x v="89"/>
    <x v="419"/>
    <x v="2"/>
    <d v="1947-02-04T00:00:00"/>
    <x v="3"/>
    <n v="135"/>
    <s v="Pro03"/>
    <x v="2"/>
    <x v="0"/>
    <n v="0.1"/>
    <x v="10"/>
    <n v="3"/>
    <n v="5"/>
    <n v="77"/>
    <n v="405"/>
    <n v="607.5"/>
    <n v="202.5"/>
    <d v="1899-12-31T00:00:00"/>
    <x v="1"/>
  </r>
  <r>
    <x v="89"/>
    <x v="420"/>
    <x v="6"/>
    <d v="1956-01-25T00:00:00"/>
    <x v="0"/>
    <n v="62"/>
    <s v="Pro05"/>
    <x v="3"/>
    <x v="0"/>
    <n v="0.1"/>
    <x v="5"/>
    <n v="14"/>
    <n v="28"/>
    <n v="68"/>
    <n v="868"/>
    <n v="1562.4"/>
    <n v="694.40000000000009"/>
    <d v="1899-12-31T00:00:00"/>
    <x v="1"/>
  </r>
  <r>
    <x v="89"/>
    <x v="421"/>
    <x v="8"/>
    <d v="2005-05-16T00:00:00"/>
    <x v="3"/>
    <n v="217"/>
    <s v="Pro02"/>
    <x v="0"/>
    <x v="0"/>
    <n v="0.1"/>
    <x v="8"/>
    <n v="18"/>
    <n v="22"/>
    <n v="18"/>
    <n v="3906"/>
    <n v="4296.6000000000004"/>
    <n v="390.60000000000036"/>
    <d v="1899-12-31T00:00:00"/>
    <x v="1"/>
  </r>
  <r>
    <x v="89"/>
    <x v="422"/>
    <x v="2"/>
    <d v="2003-01-31T00:00:00"/>
    <x v="3"/>
    <n v="466"/>
    <s v="Pro01"/>
    <x v="2"/>
    <x v="0"/>
    <n v="0.1"/>
    <x v="9"/>
    <n v="10"/>
    <n v="11"/>
    <n v="21"/>
    <n v="4660"/>
    <n v="4613.4000000000005"/>
    <n v="-46.599999999999454"/>
    <d v="1899-12-31T00:00:00"/>
    <x v="1"/>
  </r>
  <r>
    <x v="89"/>
    <x v="423"/>
    <x v="0"/>
    <d v="1949-10-21T00:00:00"/>
    <x v="1"/>
    <n v="390"/>
    <s v="Pro08"/>
    <x v="8"/>
    <x v="0"/>
    <n v="0.1"/>
    <x v="6"/>
    <n v="5"/>
    <n v="7"/>
    <n v="74"/>
    <n v="1950"/>
    <n v="2457"/>
    <n v="507"/>
    <d v="1899-12-31T00:00:00"/>
    <x v="1"/>
  </r>
  <r>
    <x v="89"/>
    <x v="424"/>
    <x v="6"/>
    <d v="1987-06-15T00:00:00"/>
    <x v="1"/>
    <n v="383"/>
    <s v="Pro01"/>
    <x v="2"/>
    <x v="0"/>
    <n v="0.1"/>
    <x v="9"/>
    <n v="10"/>
    <n v="11"/>
    <n v="36"/>
    <n v="3830"/>
    <n v="3791.7000000000003"/>
    <n v="-38.299999999999727"/>
    <d v="1899-12-31T00:00:00"/>
    <x v="1"/>
  </r>
  <r>
    <x v="90"/>
    <x v="425"/>
    <x v="7"/>
    <d v="1992-11-09T00:00:00"/>
    <x v="0"/>
    <n v="116"/>
    <s v="Pro01"/>
    <x v="1"/>
    <x v="0"/>
    <n v="0.1"/>
    <x v="9"/>
    <n v="10"/>
    <n v="11"/>
    <n v="31"/>
    <n v="1160"/>
    <n v="1148.4000000000001"/>
    <n v="-11.599999999999909"/>
    <d v="1900-01-01T00:00:00"/>
    <x v="0"/>
  </r>
  <r>
    <x v="90"/>
    <x v="426"/>
    <x v="10"/>
    <d v="1971-05-06T00:00:00"/>
    <x v="1"/>
    <n v="30"/>
    <s v="Pro03"/>
    <x v="3"/>
    <x v="0"/>
    <n v="0.1"/>
    <x v="10"/>
    <n v="3"/>
    <n v="5"/>
    <n v="52"/>
    <n v="90"/>
    <n v="135"/>
    <n v="45"/>
    <d v="1900-01-01T00:00:00"/>
    <x v="0"/>
  </r>
  <r>
    <x v="90"/>
    <x v="427"/>
    <x v="8"/>
    <d v="1989-11-16T00:00:00"/>
    <x v="3"/>
    <n v="417"/>
    <s v="Pro02"/>
    <x v="3"/>
    <x v="0"/>
    <n v="0.1"/>
    <x v="8"/>
    <n v="18"/>
    <n v="22"/>
    <n v="34"/>
    <n v="7506"/>
    <n v="8256.6"/>
    <n v="750.60000000000036"/>
    <d v="1900-01-01T00:00:00"/>
    <x v="0"/>
  </r>
  <r>
    <x v="90"/>
    <x v="428"/>
    <x v="5"/>
    <d v="1983-03-25T00:00:00"/>
    <x v="3"/>
    <n v="288"/>
    <s v="Pro10"/>
    <x v="2"/>
    <x v="0"/>
    <n v="0.1"/>
    <x v="7"/>
    <n v="18"/>
    <n v="36"/>
    <n v="41"/>
    <n v="5184"/>
    <n v="9331.2000000000007"/>
    <n v="4147.2000000000007"/>
    <d v="1900-01-01T00:00:00"/>
    <x v="0"/>
  </r>
  <r>
    <x v="90"/>
    <x v="429"/>
    <x v="4"/>
    <d v="1990-07-21T00:00:00"/>
    <x v="3"/>
    <n v="215"/>
    <s v="Pro02"/>
    <x v="4"/>
    <x v="0"/>
    <n v="0.1"/>
    <x v="8"/>
    <n v="18"/>
    <n v="22"/>
    <n v="33"/>
    <n v="3870"/>
    <n v="4257"/>
    <n v="387"/>
    <d v="1900-01-01T00:00:00"/>
    <x v="0"/>
  </r>
  <r>
    <x v="91"/>
    <x v="430"/>
    <x v="8"/>
    <d v="1982-09-01T00:00:00"/>
    <x v="1"/>
    <n v="18"/>
    <s v="Pro08"/>
    <x v="2"/>
    <x v="0"/>
    <n v="0.1"/>
    <x v="6"/>
    <n v="5"/>
    <n v="7"/>
    <n v="41"/>
    <n v="90"/>
    <n v="113.4"/>
    <n v="23.400000000000006"/>
    <d v="1900-01-02T00:00:00"/>
    <x v="0"/>
  </r>
  <r>
    <x v="91"/>
    <x v="431"/>
    <x v="2"/>
    <d v="1958-12-07T00:00:00"/>
    <x v="3"/>
    <n v="305"/>
    <s v="Pro05"/>
    <x v="2"/>
    <x v="2"/>
    <n v="0.1"/>
    <x v="5"/>
    <n v="14"/>
    <n v="28"/>
    <n v="65"/>
    <n v="4270"/>
    <n v="7686"/>
    <n v="3416"/>
    <d v="1900-01-02T00:00:00"/>
    <x v="0"/>
  </r>
  <r>
    <x v="91"/>
    <x v="432"/>
    <x v="5"/>
    <d v="1971-09-13T00:00:00"/>
    <x v="3"/>
    <n v="86"/>
    <s v="Pro05"/>
    <x v="0"/>
    <x v="0"/>
    <n v="0.1"/>
    <x v="5"/>
    <n v="14"/>
    <n v="28"/>
    <n v="52"/>
    <n v="1204"/>
    <n v="2167.2000000000003"/>
    <n v="963.20000000000027"/>
    <d v="1900-01-02T00:00:00"/>
    <x v="0"/>
  </r>
  <r>
    <x v="92"/>
    <x v="433"/>
    <x v="2"/>
    <d v="1957-04-08T00:00:00"/>
    <x v="2"/>
    <n v="426"/>
    <s v="Pro02"/>
    <x v="1"/>
    <x v="1"/>
    <n v="0.1"/>
    <x v="8"/>
    <n v="18"/>
    <n v="22"/>
    <n v="66"/>
    <n v="7668"/>
    <n v="8434.8000000000011"/>
    <n v="766.80000000000109"/>
    <d v="1900-01-05T00:00:00"/>
    <x v="0"/>
  </r>
  <r>
    <x v="92"/>
    <x v="94"/>
    <x v="4"/>
    <d v="1988-07-12T00:00:00"/>
    <x v="1"/>
    <n v="449"/>
    <s v="Pro01"/>
    <x v="0"/>
    <x v="2"/>
    <n v="0.1"/>
    <x v="9"/>
    <n v="10"/>
    <n v="11"/>
    <n v="35"/>
    <n v="4490"/>
    <n v="4445.1000000000004"/>
    <n v="-44.899999999999636"/>
    <d v="1900-01-05T00:00:00"/>
    <x v="0"/>
  </r>
  <r>
    <x v="92"/>
    <x v="434"/>
    <x v="8"/>
    <d v="1954-08-17T00:00:00"/>
    <x v="2"/>
    <n v="430"/>
    <s v="Pro04"/>
    <x v="1"/>
    <x v="0"/>
    <n v="0.1"/>
    <x v="1"/>
    <n v="10"/>
    <n v="14"/>
    <n v="69"/>
    <n v="4300"/>
    <n v="5418"/>
    <n v="1118"/>
    <d v="1900-01-05T00:00:00"/>
    <x v="0"/>
  </r>
  <r>
    <x v="93"/>
    <x v="435"/>
    <x v="7"/>
    <d v="1955-04-28T00:00:00"/>
    <x v="0"/>
    <n v="373"/>
    <s v="Pro09"/>
    <x v="1"/>
    <x v="1"/>
    <n v="0.1"/>
    <x v="3"/>
    <n v="10"/>
    <n v="45"/>
    <n v="68"/>
    <n v="3730"/>
    <n v="15106.5"/>
    <n v="11376.5"/>
    <d v="1900-01-06T00:00:00"/>
    <x v="1"/>
  </r>
  <r>
    <x v="93"/>
    <x v="436"/>
    <x v="0"/>
    <d v="1957-12-29T00:00:00"/>
    <x v="1"/>
    <n v="143"/>
    <s v="Pro05"/>
    <x v="0"/>
    <x v="1"/>
    <n v="0.1"/>
    <x v="5"/>
    <n v="14"/>
    <n v="28"/>
    <n v="66"/>
    <n v="2002"/>
    <n v="3603.6"/>
    <n v="1601.6"/>
    <d v="1900-01-06T00:00:00"/>
    <x v="1"/>
  </r>
  <r>
    <x v="93"/>
    <x v="437"/>
    <x v="6"/>
    <d v="1973-01-18T00:00:00"/>
    <x v="3"/>
    <n v="405"/>
    <s v="Pro02"/>
    <x v="3"/>
    <x v="0"/>
    <n v="0.1"/>
    <x v="8"/>
    <n v="18"/>
    <n v="22"/>
    <n v="51"/>
    <n v="7290"/>
    <n v="8019"/>
    <n v="729"/>
    <d v="1900-01-06T00:00:00"/>
    <x v="1"/>
  </r>
  <r>
    <x v="93"/>
    <x v="438"/>
    <x v="7"/>
    <d v="1970-12-28T00:00:00"/>
    <x v="3"/>
    <n v="119"/>
    <s v="Pro05"/>
    <x v="0"/>
    <x v="0"/>
    <n v="0.1"/>
    <x v="5"/>
    <n v="14"/>
    <n v="28"/>
    <n v="53"/>
    <n v="1666"/>
    <n v="2998.8"/>
    <n v="1332.8000000000002"/>
    <d v="1900-01-06T00:00:00"/>
    <x v="1"/>
  </r>
  <r>
    <x v="93"/>
    <x v="439"/>
    <x v="8"/>
    <d v="2005-03-06T00:00:00"/>
    <x v="2"/>
    <n v="209"/>
    <s v="Pro08"/>
    <x v="5"/>
    <x v="0"/>
    <n v="0.1"/>
    <x v="6"/>
    <n v="5"/>
    <n v="7"/>
    <n v="19"/>
    <n v="1045"/>
    <n v="1316.7"/>
    <n v="271.70000000000005"/>
    <d v="1900-01-06T00:00:00"/>
    <x v="1"/>
  </r>
  <r>
    <x v="93"/>
    <x v="440"/>
    <x v="10"/>
    <d v="2005-08-13T00:00:00"/>
    <x v="3"/>
    <n v="12"/>
    <s v="Pro05"/>
    <x v="5"/>
    <x v="0"/>
    <n v="0.1"/>
    <x v="5"/>
    <n v="14"/>
    <n v="28"/>
    <n v="18"/>
    <n v="168"/>
    <n v="302.40000000000003"/>
    <n v="134.40000000000003"/>
    <d v="1900-01-06T00:00:00"/>
    <x v="1"/>
  </r>
  <r>
    <x v="94"/>
    <x v="441"/>
    <x v="0"/>
    <d v="1984-09-24T00:00:00"/>
    <x v="3"/>
    <n v="205"/>
    <s v="Pro04"/>
    <x v="2"/>
    <x v="1"/>
    <n v="0.1"/>
    <x v="1"/>
    <n v="10"/>
    <n v="14"/>
    <n v="39"/>
    <n v="2050"/>
    <n v="2583"/>
    <n v="533"/>
    <d v="1899-12-31T00:00:00"/>
    <x v="1"/>
  </r>
  <r>
    <x v="94"/>
    <x v="442"/>
    <x v="6"/>
    <d v="1964-08-15T00:00:00"/>
    <x v="3"/>
    <n v="351"/>
    <s v="Pro01"/>
    <x v="1"/>
    <x v="1"/>
    <n v="0.1"/>
    <x v="9"/>
    <n v="10"/>
    <n v="11"/>
    <n v="59"/>
    <n v="3510"/>
    <n v="3474.9"/>
    <n v="-35.099999999999909"/>
    <d v="1899-12-31T00:00:00"/>
    <x v="1"/>
  </r>
  <r>
    <x v="94"/>
    <x v="443"/>
    <x v="10"/>
    <d v="2004-08-04T00:00:00"/>
    <x v="3"/>
    <n v="27"/>
    <s v="Pro05"/>
    <x v="3"/>
    <x v="0"/>
    <n v="0.1"/>
    <x v="5"/>
    <n v="14"/>
    <n v="28"/>
    <n v="19"/>
    <n v="378"/>
    <n v="680.4"/>
    <n v="302.39999999999998"/>
    <d v="1899-12-31T00:00:00"/>
    <x v="1"/>
  </r>
  <r>
    <x v="94"/>
    <x v="444"/>
    <x v="5"/>
    <d v="2003-12-06T00:00:00"/>
    <x v="0"/>
    <n v="412"/>
    <s v="Pro08"/>
    <x v="1"/>
    <x v="0"/>
    <n v="0.1"/>
    <x v="6"/>
    <n v="5"/>
    <n v="7"/>
    <n v="20"/>
    <n v="2060"/>
    <n v="2595.6"/>
    <n v="535.59999999999991"/>
    <d v="1899-12-31T00:00:00"/>
    <x v="1"/>
  </r>
  <r>
    <x v="94"/>
    <x v="445"/>
    <x v="5"/>
    <d v="1980-02-21T00:00:00"/>
    <x v="1"/>
    <n v="335"/>
    <s v="Pro07"/>
    <x v="0"/>
    <x v="0"/>
    <n v="0.1"/>
    <x v="0"/>
    <n v="19"/>
    <n v="23"/>
    <n v="44"/>
    <n v="6365"/>
    <n v="6934.5"/>
    <n v="569.5"/>
    <d v="1899-12-31T00:00:00"/>
    <x v="1"/>
  </r>
  <r>
    <x v="94"/>
    <x v="446"/>
    <x v="1"/>
    <d v="1977-11-30T00:00:00"/>
    <x v="3"/>
    <n v="300"/>
    <s v="Pro05"/>
    <x v="0"/>
    <x v="0"/>
    <n v="0.1"/>
    <x v="5"/>
    <n v="14"/>
    <n v="28"/>
    <n v="46"/>
    <n v="4200"/>
    <n v="7560"/>
    <n v="3360"/>
    <d v="1899-12-31T00:00:00"/>
    <x v="1"/>
  </r>
  <r>
    <x v="94"/>
    <x v="447"/>
    <x v="3"/>
    <d v="1961-01-30T00:00:00"/>
    <x v="2"/>
    <n v="157"/>
    <s v="Pro08"/>
    <x v="0"/>
    <x v="0"/>
    <n v="0.1"/>
    <x v="6"/>
    <n v="5"/>
    <n v="7"/>
    <n v="63"/>
    <n v="785"/>
    <n v="989.1"/>
    <n v="204.10000000000002"/>
    <d v="1899-12-31T00:00:00"/>
    <x v="1"/>
  </r>
  <r>
    <x v="94"/>
    <x v="448"/>
    <x v="4"/>
    <d v="1965-12-04T00:00:00"/>
    <x v="2"/>
    <n v="492"/>
    <s v="Pro08"/>
    <x v="2"/>
    <x v="0"/>
    <n v="0.1"/>
    <x v="6"/>
    <n v="5"/>
    <n v="7"/>
    <n v="58"/>
    <n v="2460"/>
    <n v="3099.6"/>
    <n v="639.59999999999991"/>
    <d v="1899-12-31T00:00:00"/>
    <x v="1"/>
  </r>
  <r>
    <x v="94"/>
    <x v="449"/>
    <x v="0"/>
    <d v="1948-05-11T00:00:00"/>
    <x v="1"/>
    <n v="253"/>
    <s v="Pro06"/>
    <x v="5"/>
    <x v="0"/>
    <n v="0.1"/>
    <x v="4"/>
    <n v="7"/>
    <n v="9"/>
    <n v="75"/>
    <n v="1771"/>
    <n v="2049.3000000000002"/>
    <n v="278.30000000000018"/>
    <d v="1899-12-31T00:00:00"/>
    <x v="1"/>
  </r>
  <r>
    <x v="94"/>
    <x v="450"/>
    <x v="10"/>
    <d v="1981-01-05T00:00:00"/>
    <x v="3"/>
    <n v="292"/>
    <s v="Pro07"/>
    <x v="2"/>
    <x v="0"/>
    <n v="0.1"/>
    <x v="0"/>
    <n v="19"/>
    <n v="23"/>
    <n v="43"/>
    <n v="5548"/>
    <n v="6044.4000000000005"/>
    <n v="496.40000000000055"/>
    <d v="1899-12-31T00:00:00"/>
    <x v="1"/>
  </r>
  <r>
    <x v="95"/>
    <x v="451"/>
    <x v="1"/>
    <d v="1955-08-03T00:00:00"/>
    <x v="0"/>
    <n v="466"/>
    <s v="Pro05"/>
    <x v="3"/>
    <x v="0"/>
    <n v="0.1"/>
    <x v="5"/>
    <n v="14"/>
    <n v="28"/>
    <n v="68"/>
    <n v="6524"/>
    <n v="11743.2"/>
    <n v="5219.2000000000007"/>
    <d v="1900-01-01T00:00:00"/>
    <x v="0"/>
  </r>
  <r>
    <x v="95"/>
    <x v="452"/>
    <x v="6"/>
    <d v="1978-05-22T00:00:00"/>
    <x v="2"/>
    <n v="153"/>
    <s v="Pro06"/>
    <x v="1"/>
    <x v="0"/>
    <n v="0.1"/>
    <x v="4"/>
    <n v="7"/>
    <n v="9"/>
    <n v="45"/>
    <n v="1071"/>
    <n v="1239.3"/>
    <n v="168.29999999999995"/>
    <d v="1900-01-01T00:00:00"/>
    <x v="0"/>
  </r>
  <r>
    <x v="95"/>
    <x v="453"/>
    <x v="5"/>
    <d v="1962-08-23T00:00:00"/>
    <x v="0"/>
    <n v="136"/>
    <s v="Pro03"/>
    <x v="2"/>
    <x v="0"/>
    <n v="0.1"/>
    <x v="10"/>
    <n v="3"/>
    <n v="5"/>
    <n v="61"/>
    <n v="408"/>
    <n v="612"/>
    <n v="204"/>
    <d v="1900-01-01T00:00:00"/>
    <x v="0"/>
  </r>
  <r>
    <x v="95"/>
    <x v="454"/>
    <x v="5"/>
    <d v="1999-10-03T00:00:00"/>
    <x v="3"/>
    <n v="119"/>
    <s v="Pro06"/>
    <x v="3"/>
    <x v="0"/>
    <n v="0.1"/>
    <x v="4"/>
    <n v="7"/>
    <n v="9"/>
    <n v="24"/>
    <n v="833"/>
    <n v="963.9"/>
    <n v="130.89999999999998"/>
    <d v="1900-01-01T00:00:00"/>
    <x v="0"/>
  </r>
  <r>
    <x v="96"/>
    <x v="455"/>
    <x v="4"/>
    <d v="1972-09-26T00:00:00"/>
    <x v="3"/>
    <n v="350"/>
    <s v="Pro07"/>
    <x v="2"/>
    <x v="1"/>
    <n v="0.1"/>
    <x v="0"/>
    <n v="19"/>
    <n v="23"/>
    <n v="51"/>
    <n v="6650"/>
    <n v="7245"/>
    <n v="595"/>
    <d v="1900-01-02T00:00:00"/>
    <x v="0"/>
  </r>
  <r>
    <x v="96"/>
    <x v="456"/>
    <x v="4"/>
    <d v="1947-04-28T00:00:00"/>
    <x v="2"/>
    <n v="326"/>
    <s v="Pro01"/>
    <x v="4"/>
    <x v="0"/>
    <n v="0.1"/>
    <x v="9"/>
    <n v="10"/>
    <n v="11"/>
    <n v="76"/>
    <n v="3260"/>
    <n v="3227.4"/>
    <n v="-32.599999999999909"/>
    <d v="1900-01-02T00:00:00"/>
    <x v="0"/>
  </r>
  <r>
    <x v="96"/>
    <x v="457"/>
    <x v="5"/>
    <d v="1981-05-29T00:00:00"/>
    <x v="3"/>
    <n v="187"/>
    <s v="Pro01"/>
    <x v="1"/>
    <x v="0"/>
    <n v="0.1"/>
    <x v="9"/>
    <n v="10"/>
    <n v="11"/>
    <n v="42"/>
    <n v="1870"/>
    <n v="1851.3"/>
    <n v="-18.700000000000045"/>
    <d v="1900-01-02T00:00:00"/>
    <x v="0"/>
  </r>
  <r>
    <x v="96"/>
    <x v="458"/>
    <x v="1"/>
    <d v="1973-03-22T00:00:00"/>
    <x v="1"/>
    <n v="112"/>
    <s v="Pro05"/>
    <x v="1"/>
    <x v="2"/>
    <n v="0.1"/>
    <x v="5"/>
    <n v="14"/>
    <n v="28"/>
    <n v="51"/>
    <n v="1568"/>
    <n v="2822.4"/>
    <n v="1254.4000000000001"/>
    <d v="1900-01-02T00:00:00"/>
    <x v="0"/>
  </r>
  <r>
    <x v="97"/>
    <x v="459"/>
    <x v="7"/>
    <d v="1945-04-18T00:00:00"/>
    <x v="0"/>
    <n v="308"/>
    <s v="Pro09"/>
    <x v="3"/>
    <x v="0"/>
    <n v="0.1"/>
    <x v="3"/>
    <n v="10"/>
    <n v="45"/>
    <n v="78"/>
    <n v="3080"/>
    <n v="12474"/>
    <n v="9394"/>
    <d v="1900-01-03T00:00:00"/>
    <x v="0"/>
  </r>
  <r>
    <x v="97"/>
    <x v="460"/>
    <x v="3"/>
    <d v="1985-11-12T00:00:00"/>
    <x v="3"/>
    <n v="309"/>
    <s v="Pro06"/>
    <x v="2"/>
    <x v="0"/>
    <n v="0.1"/>
    <x v="4"/>
    <n v="7"/>
    <n v="9"/>
    <n v="38"/>
    <n v="2163"/>
    <n v="2502.9"/>
    <n v="339.90000000000009"/>
    <d v="1900-01-03T00:00:00"/>
    <x v="0"/>
  </r>
  <r>
    <x v="97"/>
    <x v="461"/>
    <x v="5"/>
    <d v="1974-10-19T00:00:00"/>
    <x v="2"/>
    <n v="357"/>
    <s v="Pro03"/>
    <x v="5"/>
    <x v="0"/>
    <n v="0.1"/>
    <x v="10"/>
    <n v="3"/>
    <n v="5"/>
    <n v="49"/>
    <n v="1071"/>
    <n v="1606.5"/>
    <n v="535.5"/>
    <d v="1900-01-03T00:00:00"/>
    <x v="0"/>
  </r>
  <r>
    <x v="98"/>
    <x v="462"/>
    <x v="10"/>
    <d v="1957-09-23T00:00:00"/>
    <x v="3"/>
    <n v="425"/>
    <s v="Pro03"/>
    <x v="3"/>
    <x v="0"/>
    <n v="0.1"/>
    <x v="10"/>
    <n v="3"/>
    <n v="5"/>
    <n v="66"/>
    <n v="1275"/>
    <n v="1912.5"/>
    <n v="637.5"/>
    <d v="1900-01-04T00:00:00"/>
    <x v="0"/>
  </r>
  <r>
    <x v="98"/>
    <x v="463"/>
    <x v="5"/>
    <d v="1980-10-30T00:00:00"/>
    <x v="2"/>
    <n v="169"/>
    <s v="Pro06"/>
    <x v="2"/>
    <x v="0"/>
    <n v="0.1"/>
    <x v="4"/>
    <n v="7"/>
    <n v="9"/>
    <n v="43"/>
    <n v="1183"/>
    <n v="1368.9"/>
    <n v="185.90000000000009"/>
    <d v="1900-01-04T00:00:00"/>
    <x v="0"/>
  </r>
  <r>
    <x v="98"/>
    <x v="464"/>
    <x v="7"/>
    <d v="1956-08-04T00:00:00"/>
    <x v="3"/>
    <n v="31"/>
    <s v="Pro02"/>
    <x v="0"/>
    <x v="0"/>
    <n v="0.1"/>
    <x v="8"/>
    <n v="18"/>
    <n v="22"/>
    <n v="67"/>
    <n v="558"/>
    <n v="613.80000000000007"/>
    <n v="55.800000000000068"/>
    <d v="1900-01-04T00:00:00"/>
    <x v="0"/>
  </r>
  <r>
    <x v="99"/>
    <x v="465"/>
    <x v="7"/>
    <d v="2006-03-05T00:00:00"/>
    <x v="1"/>
    <n v="93"/>
    <s v="Pro08"/>
    <x v="2"/>
    <x v="0"/>
    <n v="0.1"/>
    <x v="6"/>
    <n v="5"/>
    <n v="7"/>
    <n v="18"/>
    <n v="465"/>
    <n v="585.9"/>
    <n v="120.89999999999998"/>
    <d v="1900-01-05T00:00:00"/>
    <x v="0"/>
  </r>
  <r>
    <x v="99"/>
    <x v="466"/>
    <x v="6"/>
    <d v="1970-02-22T00:00:00"/>
    <x v="2"/>
    <n v="316"/>
    <s v="Pro05"/>
    <x v="1"/>
    <x v="0"/>
    <n v="0.1"/>
    <x v="5"/>
    <n v="14"/>
    <n v="28"/>
    <n v="54"/>
    <n v="4424"/>
    <n v="7963.2"/>
    <n v="3539.2"/>
    <d v="1900-01-05T00:00:00"/>
    <x v="0"/>
  </r>
  <r>
    <x v="99"/>
    <x v="467"/>
    <x v="10"/>
    <d v="2003-05-10T00:00:00"/>
    <x v="0"/>
    <n v="275"/>
    <s v="Pro03"/>
    <x v="3"/>
    <x v="0"/>
    <n v="0.1"/>
    <x v="10"/>
    <n v="3"/>
    <n v="5"/>
    <n v="20"/>
    <n v="825"/>
    <n v="1237.5"/>
    <n v="412.5"/>
    <d v="1900-01-05T00:00:00"/>
    <x v="0"/>
  </r>
  <r>
    <x v="99"/>
    <x v="468"/>
    <x v="4"/>
    <d v="2003-01-31T00:00:00"/>
    <x v="3"/>
    <n v="275"/>
    <s v="Pro10"/>
    <x v="2"/>
    <x v="0"/>
    <n v="0.1"/>
    <x v="7"/>
    <n v="18"/>
    <n v="36"/>
    <n v="21"/>
    <n v="4950"/>
    <n v="8910"/>
    <n v="3960"/>
    <d v="1900-01-05T00:00:00"/>
    <x v="0"/>
  </r>
  <r>
    <x v="99"/>
    <x v="469"/>
    <x v="9"/>
    <d v="1964-08-13T00:00:00"/>
    <x v="2"/>
    <n v="371"/>
    <s v="Pro06"/>
    <x v="2"/>
    <x v="0"/>
    <n v="0.1"/>
    <x v="4"/>
    <n v="7"/>
    <n v="9"/>
    <n v="59"/>
    <n v="2597"/>
    <n v="3005.1"/>
    <n v="408.09999999999991"/>
    <d v="1900-01-05T00:00:00"/>
    <x v="0"/>
  </r>
  <r>
    <x v="99"/>
    <x v="470"/>
    <x v="3"/>
    <d v="1997-03-18T00:00:00"/>
    <x v="3"/>
    <n v="407"/>
    <s v="Pro07"/>
    <x v="1"/>
    <x v="0"/>
    <n v="0.1"/>
    <x v="0"/>
    <n v="19"/>
    <n v="23"/>
    <n v="27"/>
    <n v="7733"/>
    <n v="8424.9"/>
    <n v="691.89999999999964"/>
    <d v="1900-01-05T00:00:00"/>
    <x v="0"/>
  </r>
  <r>
    <x v="99"/>
    <x v="471"/>
    <x v="8"/>
    <d v="1973-02-01T00:00:00"/>
    <x v="0"/>
    <n v="283"/>
    <s v="Pro03"/>
    <x v="3"/>
    <x v="0"/>
    <n v="0.1"/>
    <x v="10"/>
    <n v="3"/>
    <n v="5"/>
    <n v="51"/>
    <n v="849"/>
    <n v="1273.5"/>
    <n v="424.5"/>
    <d v="1900-01-05T00:00:00"/>
    <x v="0"/>
  </r>
  <r>
    <x v="100"/>
    <x v="472"/>
    <x v="3"/>
    <d v="1964-12-18T00:00:00"/>
    <x v="0"/>
    <n v="205"/>
    <s v="Pro07"/>
    <x v="5"/>
    <x v="1"/>
    <n v="0.1"/>
    <x v="0"/>
    <n v="19"/>
    <n v="23"/>
    <n v="59"/>
    <n v="3895"/>
    <n v="4243.5"/>
    <n v="348.5"/>
    <d v="1900-01-06T00:00:00"/>
    <x v="1"/>
  </r>
  <r>
    <x v="100"/>
    <x v="473"/>
    <x v="7"/>
    <d v="2006-07-22T00:00:00"/>
    <x v="0"/>
    <n v="197"/>
    <s v="Pro02"/>
    <x v="1"/>
    <x v="1"/>
    <n v="0.1"/>
    <x v="8"/>
    <n v="18"/>
    <n v="22"/>
    <n v="17"/>
    <n v="3546"/>
    <n v="3900.6"/>
    <n v="354.59999999999991"/>
    <d v="1900-01-06T00:00:00"/>
    <x v="1"/>
  </r>
  <r>
    <x v="100"/>
    <x v="474"/>
    <x v="1"/>
    <d v="1943-08-18T00:00:00"/>
    <x v="3"/>
    <n v="291"/>
    <s v="Pro07"/>
    <x v="2"/>
    <x v="0"/>
    <n v="0.1"/>
    <x v="0"/>
    <n v="19"/>
    <n v="23"/>
    <n v="80"/>
    <n v="5529"/>
    <n v="6023.7"/>
    <n v="494.69999999999982"/>
    <d v="1900-01-06T00:00:00"/>
    <x v="1"/>
  </r>
  <r>
    <x v="100"/>
    <x v="475"/>
    <x v="4"/>
    <d v="1945-10-30T00:00:00"/>
    <x v="0"/>
    <n v="277"/>
    <s v="Pro04"/>
    <x v="3"/>
    <x v="0"/>
    <n v="0.1"/>
    <x v="1"/>
    <n v="10"/>
    <n v="14"/>
    <n v="78"/>
    <n v="2770"/>
    <n v="3490.2000000000003"/>
    <n v="720.20000000000027"/>
    <d v="1900-01-06T00:00:00"/>
    <x v="1"/>
  </r>
  <r>
    <x v="100"/>
    <x v="476"/>
    <x v="0"/>
    <d v="1948-12-30T00:00:00"/>
    <x v="3"/>
    <n v="90"/>
    <s v="Pro02"/>
    <x v="1"/>
    <x v="0"/>
    <n v="0.1"/>
    <x v="8"/>
    <n v="18"/>
    <n v="22"/>
    <n v="75"/>
    <n v="1620"/>
    <n v="1782"/>
    <n v="162"/>
    <d v="1900-01-06T00:00:00"/>
    <x v="1"/>
  </r>
  <r>
    <x v="100"/>
    <x v="477"/>
    <x v="9"/>
    <d v="1994-05-09T00:00:00"/>
    <x v="2"/>
    <n v="251"/>
    <s v="Pro05"/>
    <x v="2"/>
    <x v="0"/>
    <n v="0.1"/>
    <x v="5"/>
    <n v="14"/>
    <n v="28"/>
    <n v="29"/>
    <n v="3514"/>
    <n v="6325.2"/>
    <n v="2811.2"/>
    <d v="1900-01-06T00:00:00"/>
    <x v="1"/>
  </r>
  <r>
    <x v="100"/>
    <x v="478"/>
    <x v="0"/>
    <d v="1977-02-16T00:00:00"/>
    <x v="2"/>
    <n v="181"/>
    <s v="Pro05"/>
    <x v="0"/>
    <x v="0"/>
    <n v="0.1"/>
    <x v="5"/>
    <n v="14"/>
    <n v="28"/>
    <n v="47"/>
    <n v="2534"/>
    <n v="4561.2"/>
    <n v="2027.1999999999998"/>
    <d v="1900-01-06T00:00:00"/>
    <x v="1"/>
  </r>
  <r>
    <x v="100"/>
    <x v="479"/>
    <x v="9"/>
    <d v="1980-06-04T00:00:00"/>
    <x v="2"/>
    <n v="486"/>
    <s v="Pro08"/>
    <x v="2"/>
    <x v="0"/>
    <n v="0.1"/>
    <x v="6"/>
    <n v="5"/>
    <n v="7"/>
    <n v="43"/>
    <n v="2430"/>
    <n v="3061.8"/>
    <n v="631.80000000000018"/>
    <d v="1900-01-06T00:00:00"/>
    <x v="1"/>
  </r>
  <r>
    <x v="101"/>
    <x v="480"/>
    <x v="9"/>
    <d v="1998-06-02T00:00:00"/>
    <x v="2"/>
    <n v="21"/>
    <s v="Pro04"/>
    <x v="0"/>
    <x v="0"/>
    <n v="0.1"/>
    <x v="1"/>
    <n v="10"/>
    <n v="14"/>
    <n v="25"/>
    <n v="210"/>
    <n v="264.60000000000002"/>
    <n v="54.600000000000023"/>
    <d v="1899-12-31T00:00:00"/>
    <x v="1"/>
  </r>
  <r>
    <x v="101"/>
    <x v="481"/>
    <x v="1"/>
    <d v="1974-11-04T00:00:00"/>
    <x v="0"/>
    <n v="400"/>
    <s v="Pro02"/>
    <x v="5"/>
    <x v="0"/>
    <n v="0.1"/>
    <x v="8"/>
    <n v="18"/>
    <n v="22"/>
    <n v="49"/>
    <n v="7200"/>
    <n v="7920"/>
    <n v="720"/>
    <d v="1899-12-31T00:00:00"/>
    <x v="1"/>
  </r>
  <r>
    <x v="101"/>
    <x v="482"/>
    <x v="5"/>
    <d v="1958-11-20T00:00:00"/>
    <x v="2"/>
    <n v="52"/>
    <s v="Pro07"/>
    <x v="2"/>
    <x v="0"/>
    <n v="0.1"/>
    <x v="0"/>
    <n v="19"/>
    <n v="23"/>
    <n v="65"/>
    <n v="988"/>
    <n v="1076.4000000000001"/>
    <n v="88.400000000000091"/>
    <d v="1899-12-31T00:00:00"/>
    <x v="1"/>
  </r>
  <r>
    <x v="101"/>
    <x v="483"/>
    <x v="6"/>
    <d v="1951-05-12T00:00:00"/>
    <x v="2"/>
    <n v="209"/>
    <s v="Pro05"/>
    <x v="2"/>
    <x v="0"/>
    <n v="0.1"/>
    <x v="5"/>
    <n v="14"/>
    <n v="28"/>
    <n v="72"/>
    <n v="2926"/>
    <n v="5266.8"/>
    <n v="2340.8000000000002"/>
    <d v="1899-12-31T00:00:00"/>
    <x v="1"/>
  </r>
  <r>
    <x v="101"/>
    <x v="484"/>
    <x v="5"/>
    <d v="1981-08-07T00:00:00"/>
    <x v="3"/>
    <n v="181"/>
    <s v="Pro05"/>
    <x v="8"/>
    <x v="0"/>
    <n v="0.1"/>
    <x v="5"/>
    <n v="14"/>
    <n v="28"/>
    <n v="42"/>
    <n v="2534"/>
    <n v="4561.2"/>
    <n v="2027.1999999999998"/>
    <d v="1899-12-31T00:00:00"/>
    <x v="1"/>
  </r>
  <r>
    <x v="101"/>
    <x v="485"/>
    <x v="0"/>
    <d v="1945-10-17T00:00:00"/>
    <x v="2"/>
    <n v="385"/>
    <s v="Pro07"/>
    <x v="0"/>
    <x v="0"/>
    <n v="0.1"/>
    <x v="0"/>
    <n v="19"/>
    <n v="23"/>
    <n v="78"/>
    <n v="7315"/>
    <n v="7969.5"/>
    <n v="654.5"/>
    <d v="1899-12-31T00:00:00"/>
    <x v="1"/>
  </r>
  <r>
    <x v="102"/>
    <x v="486"/>
    <x v="7"/>
    <d v="1969-07-12T00:00:00"/>
    <x v="1"/>
    <n v="478"/>
    <s v="Pro02"/>
    <x v="3"/>
    <x v="1"/>
    <n v="0.1"/>
    <x v="8"/>
    <n v="18"/>
    <n v="22"/>
    <n v="54"/>
    <n v="8604"/>
    <n v="9464.4"/>
    <n v="860.39999999999964"/>
    <d v="1900-01-01T00:00:00"/>
    <x v="0"/>
  </r>
  <r>
    <x v="102"/>
    <x v="487"/>
    <x v="3"/>
    <d v="2004-02-12T00:00:00"/>
    <x v="3"/>
    <n v="495"/>
    <s v="Pro04"/>
    <x v="4"/>
    <x v="0"/>
    <n v="0.1"/>
    <x v="1"/>
    <n v="10"/>
    <n v="14"/>
    <n v="20"/>
    <n v="4950"/>
    <n v="6237"/>
    <n v="1287"/>
    <d v="1900-01-01T00:00:00"/>
    <x v="0"/>
  </r>
  <r>
    <x v="102"/>
    <x v="488"/>
    <x v="3"/>
    <d v="1971-09-01T00:00:00"/>
    <x v="0"/>
    <n v="15"/>
    <s v="Pro04"/>
    <x v="1"/>
    <x v="0"/>
    <n v="0.1"/>
    <x v="1"/>
    <n v="10"/>
    <n v="14"/>
    <n v="52"/>
    <n v="150"/>
    <n v="189"/>
    <n v="39"/>
    <d v="1900-01-01T00:00:00"/>
    <x v="0"/>
  </r>
  <r>
    <x v="102"/>
    <x v="489"/>
    <x v="9"/>
    <d v="1977-03-17T00:00:00"/>
    <x v="1"/>
    <n v="49"/>
    <s v="Pro04"/>
    <x v="5"/>
    <x v="0"/>
    <n v="0.1"/>
    <x v="1"/>
    <n v="10"/>
    <n v="14"/>
    <n v="47"/>
    <n v="490"/>
    <n v="617.4"/>
    <n v="127.39999999999998"/>
    <d v="1900-01-01T00:00:00"/>
    <x v="0"/>
  </r>
  <r>
    <x v="102"/>
    <x v="490"/>
    <x v="6"/>
    <d v="2003-03-26T00:00:00"/>
    <x v="1"/>
    <n v="476"/>
    <s v="Pro07"/>
    <x v="1"/>
    <x v="0"/>
    <n v="0.1"/>
    <x v="0"/>
    <n v="19"/>
    <n v="23"/>
    <n v="21"/>
    <n v="9044"/>
    <n v="9853.2000000000007"/>
    <n v="809.20000000000073"/>
    <d v="1900-01-01T00:00:00"/>
    <x v="0"/>
  </r>
  <r>
    <x v="103"/>
    <x v="491"/>
    <x v="2"/>
    <d v="1989-02-13T00:00:00"/>
    <x v="2"/>
    <n v="88"/>
    <s v="Pro04"/>
    <x v="5"/>
    <x v="1"/>
    <n v="0.1"/>
    <x v="1"/>
    <n v="10"/>
    <n v="14"/>
    <n v="35"/>
    <n v="880"/>
    <n v="1108.8"/>
    <n v="228.79999999999995"/>
    <d v="1900-01-02T00:00:00"/>
    <x v="0"/>
  </r>
  <r>
    <x v="103"/>
    <x v="492"/>
    <x v="9"/>
    <d v="1976-10-29T00:00:00"/>
    <x v="3"/>
    <n v="339"/>
    <s v="Pro03"/>
    <x v="1"/>
    <x v="0"/>
    <n v="0.1"/>
    <x v="10"/>
    <n v="3"/>
    <n v="5"/>
    <n v="47"/>
    <n v="1017"/>
    <n v="1525.5"/>
    <n v="508.5"/>
    <d v="1900-01-02T00:00:00"/>
    <x v="0"/>
  </r>
  <r>
    <x v="103"/>
    <x v="493"/>
    <x v="7"/>
    <d v="1961-07-03T00:00:00"/>
    <x v="1"/>
    <n v="83"/>
    <s v="Pro07"/>
    <x v="5"/>
    <x v="0"/>
    <n v="0.1"/>
    <x v="0"/>
    <n v="19"/>
    <n v="23"/>
    <n v="62"/>
    <n v="1577"/>
    <n v="1718.1000000000001"/>
    <n v="141.10000000000014"/>
    <d v="1900-01-02T00:00:00"/>
    <x v="0"/>
  </r>
  <r>
    <x v="103"/>
    <x v="494"/>
    <x v="0"/>
    <d v="2002-02-06T00:00:00"/>
    <x v="3"/>
    <n v="361"/>
    <s v="Pro10"/>
    <x v="2"/>
    <x v="0"/>
    <n v="0.1"/>
    <x v="7"/>
    <n v="18"/>
    <n v="36"/>
    <n v="22"/>
    <n v="6498"/>
    <n v="11696.4"/>
    <n v="5198.3999999999996"/>
    <d v="1900-01-02T00:00:00"/>
    <x v="0"/>
  </r>
  <r>
    <x v="103"/>
    <x v="495"/>
    <x v="7"/>
    <d v="1952-01-21T00:00:00"/>
    <x v="0"/>
    <n v="10"/>
    <s v="Pro09"/>
    <x v="1"/>
    <x v="0"/>
    <n v="0.1"/>
    <x v="3"/>
    <n v="10"/>
    <n v="45"/>
    <n v="72"/>
    <n v="100"/>
    <n v="405"/>
    <n v="305"/>
    <d v="1900-01-02T00:00:00"/>
    <x v="0"/>
  </r>
  <r>
    <x v="104"/>
    <x v="496"/>
    <x v="2"/>
    <d v="1991-12-08T00:00:00"/>
    <x v="2"/>
    <n v="436"/>
    <s v="Pro06"/>
    <x v="2"/>
    <x v="0"/>
    <n v="0.1"/>
    <x v="4"/>
    <n v="7"/>
    <n v="9"/>
    <n v="32"/>
    <n v="3052"/>
    <n v="3531.6"/>
    <n v="479.59999999999991"/>
    <d v="1900-01-03T00:00:00"/>
    <x v="0"/>
  </r>
  <r>
    <x v="104"/>
    <x v="497"/>
    <x v="8"/>
    <d v="1994-04-29T00:00:00"/>
    <x v="3"/>
    <n v="491"/>
    <s v="Pro02"/>
    <x v="1"/>
    <x v="0"/>
    <n v="0.1"/>
    <x v="8"/>
    <n v="18"/>
    <n v="22"/>
    <n v="29"/>
    <n v="8838"/>
    <n v="9721.8000000000011"/>
    <n v="883.80000000000109"/>
    <d v="1900-01-03T00:00:00"/>
    <x v="0"/>
  </r>
  <r>
    <x v="104"/>
    <x v="498"/>
    <x v="9"/>
    <d v="1986-10-29T00:00:00"/>
    <x v="1"/>
    <n v="419"/>
    <s v="Pro03"/>
    <x v="1"/>
    <x v="0"/>
    <n v="0.1"/>
    <x v="10"/>
    <n v="3"/>
    <n v="5"/>
    <n v="37"/>
    <n v="1257"/>
    <n v="1885.5"/>
    <n v="628.5"/>
    <d v="1900-01-03T00:00:00"/>
    <x v="0"/>
  </r>
  <r>
    <x v="104"/>
    <x v="499"/>
    <x v="8"/>
    <d v="1991-03-25T00:00:00"/>
    <x v="1"/>
    <n v="188"/>
    <s v="Pro09"/>
    <x v="1"/>
    <x v="0"/>
    <n v="0.1"/>
    <x v="3"/>
    <n v="10"/>
    <n v="45"/>
    <n v="33"/>
    <n v="1880"/>
    <n v="7614"/>
    <n v="5734"/>
    <d v="1900-01-03T00:00:00"/>
    <x v="0"/>
  </r>
  <r>
    <x v="104"/>
    <x v="500"/>
    <x v="9"/>
    <d v="2000-06-15T00:00:00"/>
    <x v="0"/>
    <n v="145"/>
    <s v="Pro05"/>
    <x v="2"/>
    <x v="0"/>
    <n v="0.1"/>
    <x v="5"/>
    <n v="14"/>
    <n v="28"/>
    <n v="23"/>
    <n v="2030"/>
    <n v="3654"/>
    <n v="1624"/>
    <d v="1900-01-03T00:00:00"/>
    <x v="0"/>
  </r>
  <r>
    <x v="104"/>
    <x v="501"/>
    <x v="5"/>
    <d v="1976-12-02T00:00:00"/>
    <x v="0"/>
    <n v="16"/>
    <s v="Pro01"/>
    <x v="5"/>
    <x v="0"/>
    <n v="0.1"/>
    <x v="9"/>
    <n v="10"/>
    <n v="11"/>
    <n v="47"/>
    <n v="160"/>
    <n v="158.4"/>
    <n v="-1.5999999999999943"/>
    <d v="1900-01-03T00:00:00"/>
    <x v="0"/>
  </r>
  <r>
    <x v="105"/>
    <x v="502"/>
    <x v="3"/>
    <d v="1955-03-10T00:00:00"/>
    <x v="2"/>
    <n v="216"/>
    <s v="Pro05"/>
    <x v="2"/>
    <x v="0"/>
    <n v="0.1"/>
    <x v="5"/>
    <n v="14"/>
    <n v="28"/>
    <n v="69"/>
    <n v="3024"/>
    <n v="5443.2"/>
    <n v="2419.1999999999998"/>
    <d v="1900-01-04T00:00:00"/>
    <x v="0"/>
  </r>
  <r>
    <x v="105"/>
    <x v="503"/>
    <x v="0"/>
    <d v="1946-06-14T00:00:00"/>
    <x v="0"/>
    <n v="16"/>
    <s v="Pro01"/>
    <x v="2"/>
    <x v="0"/>
    <n v="0.1"/>
    <x v="9"/>
    <n v="10"/>
    <n v="11"/>
    <n v="77"/>
    <n v="160"/>
    <n v="158.4"/>
    <n v="-1.5999999999999943"/>
    <d v="1900-01-04T00:00:00"/>
    <x v="0"/>
  </r>
  <r>
    <x v="105"/>
    <x v="504"/>
    <x v="10"/>
    <d v="1979-05-01T00:00:00"/>
    <x v="1"/>
    <n v="375"/>
    <s v="Pro08"/>
    <x v="1"/>
    <x v="0"/>
    <n v="0.1"/>
    <x v="6"/>
    <n v="5"/>
    <n v="7"/>
    <n v="44"/>
    <n v="1875"/>
    <n v="2362.5"/>
    <n v="487.5"/>
    <d v="1900-01-04T00:00:00"/>
    <x v="0"/>
  </r>
  <r>
    <x v="105"/>
    <x v="505"/>
    <x v="10"/>
    <s v="Unknown"/>
    <x v="2"/>
    <n v="288"/>
    <s v="Pro06"/>
    <x v="8"/>
    <x v="0"/>
    <n v="0.1"/>
    <x v="4"/>
    <n v="7"/>
    <n v="9"/>
    <e v="#VALUE!"/>
    <n v="2016"/>
    <n v="2332.8000000000002"/>
    <n v="316.80000000000018"/>
    <d v="1900-01-04T00:00:00"/>
    <x v="0"/>
  </r>
  <r>
    <x v="105"/>
    <x v="506"/>
    <x v="9"/>
    <d v="1983-06-06T00:00:00"/>
    <x v="0"/>
    <n v="276"/>
    <s v="Pro08"/>
    <x v="3"/>
    <x v="0"/>
    <n v="0.1"/>
    <x v="6"/>
    <n v="5"/>
    <n v="7"/>
    <n v="40"/>
    <n v="1380"/>
    <n v="1738.8"/>
    <n v="358.79999999999995"/>
    <d v="1900-01-04T00:00:00"/>
    <x v="0"/>
  </r>
  <r>
    <x v="106"/>
    <x v="507"/>
    <x v="2"/>
    <d v="2003-04-10T00:00:00"/>
    <x v="3"/>
    <n v="242"/>
    <s v="Pro08"/>
    <x v="1"/>
    <x v="0"/>
    <n v="0.1"/>
    <x v="6"/>
    <n v="5"/>
    <n v="7"/>
    <n v="21"/>
    <n v="1210"/>
    <n v="1524.6000000000001"/>
    <n v="314.60000000000014"/>
    <d v="1900-01-05T00:00:00"/>
    <x v="0"/>
  </r>
  <r>
    <x v="106"/>
    <x v="508"/>
    <x v="7"/>
    <d v="1945-06-22T00:00:00"/>
    <x v="2"/>
    <n v="173"/>
    <s v="Pro08"/>
    <x v="2"/>
    <x v="0"/>
    <n v="0.1"/>
    <x v="6"/>
    <n v="5"/>
    <n v="7"/>
    <n v="78"/>
    <n v="865"/>
    <n v="1089.9000000000001"/>
    <n v="224.90000000000009"/>
    <d v="1900-01-05T00:00:00"/>
    <x v="0"/>
  </r>
  <r>
    <x v="106"/>
    <x v="509"/>
    <x v="10"/>
    <d v="2006-07-25T00:00:00"/>
    <x v="3"/>
    <n v="431"/>
    <s v="Pro05"/>
    <x v="1"/>
    <x v="0"/>
    <n v="0.1"/>
    <x v="5"/>
    <n v="14"/>
    <n v="28"/>
    <n v="17"/>
    <n v="6034"/>
    <n v="10861.2"/>
    <n v="4827.2000000000007"/>
    <d v="1900-01-05T00:00:00"/>
    <x v="0"/>
  </r>
  <r>
    <x v="106"/>
    <x v="510"/>
    <x v="3"/>
    <d v="1973-07-26T00:00:00"/>
    <x v="3"/>
    <n v="399"/>
    <s v="Pro05"/>
    <x v="1"/>
    <x v="0"/>
    <n v="0.1"/>
    <x v="5"/>
    <n v="14"/>
    <n v="28"/>
    <n v="50"/>
    <n v="5586"/>
    <n v="10054.800000000001"/>
    <n v="4468.8000000000011"/>
    <d v="1900-01-05T00:00:00"/>
    <x v="0"/>
  </r>
  <r>
    <x v="106"/>
    <x v="511"/>
    <x v="3"/>
    <d v="1980-09-06T00:00:00"/>
    <x v="2"/>
    <n v="336"/>
    <s v="Pro06"/>
    <x v="2"/>
    <x v="0"/>
    <n v="0.1"/>
    <x v="4"/>
    <n v="7"/>
    <n v="9"/>
    <n v="43"/>
    <n v="2352"/>
    <n v="2721.6"/>
    <n v="369.59999999999991"/>
    <d v="1900-01-05T00:00:00"/>
    <x v="0"/>
  </r>
  <r>
    <x v="106"/>
    <x v="512"/>
    <x v="8"/>
    <d v="1965-09-11T00:00:00"/>
    <x v="2"/>
    <n v="354"/>
    <s v="Pro06"/>
    <x v="2"/>
    <x v="0"/>
    <n v="0.1"/>
    <x v="4"/>
    <n v="7"/>
    <n v="9"/>
    <n v="58"/>
    <n v="2478"/>
    <n v="2867.4"/>
    <n v="389.40000000000009"/>
    <d v="1900-01-05T00:00:00"/>
    <x v="0"/>
  </r>
  <r>
    <x v="107"/>
    <x v="513"/>
    <x v="8"/>
    <d v="1958-10-27T00:00:00"/>
    <x v="3"/>
    <n v="234"/>
    <s v="Pro04"/>
    <x v="1"/>
    <x v="0"/>
    <n v="0.1"/>
    <x v="1"/>
    <n v="10"/>
    <n v="14"/>
    <n v="65"/>
    <n v="2340"/>
    <n v="2948.4"/>
    <n v="608.40000000000009"/>
    <d v="1900-01-06T00:00:00"/>
    <x v="1"/>
  </r>
  <r>
    <x v="107"/>
    <x v="514"/>
    <x v="1"/>
    <d v="1996-12-01T00:00:00"/>
    <x v="2"/>
    <n v="476"/>
    <s v="Pro02"/>
    <x v="0"/>
    <x v="0"/>
    <n v="0.1"/>
    <x v="8"/>
    <n v="18"/>
    <n v="22"/>
    <n v="27"/>
    <n v="8568"/>
    <n v="9424.8000000000011"/>
    <n v="856.80000000000109"/>
    <d v="1900-01-06T00:00:00"/>
    <x v="1"/>
  </r>
  <r>
    <x v="108"/>
    <x v="515"/>
    <x v="9"/>
    <d v="1993-12-01T00:00:00"/>
    <x v="3"/>
    <n v="266"/>
    <s v="Pro06"/>
    <x v="2"/>
    <x v="0"/>
    <n v="0.1"/>
    <x v="4"/>
    <n v="7"/>
    <n v="9"/>
    <n v="30"/>
    <n v="1862"/>
    <n v="2154.6"/>
    <n v="292.59999999999991"/>
    <d v="1899-12-31T00:00:00"/>
    <x v="1"/>
  </r>
  <r>
    <x v="108"/>
    <x v="516"/>
    <x v="6"/>
    <d v="1975-08-10T00:00:00"/>
    <x v="0"/>
    <n v="359"/>
    <s v="Pro06"/>
    <x v="2"/>
    <x v="0"/>
    <n v="0.1"/>
    <x v="4"/>
    <n v="7"/>
    <n v="9"/>
    <n v="48"/>
    <n v="2513"/>
    <n v="2907.9"/>
    <n v="394.90000000000009"/>
    <d v="1899-12-31T00:00:00"/>
    <x v="1"/>
  </r>
  <r>
    <x v="108"/>
    <x v="517"/>
    <x v="1"/>
    <d v="1989-09-03T00:00:00"/>
    <x v="3"/>
    <n v="284"/>
    <s v="Pro02"/>
    <x v="5"/>
    <x v="0"/>
    <n v="0.1"/>
    <x v="8"/>
    <n v="18"/>
    <n v="22"/>
    <n v="34"/>
    <n v="5112"/>
    <n v="5623.2"/>
    <n v="511.19999999999982"/>
    <d v="1899-12-31T00:00:00"/>
    <x v="1"/>
  </r>
  <r>
    <x v="108"/>
    <x v="518"/>
    <x v="8"/>
    <d v="1955-11-01T00:00:00"/>
    <x v="3"/>
    <n v="92"/>
    <s v="Pro08"/>
    <x v="5"/>
    <x v="0"/>
    <n v="0.1"/>
    <x v="6"/>
    <n v="5"/>
    <n v="7"/>
    <n v="68"/>
    <n v="460"/>
    <n v="579.6"/>
    <n v="119.60000000000002"/>
    <d v="1899-12-31T00:00:00"/>
    <x v="1"/>
  </r>
  <r>
    <x v="108"/>
    <x v="519"/>
    <x v="10"/>
    <s v="Unknown"/>
    <x v="1"/>
    <n v="277"/>
    <s v="Pro06"/>
    <x v="0"/>
    <x v="0"/>
    <n v="0.1"/>
    <x v="4"/>
    <n v="7"/>
    <n v="9"/>
    <e v="#VALUE!"/>
    <n v="1939"/>
    <n v="2243.7000000000003"/>
    <n v="304.70000000000027"/>
    <d v="1899-12-31T00:00:00"/>
    <x v="1"/>
  </r>
  <r>
    <x v="108"/>
    <x v="520"/>
    <x v="6"/>
    <d v="1964-11-21T00:00:00"/>
    <x v="1"/>
    <n v="151"/>
    <s v="Pro04"/>
    <x v="2"/>
    <x v="0"/>
    <n v="0.1"/>
    <x v="1"/>
    <n v="10"/>
    <n v="14"/>
    <n v="59"/>
    <n v="1510"/>
    <n v="1902.6000000000001"/>
    <n v="392.60000000000014"/>
    <d v="1899-12-31T00:00:00"/>
    <x v="1"/>
  </r>
  <r>
    <x v="108"/>
    <x v="521"/>
    <x v="1"/>
    <d v="1975-10-02T00:00:00"/>
    <x v="0"/>
    <n v="209"/>
    <s v="Pro06"/>
    <x v="1"/>
    <x v="0"/>
    <n v="0.1"/>
    <x v="4"/>
    <n v="7"/>
    <n v="9"/>
    <n v="48"/>
    <n v="1463"/>
    <n v="1692.9"/>
    <n v="229.90000000000009"/>
    <d v="1899-12-31T00:00:00"/>
    <x v="1"/>
  </r>
  <r>
    <x v="108"/>
    <x v="522"/>
    <x v="8"/>
    <d v="1965-10-06T00:00:00"/>
    <x v="1"/>
    <n v="41"/>
    <s v="Pro03"/>
    <x v="2"/>
    <x v="0"/>
    <n v="0.1"/>
    <x v="10"/>
    <n v="3"/>
    <n v="5"/>
    <n v="58"/>
    <n v="123"/>
    <n v="184.5"/>
    <n v="61.5"/>
    <d v="1899-12-31T00:00:00"/>
    <x v="1"/>
  </r>
  <r>
    <x v="109"/>
    <x v="523"/>
    <x v="1"/>
    <d v="1957-04-27T00:00:00"/>
    <x v="0"/>
    <n v="247"/>
    <s v="Pro01"/>
    <x v="8"/>
    <x v="0"/>
    <n v="0.1"/>
    <x v="9"/>
    <n v="10"/>
    <n v="11"/>
    <n v="66"/>
    <n v="2470"/>
    <n v="2445.3000000000002"/>
    <n v="-24.699999999999818"/>
    <d v="1900-01-01T00:00:00"/>
    <x v="0"/>
  </r>
  <r>
    <x v="109"/>
    <x v="524"/>
    <x v="4"/>
    <d v="1973-05-30T00:00:00"/>
    <x v="0"/>
    <n v="236"/>
    <s v="Pro10"/>
    <x v="1"/>
    <x v="0"/>
    <n v="0.1"/>
    <x v="7"/>
    <n v="18"/>
    <n v="36"/>
    <n v="50"/>
    <n v="4248"/>
    <n v="7646.4000000000005"/>
    <n v="3398.4000000000005"/>
    <d v="1900-01-01T00:00:00"/>
    <x v="0"/>
  </r>
  <r>
    <x v="109"/>
    <x v="525"/>
    <x v="2"/>
    <d v="1955-03-10T00:00:00"/>
    <x v="3"/>
    <n v="161"/>
    <s v="Pro10"/>
    <x v="1"/>
    <x v="0"/>
    <n v="0.1"/>
    <x v="7"/>
    <n v="18"/>
    <n v="36"/>
    <n v="69"/>
    <n v="2898"/>
    <n v="5216.4000000000005"/>
    <n v="2318.4000000000005"/>
    <d v="1900-01-01T00:00:00"/>
    <x v="0"/>
  </r>
  <r>
    <x v="110"/>
    <x v="526"/>
    <x v="3"/>
    <d v="1963-02-18T00:00:00"/>
    <x v="1"/>
    <n v="391"/>
    <s v="Pro03"/>
    <x v="1"/>
    <x v="1"/>
    <n v="0.1"/>
    <x v="10"/>
    <n v="3"/>
    <n v="5"/>
    <n v="61"/>
    <n v="1173"/>
    <n v="1759.5"/>
    <n v="586.5"/>
    <d v="1900-01-02T00:00:00"/>
    <x v="0"/>
  </r>
  <r>
    <x v="110"/>
    <x v="527"/>
    <x v="6"/>
    <d v="2004-04-23T00:00:00"/>
    <x v="2"/>
    <n v="277"/>
    <s v="Pro06"/>
    <x v="3"/>
    <x v="0"/>
    <n v="0.1"/>
    <x v="4"/>
    <n v="7"/>
    <n v="9"/>
    <n v="20"/>
    <n v="1939"/>
    <n v="2243.7000000000003"/>
    <n v="304.70000000000027"/>
    <d v="1900-01-02T00:00:00"/>
    <x v="0"/>
  </r>
  <r>
    <x v="111"/>
    <x v="528"/>
    <x v="4"/>
    <d v="1977-06-13T00:00:00"/>
    <x v="2"/>
    <n v="492"/>
    <s v="Pro04"/>
    <x v="2"/>
    <x v="0"/>
    <n v="0.1"/>
    <x v="1"/>
    <n v="10"/>
    <n v="14"/>
    <n v="46"/>
    <n v="4920"/>
    <n v="6199.2"/>
    <n v="1279.1999999999998"/>
    <d v="1900-01-03T00:00:00"/>
    <x v="0"/>
  </r>
  <r>
    <x v="111"/>
    <x v="2"/>
    <x v="2"/>
    <d v="1961-10-10T00:00:00"/>
    <x v="0"/>
    <n v="19"/>
    <s v="Pro09"/>
    <x v="1"/>
    <x v="0"/>
    <n v="0.1"/>
    <x v="3"/>
    <n v="10"/>
    <n v="45"/>
    <n v="62"/>
    <n v="190"/>
    <n v="769.5"/>
    <n v="579.5"/>
    <d v="1900-01-03T00:00:00"/>
    <x v="0"/>
  </r>
  <r>
    <x v="112"/>
    <x v="529"/>
    <x v="5"/>
    <d v="1955-11-18T00:00:00"/>
    <x v="0"/>
    <n v="177"/>
    <s v="Pro02"/>
    <x v="1"/>
    <x v="0"/>
    <n v="0.1"/>
    <x v="8"/>
    <n v="18"/>
    <n v="22"/>
    <n v="68"/>
    <n v="3186"/>
    <n v="3504.6"/>
    <n v="318.59999999999991"/>
    <d v="1900-01-04T00:00:00"/>
    <x v="0"/>
  </r>
  <r>
    <x v="112"/>
    <x v="530"/>
    <x v="0"/>
    <d v="1966-07-22T00:00:00"/>
    <x v="0"/>
    <n v="99"/>
    <s v="Pro04"/>
    <x v="1"/>
    <x v="0"/>
    <n v="0.1"/>
    <x v="1"/>
    <n v="10"/>
    <n v="14"/>
    <n v="57"/>
    <n v="990"/>
    <n v="1247.4000000000001"/>
    <n v="257.40000000000009"/>
    <d v="1900-01-04T00:00:00"/>
    <x v="0"/>
  </r>
  <r>
    <x v="112"/>
    <x v="531"/>
    <x v="2"/>
    <d v="1999-05-26T00:00:00"/>
    <x v="2"/>
    <n v="255"/>
    <s v="Pro08"/>
    <x v="0"/>
    <x v="0"/>
    <n v="0.1"/>
    <x v="6"/>
    <n v="5"/>
    <n v="7"/>
    <n v="24"/>
    <n v="1275"/>
    <n v="1606.5"/>
    <n v="331.5"/>
    <d v="1900-01-04T00:00:00"/>
    <x v="0"/>
  </r>
  <r>
    <x v="112"/>
    <x v="532"/>
    <x v="5"/>
    <d v="2000-01-02T00:00:00"/>
    <x v="3"/>
    <n v="439"/>
    <s v="Pro09"/>
    <x v="1"/>
    <x v="0"/>
    <n v="0.1"/>
    <x v="3"/>
    <n v="10"/>
    <n v="45"/>
    <n v="24"/>
    <n v="4390"/>
    <n v="17779.5"/>
    <n v="13389.5"/>
    <d v="1900-01-04T00:00:00"/>
    <x v="0"/>
  </r>
  <r>
    <x v="112"/>
    <x v="533"/>
    <x v="9"/>
    <d v="1994-01-25T00:00:00"/>
    <x v="1"/>
    <n v="337"/>
    <s v="Pro05"/>
    <x v="2"/>
    <x v="0"/>
    <n v="0.1"/>
    <x v="5"/>
    <n v="14"/>
    <n v="28"/>
    <n v="30"/>
    <n v="4718"/>
    <n v="8492.4"/>
    <n v="3774.3999999999996"/>
    <d v="1900-01-04T00:00:00"/>
    <x v="0"/>
  </r>
  <r>
    <x v="112"/>
    <x v="534"/>
    <x v="2"/>
    <d v="1980-10-25T00:00:00"/>
    <x v="0"/>
    <n v="330"/>
    <s v="Pro09"/>
    <x v="1"/>
    <x v="0"/>
    <n v="0.1"/>
    <x v="3"/>
    <n v="10"/>
    <n v="45"/>
    <n v="43"/>
    <n v="3300"/>
    <n v="13365"/>
    <n v="10065"/>
    <d v="1900-01-04T00:00:00"/>
    <x v="0"/>
  </r>
  <r>
    <x v="113"/>
    <x v="535"/>
    <x v="10"/>
    <d v="1987-08-28T00:00:00"/>
    <x v="3"/>
    <n v="165"/>
    <s v="Pro01"/>
    <x v="2"/>
    <x v="0"/>
    <n v="0.1"/>
    <x v="9"/>
    <n v="10"/>
    <n v="11"/>
    <n v="36"/>
    <n v="1650"/>
    <n v="1633.5"/>
    <n v="-16.5"/>
    <d v="1900-01-05T00:00:00"/>
    <x v="0"/>
  </r>
  <r>
    <x v="113"/>
    <x v="536"/>
    <x v="7"/>
    <s v="Unknown"/>
    <x v="2"/>
    <n v="245"/>
    <s v="Unknown"/>
    <x v="3"/>
    <x v="0"/>
    <n v="0.1"/>
    <x v="2"/>
    <n v="0"/>
    <n v="0"/>
    <e v="#VALUE!"/>
    <n v="0"/>
    <n v="0"/>
    <n v="0"/>
    <d v="1900-01-05T00:00:00"/>
    <x v="0"/>
  </r>
  <r>
    <x v="113"/>
    <x v="537"/>
    <x v="0"/>
    <d v="1980-05-08T00:00:00"/>
    <x v="1"/>
    <n v="146"/>
    <s v="Pro07"/>
    <x v="3"/>
    <x v="0"/>
    <n v="0.1"/>
    <x v="0"/>
    <n v="19"/>
    <n v="23"/>
    <n v="43"/>
    <n v="2774"/>
    <n v="3022.2000000000003"/>
    <n v="248.20000000000027"/>
    <d v="1900-01-05T00:00:00"/>
    <x v="0"/>
  </r>
  <r>
    <x v="113"/>
    <x v="538"/>
    <x v="1"/>
    <d v="1989-06-24T00:00:00"/>
    <x v="1"/>
    <n v="493"/>
    <s v="Pro01"/>
    <x v="2"/>
    <x v="0"/>
    <n v="0.1"/>
    <x v="9"/>
    <n v="10"/>
    <n v="11"/>
    <n v="34"/>
    <n v="4930"/>
    <n v="4880.7"/>
    <n v="-49.300000000000182"/>
    <d v="1900-01-05T00:00:00"/>
    <x v="0"/>
  </r>
  <r>
    <x v="113"/>
    <x v="539"/>
    <x v="9"/>
    <d v="1981-08-29T00:00:00"/>
    <x v="3"/>
    <n v="91"/>
    <s v="Pro01"/>
    <x v="0"/>
    <x v="0"/>
    <n v="0.1"/>
    <x v="9"/>
    <n v="10"/>
    <n v="11"/>
    <n v="42"/>
    <n v="910"/>
    <n v="900.9"/>
    <n v="-9.1000000000000227"/>
    <d v="1900-01-05T00:00:00"/>
    <x v="0"/>
  </r>
  <r>
    <x v="114"/>
    <x v="540"/>
    <x v="1"/>
    <d v="1968-07-30T00:00:00"/>
    <x v="3"/>
    <n v="402"/>
    <s v="Pro08"/>
    <x v="0"/>
    <x v="0"/>
    <n v="0.1"/>
    <x v="6"/>
    <n v="5"/>
    <n v="7"/>
    <n v="55"/>
    <n v="2010"/>
    <n v="2532.6"/>
    <n v="522.59999999999991"/>
    <d v="1900-01-06T00:00:00"/>
    <x v="1"/>
  </r>
  <r>
    <x v="114"/>
    <x v="541"/>
    <x v="10"/>
    <d v="1983-02-28T00:00:00"/>
    <x v="3"/>
    <n v="335"/>
    <s v="Pro10"/>
    <x v="3"/>
    <x v="0"/>
    <n v="0.1"/>
    <x v="7"/>
    <n v="18"/>
    <n v="36"/>
    <n v="41"/>
    <n v="6030"/>
    <n v="10854"/>
    <n v="4824"/>
    <d v="1900-01-06T00:00:00"/>
    <x v="1"/>
  </r>
  <r>
    <x v="114"/>
    <x v="542"/>
    <x v="9"/>
    <d v="1991-01-11T00:00:00"/>
    <x v="0"/>
    <n v="308"/>
    <s v="Pro06"/>
    <x v="2"/>
    <x v="0"/>
    <n v="0.1"/>
    <x v="4"/>
    <n v="7"/>
    <n v="9"/>
    <n v="33"/>
    <n v="2156"/>
    <n v="2494.8000000000002"/>
    <n v="338.80000000000018"/>
    <d v="1900-01-06T00:00:00"/>
    <x v="1"/>
  </r>
  <r>
    <x v="114"/>
    <x v="543"/>
    <x v="3"/>
    <d v="1992-08-24T00:00:00"/>
    <x v="1"/>
    <n v="444"/>
    <s v="Pro10"/>
    <x v="0"/>
    <x v="2"/>
    <n v="0.1"/>
    <x v="7"/>
    <n v="18"/>
    <n v="36"/>
    <n v="31"/>
    <n v="7992"/>
    <n v="14385.6"/>
    <n v="6393.6"/>
    <d v="1900-01-06T00:00:00"/>
    <x v="1"/>
  </r>
  <r>
    <x v="114"/>
    <x v="544"/>
    <x v="3"/>
    <d v="1953-09-16T00:00:00"/>
    <x v="3"/>
    <n v="369"/>
    <s v="Pro01"/>
    <x v="1"/>
    <x v="0"/>
    <n v="0.1"/>
    <x v="9"/>
    <n v="10"/>
    <n v="11"/>
    <n v="70"/>
    <n v="3690"/>
    <n v="3653.1"/>
    <n v="-36.900000000000091"/>
    <d v="1900-01-06T00:00:00"/>
    <x v="1"/>
  </r>
  <r>
    <x v="115"/>
    <x v="61"/>
    <x v="5"/>
    <d v="1997-08-28T00:00:00"/>
    <x v="0"/>
    <n v="299"/>
    <s v="Pro02"/>
    <x v="7"/>
    <x v="0"/>
    <n v="0.1"/>
    <x v="8"/>
    <n v="18"/>
    <n v="22"/>
    <n v="26"/>
    <n v="5382"/>
    <n v="5920.2"/>
    <n v="538.19999999999982"/>
    <d v="1899-12-31T00:00:00"/>
    <x v="1"/>
  </r>
  <r>
    <x v="115"/>
    <x v="545"/>
    <x v="6"/>
    <d v="2001-09-16T00:00:00"/>
    <x v="0"/>
    <n v="372"/>
    <s v="Unknown"/>
    <x v="1"/>
    <x v="1"/>
    <n v="0.1"/>
    <x v="2"/>
    <n v="0"/>
    <n v="0"/>
    <n v="22"/>
    <n v="0"/>
    <n v="0"/>
    <n v="0"/>
    <d v="1899-12-31T00:00:00"/>
    <x v="1"/>
  </r>
  <r>
    <x v="115"/>
    <x v="546"/>
    <x v="10"/>
    <d v="1987-11-07T00:00:00"/>
    <x v="1"/>
    <n v="25"/>
    <s v="Pro07"/>
    <x v="2"/>
    <x v="0"/>
    <n v="0.1"/>
    <x v="0"/>
    <n v="19"/>
    <n v="23"/>
    <n v="36"/>
    <n v="475"/>
    <n v="517.5"/>
    <n v="42.5"/>
    <d v="1899-12-31T00:00:00"/>
    <x v="1"/>
  </r>
  <r>
    <x v="115"/>
    <x v="547"/>
    <x v="9"/>
    <d v="1988-10-16T00:00:00"/>
    <x v="2"/>
    <n v="96"/>
    <s v="Pro09"/>
    <x v="2"/>
    <x v="0"/>
    <n v="0.1"/>
    <x v="3"/>
    <n v="10"/>
    <n v="45"/>
    <n v="35"/>
    <n v="960"/>
    <n v="3888"/>
    <n v="2928"/>
    <d v="1899-12-31T00:00:00"/>
    <x v="1"/>
  </r>
  <r>
    <x v="115"/>
    <x v="548"/>
    <x v="6"/>
    <d v="1964-09-11T00:00:00"/>
    <x v="1"/>
    <n v="257"/>
    <s v="Pro04"/>
    <x v="0"/>
    <x v="0"/>
    <n v="0.1"/>
    <x v="1"/>
    <n v="10"/>
    <n v="14"/>
    <n v="59"/>
    <n v="2570"/>
    <n v="3238.2000000000003"/>
    <n v="668.20000000000027"/>
    <d v="1899-12-31T00:00:00"/>
    <x v="1"/>
  </r>
  <r>
    <x v="115"/>
    <x v="549"/>
    <x v="8"/>
    <d v="1993-03-17T00:00:00"/>
    <x v="0"/>
    <n v="217"/>
    <s v="Pro01"/>
    <x v="2"/>
    <x v="0"/>
    <n v="0.1"/>
    <x v="9"/>
    <n v="10"/>
    <n v="11"/>
    <n v="31"/>
    <n v="2170"/>
    <n v="2148.3000000000002"/>
    <n v="-21.699999999999818"/>
    <d v="1899-12-31T00:00:00"/>
    <x v="1"/>
  </r>
  <r>
    <x v="115"/>
    <x v="550"/>
    <x v="0"/>
    <d v="1955-09-04T00:00:00"/>
    <x v="1"/>
    <n v="26"/>
    <s v="Pro02"/>
    <x v="4"/>
    <x v="0"/>
    <n v="0.1"/>
    <x v="8"/>
    <n v="18"/>
    <n v="22"/>
    <n v="68"/>
    <n v="468"/>
    <n v="514.80000000000007"/>
    <n v="46.800000000000068"/>
    <d v="1899-12-31T00:00:00"/>
    <x v="1"/>
  </r>
  <r>
    <x v="116"/>
    <x v="551"/>
    <x v="9"/>
    <d v="1970-04-05T00:00:00"/>
    <x v="1"/>
    <n v="306"/>
    <s v="Pro01"/>
    <x v="1"/>
    <x v="0"/>
    <n v="0.1"/>
    <x v="9"/>
    <n v="10"/>
    <n v="11"/>
    <n v="54"/>
    <n v="3060"/>
    <n v="3029.4"/>
    <n v="-30.599999999999909"/>
    <d v="1900-01-01T00:00:00"/>
    <x v="0"/>
  </r>
  <r>
    <x v="116"/>
    <x v="552"/>
    <x v="0"/>
    <d v="1963-01-13T00:00:00"/>
    <x v="2"/>
    <n v="125"/>
    <s v="Pro04"/>
    <x v="1"/>
    <x v="0"/>
    <n v="0.1"/>
    <x v="1"/>
    <n v="10"/>
    <n v="14"/>
    <n v="61"/>
    <n v="1250"/>
    <n v="1575"/>
    <n v="325"/>
    <d v="1900-01-01T00:00:00"/>
    <x v="0"/>
  </r>
  <r>
    <x v="116"/>
    <x v="553"/>
    <x v="2"/>
    <d v="1986-07-21T00:00:00"/>
    <x v="2"/>
    <n v="301"/>
    <s v="Pro01"/>
    <x v="1"/>
    <x v="0"/>
    <n v="0.1"/>
    <x v="9"/>
    <n v="10"/>
    <n v="11"/>
    <n v="37"/>
    <n v="3010"/>
    <n v="2979.9"/>
    <n v="-30.099999999999909"/>
    <d v="1900-01-01T00:00:00"/>
    <x v="0"/>
  </r>
  <r>
    <x v="116"/>
    <x v="554"/>
    <x v="6"/>
    <d v="1952-03-19T00:00:00"/>
    <x v="1"/>
    <n v="265"/>
    <s v="Pro04"/>
    <x v="3"/>
    <x v="0"/>
    <n v="0.1"/>
    <x v="1"/>
    <n v="10"/>
    <n v="14"/>
    <n v="72"/>
    <n v="2650"/>
    <n v="3339"/>
    <n v="689"/>
    <d v="1900-01-01T00:00:00"/>
    <x v="0"/>
  </r>
  <r>
    <x v="117"/>
    <x v="61"/>
    <x v="5"/>
    <d v="1981-12-13T00:00:00"/>
    <x v="2"/>
    <n v="434"/>
    <s v="Pro08"/>
    <x v="4"/>
    <x v="0"/>
    <n v="0.1"/>
    <x v="6"/>
    <n v="5"/>
    <n v="7"/>
    <n v="42"/>
    <n v="2170"/>
    <n v="2734.2000000000003"/>
    <n v="564.20000000000027"/>
    <d v="1900-01-02T00:00:00"/>
    <x v="0"/>
  </r>
  <r>
    <x v="117"/>
    <x v="555"/>
    <x v="5"/>
    <d v="1955-11-29T00:00:00"/>
    <x v="1"/>
    <n v="461"/>
    <s v="Pro01"/>
    <x v="1"/>
    <x v="1"/>
    <n v="0.1"/>
    <x v="9"/>
    <n v="10"/>
    <n v="11"/>
    <n v="68"/>
    <n v="4610"/>
    <n v="4563.9000000000005"/>
    <n v="-46.099999999999454"/>
    <d v="1900-01-02T00:00:00"/>
    <x v="0"/>
  </r>
  <r>
    <x v="117"/>
    <x v="556"/>
    <x v="3"/>
    <d v="1949-12-16T00:00:00"/>
    <x v="1"/>
    <n v="385"/>
    <s v="Pro05"/>
    <x v="1"/>
    <x v="0"/>
    <n v="0.1"/>
    <x v="5"/>
    <n v="14"/>
    <n v="28"/>
    <n v="74"/>
    <n v="5390"/>
    <n v="9702"/>
    <n v="4312"/>
    <d v="1900-01-02T00:00:00"/>
    <x v="0"/>
  </r>
  <r>
    <x v="117"/>
    <x v="557"/>
    <x v="3"/>
    <d v="1988-01-14T00:00:00"/>
    <x v="1"/>
    <n v="247"/>
    <s v="Pro10"/>
    <x v="3"/>
    <x v="0"/>
    <n v="0.1"/>
    <x v="7"/>
    <n v="18"/>
    <n v="36"/>
    <n v="36"/>
    <n v="4446"/>
    <n v="8002.8"/>
    <n v="3556.8"/>
    <d v="1900-01-02T00:00:00"/>
    <x v="0"/>
  </r>
  <r>
    <x v="117"/>
    <x v="558"/>
    <x v="0"/>
    <d v="1971-05-20T00:00:00"/>
    <x v="3"/>
    <n v="414"/>
    <s v="Pro01"/>
    <x v="2"/>
    <x v="0"/>
    <n v="0.1"/>
    <x v="9"/>
    <n v="10"/>
    <n v="11"/>
    <n v="52"/>
    <n v="4140"/>
    <n v="4098.6000000000004"/>
    <n v="-41.399999999999636"/>
    <d v="1900-01-02T00:00:00"/>
    <x v="0"/>
  </r>
  <r>
    <x v="118"/>
    <x v="559"/>
    <x v="0"/>
    <d v="1980-06-22T00:00:00"/>
    <x v="3"/>
    <n v="500"/>
    <s v="Pro04"/>
    <x v="0"/>
    <x v="0"/>
    <n v="0.1"/>
    <x v="1"/>
    <n v="10"/>
    <n v="14"/>
    <n v="43"/>
    <n v="5000"/>
    <n v="6300"/>
    <n v="1300"/>
    <d v="1900-01-03T00:00:00"/>
    <x v="0"/>
  </r>
  <r>
    <x v="118"/>
    <x v="560"/>
    <x v="4"/>
    <d v="2006-01-30T00:00:00"/>
    <x v="0"/>
    <n v="192"/>
    <s v="Pro07"/>
    <x v="1"/>
    <x v="0"/>
    <n v="0.1"/>
    <x v="0"/>
    <n v="19"/>
    <n v="23"/>
    <n v="18"/>
    <n v="3648"/>
    <n v="3974.4"/>
    <n v="326.40000000000009"/>
    <d v="1900-01-03T00:00:00"/>
    <x v="0"/>
  </r>
  <r>
    <x v="118"/>
    <x v="561"/>
    <x v="7"/>
    <d v="1980-07-24T00:00:00"/>
    <x v="1"/>
    <n v="468"/>
    <s v="Pro02"/>
    <x v="5"/>
    <x v="0"/>
    <n v="0.1"/>
    <x v="8"/>
    <n v="18"/>
    <n v="22"/>
    <n v="43"/>
    <n v="8424"/>
    <n v="9266.4"/>
    <n v="842.39999999999964"/>
    <d v="1900-01-03T00:00:00"/>
    <x v="0"/>
  </r>
  <r>
    <x v="119"/>
    <x v="562"/>
    <x v="1"/>
    <d v="1985-08-04T00:00:00"/>
    <x v="3"/>
    <n v="376"/>
    <s v="Pro10"/>
    <x v="1"/>
    <x v="1"/>
    <n v="0.1"/>
    <x v="7"/>
    <n v="18"/>
    <n v="36"/>
    <n v="38"/>
    <n v="6768"/>
    <n v="12182.4"/>
    <n v="5414.4"/>
    <d v="1900-01-04T00:00:00"/>
    <x v="0"/>
  </r>
  <r>
    <x v="119"/>
    <x v="563"/>
    <x v="9"/>
    <d v="1995-02-15T00:00:00"/>
    <x v="3"/>
    <n v="339"/>
    <s v="Pro07"/>
    <x v="0"/>
    <x v="0"/>
    <n v="0.1"/>
    <x v="0"/>
    <n v="19"/>
    <n v="23"/>
    <n v="29"/>
    <n v="6441"/>
    <n v="7017.3"/>
    <n v="576.30000000000018"/>
    <d v="1900-01-04T00:00:00"/>
    <x v="0"/>
  </r>
  <r>
    <x v="119"/>
    <x v="564"/>
    <x v="7"/>
    <d v="1999-10-28T00:00:00"/>
    <x v="2"/>
    <n v="193"/>
    <s v="Pro01"/>
    <x v="2"/>
    <x v="0"/>
    <n v="0.1"/>
    <x v="9"/>
    <n v="10"/>
    <n v="11"/>
    <n v="24"/>
    <n v="1930"/>
    <n v="1910.7"/>
    <n v="-19.299999999999955"/>
    <d v="1900-01-04T00:00:00"/>
    <x v="0"/>
  </r>
  <r>
    <x v="119"/>
    <x v="565"/>
    <x v="6"/>
    <d v="1997-01-20T00:00:00"/>
    <x v="3"/>
    <n v="47"/>
    <s v="Pro07"/>
    <x v="2"/>
    <x v="0"/>
    <n v="0.1"/>
    <x v="0"/>
    <n v="19"/>
    <n v="23"/>
    <n v="27"/>
    <n v="893"/>
    <n v="972.9"/>
    <n v="79.899999999999977"/>
    <d v="1900-01-04T00:00:00"/>
    <x v="0"/>
  </r>
  <r>
    <x v="120"/>
    <x v="566"/>
    <x v="8"/>
    <d v="1948-03-16T00:00:00"/>
    <x v="3"/>
    <n v="73"/>
    <s v="Pro02"/>
    <x v="1"/>
    <x v="0"/>
    <n v="0.1"/>
    <x v="8"/>
    <n v="18"/>
    <n v="22"/>
    <n v="76"/>
    <n v="1314"/>
    <n v="1445.4"/>
    <n v="131.40000000000009"/>
    <d v="1900-01-05T00:00:00"/>
    <x v="0"/>
  </r>
  <r>
    <x v="120"/>
    <x v="567"/>
    <x v="0"/>
    <d v="1946-02-16T00:00:00"/>
    <x v="2"/>
    <n v="299"/>
    <s v="Pro08"/>
    <x v="2"/>
    <x v="0"/>
    <n v="0.1"/>
    <x v="6"/>
    <n v="5"/>
    <n v="7"/>
    <n v="78"/>
    <n v="1495"/>
    <n v="1883.7"/>
    <n v="388.70000000000005"/>
    <d v="1900-01-05T00:00:00"/>
    <x v="0"/>
  </r>
  <r>
    <x v="120"/>
    <x v="568"/>
    <x v="7"/>
    <d v="2006-01-08T00:00:00"/>
    <x v="1"/>
    <n v="84"/>
    <s v="Pro05"/>
    <x v="2"/>
    <x v="0"/>
    <n v="0.1"/>
    <x v="5"/>
    <n v="14"/>
    <n v="28"/>
    <n v="18"/>
    <n v="1176"/>
    <n v="2116.8000000000002"/>
    <n v="940.80000000000018"/>
    <d v="1900-01-05T00:00:00"/>
    <x v="0"/>
  </r>
  <r>
    <x v="121"/>
    <x v="569"/>
    <x v="9"/>
    <d v="2002-12-05T00:00:00"/>
    <x v="0"/>
    <n v="397"/>
    <s v="Pro02"/>
    <x v="3"/>
    <x v="0"/>
    <n v="0.1"/>
    <x v="8"/>
    <n v="18"/>
    <n v="22"/>
    <n v="21"/>
    <n v="7146"/>
    <n v="7860.6"/>
    <n v="714.60000000000036"/>
    <d v="1900-01-06T00:00:00"/>
    <x v="1"/>
  </r>
  <r>
    <x v="121"/>
    <x v="570"/>
    <x v="1"/>
    <d v="1951-04-19T00:00:00"/>
    <x v="2"/>
    <n v="127"/>
    <s v="Pro09"/>
    <x v="3"/>
    <x v="0"/>
    <n v="0.1"/>
    <x v="3"/>
    <n v="10"/>
    <n v="45"/>
    <n v="73"/>
    <n v="1270"/>
    <n v="5143.5"/>
    <n v="3873.5"/>
    <d v="1900-01-06T00:00:00"/>
    <x v="1"/>
  </r>
  <r>
    <x v="121"/>
    <x v="571"/>
    <x v="2"/>
    <d v="1970-11-14T00:00:00"/>
    <x v="0"/>
    <n v="434"/>
    <s v="Pro09"/>
    <x v="1"/>
    <x v="0"/>
    <n v="0.1"/>
    <x v="3"/>
    <n v="10"/>
    <n v="45"/>
    <n v="53"/>
    <n v="4340"/>
    <n v="17577"/>
    <n v="13237"/>
    <d v="1900-01-06T00:00:00"/>
    <x v="1"/>
  </r>
  <r>
    <x v="121"/>
    <x v="572"/>
    <x v="0"/>
    <d v="1955-06-11T00:00:00"/>
    <x v="0"/>
    <n v="333"/>
    <s v="Pro01"/>
    <x v="3"/>
    <x v="0"/>
    <n v="0.1"/>
    <x v="9"/>
    <n v="10"/>
    <n v="11"/>
    <n v="68"/>
    <n v="3330"/>
    <n v="3296.7000000000003"/>
    <n v="-33.299999999999727"/>
    <d v="1900-01-06T00:00:00"/>
    <x v="1"/>
  </r>
  <r>
    <x v="122"/>
    <x v="573"/>
    <x v="1"/>
    <d v="1957-09-23T00:00:00"/>
    <x v="3"/>
    <n v="443"/>
    <s v="Pro07"/>
    <x v="2"/>
    <x v="0"/>
    <n v="0.1"/>
    <x v="0"/>
    <n v="19"/>
    <n v="23"/>
    <n v="66"/>
    <n v="8417"/>
    <n v="9170.1"/>
    <n v="753.10000000000036"/>
    <d v="1899-12-31T00:00:00"/>
    <x v="1"/>
  </r>
  <r>
    <x v="122"/>
    <x v="574"/>
    <x v="0"/>
    <d v="1953-06-25T00:00:00"/>
    <x v="3"/>
    <n v="209"/>
    <s v="Pro04"/>
    <x v="2"/>
    <x v="0"/>
    <n v="0.1"/>
    <x v="1"/>
    <n v="10"/>
    <n v="14"/>
    <n v="70"/>
    <n v="2090"/>
    <n v="2633.4"/>
    <n v="543.40000000000009"/>
    <d v="1899-12-31T00:00:00"/>
    <x v="1"/>
  </r>
  <r>
    <x v="122"/>
    <x v="575"/>
    <x v="7"/>
    <d v="1969-01-02T00:00:00"/>
    <x v="1"/>
    <n v="454"/>
    <s v="Pro05"/>
    <x v="2"/>
    <x v="0"/>
    <n v="0.1"/>
    <x v="5"/>
    <n v="14"/>
    <n v="28"/>
    <n v="55"/>
    <n v="6356"/>
    <n v="11440.800000000001"/>
    <n v="5084.8000000000011"/>
    <d v="1899-12-31T00:00:00"/>
    <x v="1"/>
  </r>
  <r>
    <x v="123"/>
    <x v="576"/>
    <x v="6"/>
    <d v="1984-07-21T00:00:00"/>
    <x v="2"/>
    <n v="72"/>
    <s v="Pro05"/>
    <x v="2"/>
    <x v="0"/>
    <n v="0.1"/>
    <x v="5"/>
    <n v="14"/>
    <n v="28"/>
    <n v="39"/>
    <n v="1008"/>
    <n v="1814.4"/>
    <n v="806.40000000000009"/>
    <d v="1900-01-01T00:00:00"/>
    <x v="0"/>
  </r>
  <r>
    <x v="123"/>
    <x v="577"/>
    <x v="7"/>
    <d v="1984-11-01T00:00:00"/>
    <x v="1"/>
    <n v="165"/>
    <s v="Pro09"/>
    <x v="2"/>
    <x v="0"/>
    <n v="0.1"/>
    <x v="3"/>
    <n v="10"/>
    <n v="45"/>
    <n v="39"/>
    <n v="1650"/>
    <n v="6682.5"/>
    <n v="5032.5"/>
    <d v="1900-01-01T00:00:00"/>
    <x v="0"/>
  </r>
  <r>
    <x v="123"/>
    <x v="578"/>
    <x v="10"/>
    <d v="1967-11-04T00:00:00"/>
    <x v="3"/>
    <n v="232"/>
    <s v="Pro03"/>
    <x v="4"/>
    <x v="0"/>
    <n v="0.1"/>
    <x v="10"/>
    <n v="3"/>
    <n v="5"/>
    <n v="56"/>
    <n v="696"/>
    <n v="1044"/>
    <n v="348"/>
    <d v="1900-01-01T00:00:00"/>
    <x v="0"/>
  </r>
  <r>
    <x v="123"/>
    <x v="579"/>
    <x v="1"/>
    <d v="1970-06-05T00:00:00"/>
    <x v="2"/>
    <n v="439"/>
    <s v="Pro10"/>
    <x v="0"/>
    <x v="0"/>
    <n v="0.1"/>
    <x v="7"/>
    <n v="18"/>
    <n v="36"/>
    <n v="53"/>
    <n v="7902"/>
    <n v="14223.6"/>
    <n v="6321.6"/>
    <d v="1900-01-01T00:00:00"/>
    <x v="0"/>
  </r>
  <r>
    <x v="123"/>
    <x v="580"/>
    <x v="2"/>
    <d v="1987-07-12T00:00:00"/>
    <x v="1"/>
    <n v="261"/>
    <s v="Pro04"/>
    <x v="2"/>
    <x v="0"/>
    <n v="0.1"/>
    <x v="1"/>
    <n v="10"/>
    <n v="14"/>
    <n v="36"/>
    <n v="2610"/>
    <n v="3288.6"/>
    <n v="678.59999999999991"/>
    <d v="1900-01-01T00:00:00"/>
    <x v="0"/>
  </r>
  <r>
    <x v="123"/>
    <x v="581"/>
    <x v="8"/>
    <d v="2003-05-20T00:00:00"/>
    <x v="3"/>
    <n v="468"/>
    <s v="Pro05"/>
    <x v="1"/>
    <x v="0"/>
    <n v="0.1"/>
    <x v="5"/>
    <n v="14"/>
    <n v="28"/>
    <n v="20"/>
    <n v="6552"/>
    <n v="11793.6"/>
    <n v="5241.6000000000004"/>
    <d v="1900-01-01T00:00:00"/>
    <x v="0"/>
  </r>
  <r>
    <x v="123"/>
    <x v="582"/>
    <x v="5"/>
    <d v="1968-07-22T00:00:00"/>
    <x v="2"/>
    <n v="433"/>
    <s v="Pro04"/>
    <x v="4"/>
    <x v="0"/>
    <n v="0.1"/>
    <x v="1"/>
    <n v="10"/>
    <n v="14"/>
    <n v="55"/>
    <n v="4330"/>
    <n v="5455.8"/>
    <n v="1125.8000000000002"/>
    <d v="1900-01-01T00:00:00"/>
    <x v="0"/>
  </r>
  <r>
    <x v="124"/>
    <x v="583"/>
    <x v="10"/>
    <d v="1954-10-11T00:00:00"/>
    <x v="2"/>
    <n v="182"/>
    <s v="Pro10"/>
    <x v="1"/>
    <x v="0"/>
    <n v="0.1"/>
    <x v="7"/>
    <n v="18"/>
    <n v="36"/>
    <n v="69"/>
    <n v="3276"/>
    <n v="5896.8"/>
    <n v="2620.8000000000002"/>
    <d v="1900-01-02T00:00:00"/>
    <x v="0"/>
  </r>
  <r>
    <x v="124"/>
    <x v="584"/>
    <x v="0"/>
    <d v="2002-10-17T00:00:00"/>
    <x v="3"/>
    <n v="383"/>
    <s v="Pro10"/>
    <x v="1"/>
    <x v="0"/>
    <n v="0.1"/>
    <x v="7"/>
    <n v="18"/>
    <n v="36"/>
    <n v="21"/>
    <n v="6894"/>
    <n v="12409.2"/>
    <n v="5515.2000000000007"/>
    <d v="1900-01-02T00:00:00"/>
    <x v="0"/>
  </r>
  <r>
    <x v="124"/>
    <x v="585"/>
    <x v="0"/>
    <d v="1996-12-20T00:00:00"/>
    <x v="2"/>
    <n v="198"/>
    <s v="Pro02"/>
    <x v="5"/>
    <x v="0"/>
    <n v="0.1"/>
    <x v="8"/>
    <n v="18"/>
    <n v="22"/>
    <n v="27"/>
    <n v="3564"/>
    <n v="3920.4"/>
    <n v="356.40000000000009"/>
    <d v="1900-01-02T00:00:00"/>
    <x v="0"/>
  </r>
  <r>
    <x v="125"/>
    <x v="586"/>
    <x v="8"/>
    <d v="1967-09-08T00:00:00"/>
    <x v="3"/>
    <n v="136"/>
    <s v="Pro05"/>
    <x v="2"/>
    <x v="0"/>
    <n v="0.1"/>
    <x v="5"/>
    <n v="14"/>
    <n v="28"/>
    <n v="56"/>
    <n v="1904"/>
    <n v="3427.2000000000003"/>
    <n v="1523.2000000000003"/>
    <d v="1900-01-03T00:00:00"/>
    <x v="0"/>
  </r>
  <r>
    <x v="125"/>
    <x v="587"/>
    <x v="7"/>
    <s v="Unknown"/>
    <x v="3"/>
    <n v="278"/>
    <s v="Pro07"/>
    <x v="5"/>
    <x v="0"/>
    <n v="0.1"/>
    <x v="0"/>
    <n v="19"/>
    <n v="23"/>
    <e v="#VALUE!"/>
    <n v="5282"/>
    <n v="5754.6"/>
    <n v="472.60000000000036"/>
    <d v="1900-01-03T00:00:00"/>
    <x v="0"/>
  </r>
  <r>
    <x v="125"/>
    <x v="588"/>
    <x v="3"/>
    <d v="1969-10-30T00:00:00"/>
    <x v="2"/>
    <n v="204"/>
    <s v="Pro10"/>
    <x v="3"/>
    <x v="0"/>
    <n v="0.1"/>
    <x v="7"/>
    <n v="18"/>
    <n v="36"/>
    <n v="54"/>
    <n v="3672"/>
    <n v="6609.6"/>
    <n v="2937.6000000000004"/>
    <d v="1900-01-03T00:00:00"/>
    <x v="0"/>
  </r>
  <r>
    <x v="126"/>
    <x v="2"/>
    <x v="3"/>
    <d v="1945-09-16T00:00:00"/>
    <x v="0"/>
    <n v="90"/>
    <s v="Pro05"/>
    <x v="5"/>
    <x v="0"/>
    <n v="0.1"/>
    <x v="5"/>
    <n v="14"/>
    <n v="28"/>
    <n v="78"/>
    <n v="1260"/>
    <n v="2268"/>
    <n v="1008"/>
    <d v="1900-01-04T00:00:00"/>
    <x v="0"/>
  </r>
  <r>
    <x v="126"/>
    <x v="589"/>
    <x v="3"/>
    <d v="1958-11-20T00:00:00"/>
    <x v="1"/>
    <n v="180"/>
    <s v="Pro09"/>
    <x v="2"/>
    <x v="0"/>
    <n v="0.1"/>
    <x v="3"/>
    <n v="10"/>
    <n v="45"/>
    <n v="65"/>
    <n v="1800"/>
    <n v="7290"/>
    <n v="5490"/>
    <d v="1900-01-04T00:00:00"/>
    <x v="0"/>
  </r>
  <r>
    <x v="126"/>
    <x v="590"/>
    <x v="6"/>
    <d v="1957-04-28T00:00:00"/>
    <x v="1"/>
    <n v="15"/>
    <s v="Pro08"/>
    <x v="1"/>
    <x v="0"/>
    <n v="0.1"/>
    <x v="6"/>
    <n v="5"/>
    <n v="7"/>
    <n v="67"/>
    <n v="75"/>
    <n v="94.5"/>
    <n v="19.5"/>
    <d v="1900-01-04T00:00:00"/>
    <x v="0"/>
  </r>
  <r>
    <x v="126"/>
    <x v="591"/>
    <x v="1"/>
    <d v="1994-11-13T00:00:00"/>
    <x v="2"/>
    <n v="400"/>
    <s v="Pro06"/>
    <x v="0"/>
    <x v="0"/>
    <n v="0.1"/>
    <x v="4"/>
    <n v="7"/>
    <n v="9"/>
    <n v="29"/>
    <n v="2800"/>
    <n v="3240"/>
    <n v="440"/>
    <d v="1900-01-04T00:00:00"/>
    <x v="0"/>
  </r>
  <r>
    <x v="126"/>
    <x v="592"/>
    <x v="9"/>
    <d v="1987-09-06T00:00:00"/>
    <x v="1"/>
    <n v="103"/>
    <s v="Pro03"/>
    <x v="2"/>
    <x v="0"/>
    <n v="0.1"/>
    <x v="10"/>
    <n v="3"/>
    <n v="5"/>
    <n v="36"/>
    <n v="309"/>
    <n v="463.5"/>
    <n v="154.5"/>
    <d v="1900-01-04T00:00:00"/>
    <x v="0"/>
  </r>
  <r>
    <x v="126"/>
    <x v="593"/>
    <x v="7"/>
    <d v="2003-09-29T00:00:00"/>
    <x v="2"/>
    <n v="370"/>
    <s v="Pro01"/>
    <x v="1"/>
    <x v="0"/>
    <n v="0.1"/>
    <x v="9"/>
    <n v="10"/>
    <n v="11"/>
    <n v="20"/>
    <n v="3700"/>
    <n v="3663"/>
    <n v="-37"/>
    <d v="1900-01-04T00:00:00"/>
    <x v="0"/>
  </r>
  <r>
    <x v="127"/>
    <x v="594"/>
    <x v="0"/>
    <d v="1962-10-31T00:00:00"/>
    <x v="3"/>
    <n v="135"/>
    <s v="Pro06"/>
    <x v="3"/>
    <x v="0"/>
    <n v="0.1"/>
    <x v="4"/>
    <n v="7"/>
    <n v="9"/>
    <n v="61"/>
    <n v="945"/>
    <n v="1093.5"/>
    <n v="148.5"/>
    <d v="1900-01-05T00:00:00"/>
    <x v="0"/>
  </r>
  <r>
    <x v="127"/>
    <x v="595"/>
    <x v="5"/>
    <d v="1989-03-17T00:00:00"/>
    <x v="1"/>
    <n v="156"/>
    <s v="Pro02"/>
    <x v="3"/>
    <x v="0"/>
    <n v="0.1"/>
    <x v="8"/>
    <n v="18"/>
    <n v="22"/>
    <n v="35"/>
    <n v="2808"/>
    <n v="3088.8"/>
    <n v="280.80000000000018"/>
    <d v="1900-01-05T00:00:00"/>
    <x v="0"/>
  </r>
  <r>
    <x v="127"/>
    <x v="596"/>
    <x v="8"/>
    <d v="1953-01-15T00:00:00"/>
    <x v="2"/>
    <n v="236"/>
    <s v="Pro10"/>
    <x v="1"/>
    <x v="0"/>
    <n v="0.1"/>
    <x v="7"/>
    <n v="18"/>
    <n v="36"/>
    <n v="71"/>
    <n v="4248"/>
    <n v="7646.4000000000005"/>
    <n v="3398.4000000000005"/>
    <d v="1900-01-05T00:00:00"/>
    <x v="0"/>
  </r>
  <r>
    <x v="128"/>
    <x v="597"/>
    <x v="10"/>
    <d v="1962-03-26T00:00:00"/>
    <x v="0"/>
    <n v="94"/>
    <s v="Pro05"/>
    <x v="2"/>
    <x v="1"/>
    <n v="0.1"/>
    <x v="5"/>
    <n v="14"/>
    <n v="28"/>
    <n v="62"/>
    <n v="1316"/>
    <n v="2368.8000000000002"/>
    <n v="1052.8000000000002"/>
    <d v="1900-01-06T00:00:00"/>
    <x v="1"/>
  </r>
  <r>
    <x v="128"/>
    <x v="598"/>
    <x v="10"/>
    <d v="1994-01-18T00:00:00"/>
    <x v="0"/>
    <n v="145"/>
    <s v="Pro07"/>
    <x v="0"/>
    <x v="0"/>
    <n v="0.1"/>
    <x v="0"/>
    <n v="19"/>
    <n v="23"/>
    <n v="30"/>
    <n v="2755"/>
    <n v="3001.5"/>
    <n v="246.5"/>
    <d v="1900-01-06T00:00:00"/>
    <x v="1"/>
  </r>
  <r>
    <x v="129"/>
    <x v="599"/>
    <x v="4"/>
    <d v="1975-02-11T00:00:00"/>
    <x v="2"/>
    <n v="212"/>
    <s v="Pro01"/>
    <x v="3"/>
    <x v="0"/>
    <n v="0.1"/>
    <x v="9"/>
    <n v="10"/>
    <n v="11"/>
    <n v="49"/>
    <n v="2120"/>
    <n v="2098.8000000000002"/>
    <n v="-21.199999999999818"/>
    <d v="1899-12-31T00:00:00"/>
    <x v="1"/>
  </r>
  <r>
    <x v="129"/>
    <x v="600"/>
    <x v="7"/>
    <d v="1980-04-15T00:00:00"/>
    <x v="0"/>
    <n v="33"/>
    <s v="Pro06"/>
    <x v="0"/>
    <x v="0"/>
    <n v="0.1"/>
    <x v="4"/>
    <n v="7"/>
    <n v="9"/>
    <n v="44"/>
    <n v="231"/>
    <n v="267.3"/>
    <n v="36.300000000000011"/>
    <d v="1899-12-31T00:00:00"/>
    <x v="1"/>
  </r>
  <r>
    <x v="130"/>
    <x v="601"/>
    <x v="1"/>
    <d v="1946-03-22T00:00:00"/>
    <x v="2"/>
    <n v="150"/>
    <s v="Pro08"/>
    <x v="3"/>
    <x v="0"/>
    <n v="0.1"/>
    <x v="6"/>
    <n v="5"/>
    <n v="7"/>
    <n v="78"/>
    <n v="750"/>
    <n v="945"/>
    <n v="195"/>
    <d v="1900-01-01T00:00:00"/>
    <x v="0"/>
  </r>
  <r>
    <x v="130"/>
    <x v="602"/>
    <x v="9"/>
    <d v="1970-12-19T00:00:00"/>
    <x v="3"/>
    <n v="240"/>
    <s v="Pro06"/>
    <x v="2"/>
    <x v="0"/>
    <n v="0.1"/>
    <x v="4"/>
    <n v="7"/>
    <n v="9"/>
    <n v="53"/>
    <n v="1680"/>
    <n v="1944"/>
    <n v="264"/>
    <d v="1900-01-01T00:00:00"/>
    <x v="0"/>
  </r>
  <r>
    <x v="130"/>
    <x v="603"/>
    <x v="5"/>
    <d v="1955-01-09T00:00:00"/>
    <x v="2"/>
    <n v="18"/>
    <s v="Pro08"/>
    <x v="1"/>
    <x v="0"/>
    <n v="0.1"/>
    <x v="6"/>
    <n v="5"/>
    <n v="7"/>
    <n v="69"/>
    <n v="90"/>
    <n v="113.4"/>
    <n v="23.400000000000006"/>
    <d v="1900-01-01T00:00:00"/>
    <x v="0"/>
  </r>
  <r>
    <x v="130"/>
    <x v="604"/>
    <x v="5"/>
    <d v="1968-10-15T00:00:00"/>
    <x v="2"/>
    <n v="257"/>
    <s v="Pro03"/>
    <x v="8"/>
    <x v="0"/>
    <n v="0.1"/>
    <x v="10"/>
    <n v="3"/>
    <n v="5"/>
    <n v="55"/>
    <n v="771"/>
    <n v="1156.5"/>
    <n v="385.5"/>
    <d v="1900-01-01T00:00:00"/>
    <x v="0"/>
  </r>
  <r>
    <x v="130"/>
    <x v="605"/>
    <x v="7"/>
    <d v="1996-10-24T00:00:00"/>
    <x v="3"/>
    <n v="79"/>
    <s v="Pro01"/>
    <x v="3"/>
    <x v="0"/>
    <n v="0.1"/>
    <x v="9"/>
    <n v="10"/>
    <n v="11"/>
    <n v="27"/>
    <n v="790"/>
    <n v="782.1"/>
    <n v="-7.8999999999999773"/>
    <d v="1900-01-01T00:00:00"/>
    <x v="0"/>
  </r>
  <r>
    <x v="130"/>
    <x v="606"/>
    <x v="2"/>
    <d v="1992-07-04T00:00:00"/>
    <x v="2"/>
    <n v="414"/>
    <s v="Pro02"/>
    <x v="0"/>
    <x v="0"/>
    <n v="0.1"/>
    <x v="8"/>
    <n v="18"/>
    <n v="22"/>
    <n v="31"/>
    <n v="7452"/>
    <n v="8197.2000000000007"/>
    <n v="745.20000000000073"/>
    <d v="1900-01-01T00:00:00"/>
    <x v="0"/>
  </r>
  <r>
    <x v="130"/>
    <x v="607"/>
    <x v="1"/>
    <d v="1970-10-05T00:00:00"/>
    <x v="2"/>
    <n v="83"/>
    <s v="Pro07"/>
    <x v="5"/>
    <x v="0"/>
    <n v="0.1"/>
    <x v="0"/>
    <n v="19"/>
    <n v="23"/>
    <n v="53"/>
    <n v="1577"/>
    <n v="1718.1000000000001"/>
    <n v="141.10000000000014"/>
    <d v="1900-01-01T00:00:00"/>
    <x v="0"/>
  </r>
  <r>
    <x v="130"/>
    <x v="608"/>
    <x v="9"/>
    <d v="1975-03-10T00:00:00"/>
    <x v="0"/>
    <n v="323"/>
    <s v="Pro10"/>
    <x v="5"/>
    <x v="0"/>
    <n v="0.1"/>
    <x v="7"/>
    <n v="18"/>
    <n v="36"/>
    <n v="49"/>
    <n v="5814"/>
    <n v="10465.200000000001"/>
    <n v="4651.2000000000007"/>
    <d v="1900-01-01T00:00:00"/>
    <x v="0"/>
  </r>
  <r>
    <x v="131"/>
    <x v="609"/>
    <x v="6"/>
    <d v="1983-04-18T00:00:00"/>
    <x v="2"/>
    <n v="401"/>
    <s v="Pro07"/>
    <x v="1"/>
    <x v="0"/>
    <n v="0.1"/>
    <x v="0"/>
    <n v="19"/>
    <n v="23"/>
    <n v="41"/>
    <n v="7619"/>
    <n v="8300.7000000000007"/>
    <n v="681.70000000000073"/>
    <d v="1900-01-02T00:00:00"/>
    <x v="0"/>
  </r>
  <r>
    <x v="131"/>
    <x v="610"/>
    <x v="7"/>
    <d v="2003-09-20T00:00:00"/>
    <x v="2"/>
    <n v="136"/>
    <s v="Pro10"/>
    <x v="2"/>
    <x v="1"/>
    <n v="0.1"/>
    <x v="7"/>
    <n v="18"/>
    <n v="36"/>
    <n v="20"/>
    <n v="2448"/>
    <n v="4406.4000000000005"/>
    <n v="1958.4000000000005"/>
    <d v="1900-01-02T00:00:00"/>
    <x v="0"/>
  </r>
  <r>
    <x v="131"/>
    <x v="611"/>
    <x v="3"/>
    <d v="2006-01-23T00:00:00"/>
    <x v="0"/>
    <n v="434"/>
    <s v="Pro07"/>
    <x v="1"/>
    <x v="0"/>
    <n v="0.1"/>
    <x v="0"/>
    <n v="19"/>
    <n v="23"/>
    <n v="18"/>
    <n v="8246"/>
    <n v="8983.8000000000011"/>
    <n v="737.80000000000109"/>
    <d v="1900-01-02T00:00:00"/>
    <x v="0"/>
  </r>
  <r>
    <x v="131"/>
    <x v="612"/>
    <x v="7"/>
    <d v="1966-12-06T00:00:00"/>
    <x v="2"/>
    <n v="90"/>
    <s v="Pro10"/>
    <x v="1"/>
    <x v="0"/>
    <n v="0.1"/>
    <x v="7"/>
    <n v="18"/>
    <n v="36"/>
    <n v="57"/>
    <n v="1620"/>
    <n v="2916"/>
    <n v="1296"/>
    <d v="1900-01-02T00:00:00"/>
    <x v="0"/>
  </r>
  <r>
    <x v="131"/>
    <x v="613"/>
    <x v="4"/>
    <d v="1991-05-21T00:00:00"/>
    <x v="0"/>
    <n v="24"/>
    <s v="Pro04"/>
    <x v="2"/>
    <x v="0"/>
    <n v="0.1"/>
    <x v="1"/>
    <n v="10"/>
    <n v="14"/>
    <n v="32"/>
    <n v="240"/>
    <n v="302.40000000000003"/>
    <n v="62.400000000000034"/>
    <d v="1900-01-02T00:00:00"/>
    <x v="0"/>
  </r>
  <r>
    <x v="132"/>
    <x v="614"/>
    <x v="0"/>
    <d v="1989-05-11T00:00:00"/>
    <x v="0"/>
    <n v="35"/>
    <s v="Pro09"/>
    <x v="1"/>
    <x v="0"/>
    <n v="0.1"/>
    <x v="3"/>
    <n v="10"/>
    <n v="45"/>
    <n v="35"/>
    <n v="350"/>
    <n v="1417.5"/>
    <n v="1067.5"/>
    <d v="1900-01-03T00:00:00"/>
    <x v="0"/>
  </r>
  <r>
    <x v="132"/>
    <x v="615"/>
    <x v="8"/>
    <d v="1997-11-28T00:00:00"/>
    <x v="0"/>
    <n v="139"/>
    <s v="Pro03"/>
    <x v="2"/>
    <x v="0"/>
    <n v="0.1"/>
    <x v="10"/>
    <n v="3"/>
    <n v="5"/>
    <n v="26"/>
    <n v="417"/>
    <n v="625.5"/>
    <n v="208.5"/>
    <d v="1900-01-03T00:00:00"/>
    <x v="0"/>
  </r>
  <r>
    <x v="132"/>
    <x v="616"/>
    <x v="3"/>
    <d v="1989-11-21T00:00:00"/>
    <x v="1"/>
    <n v="166"/>
    <s v="Pro05"/>
    <x v="1"/>
    <x v="0"/>
    <n v="0.1"/>
    <x v="5"/>
    <n v="14"/>
    <n v="28"/>
    <n v="34"/>
    <n v="2324"/>
    <n v="4183.2"/>
    <n v="1859.1999999999998"/>
    <d v="1900-01-03T00:00:00"/>
    <x v="0"/>
  </r>
  <r>
    <x v="132"/>
    <x v="617"/>
    <x v="4"/>
    <d v="1991-11-25T00:00:00"/>
    <x v="2"/>
    <n v="445"/>
    <s v="Pro05"/>
    <x v="2"/>
    <x v="0"/>
    <n v="0.1"/>
    <x v="5"/>
    <n v="14"/>
    <n v="28"/>
    <n v="32"/>
    <n v="6230"/>
    <n v="11214"/>
    <n v="4984"/>
    <d v="1900-01-03T00:00:00"/>
    <x v="0"/>
  </r>
  <r>
    <x v="133"/>
    <x v="618"/>
    <x v="9"/>
    <d v="1991-06-16T00:00:00"/>
    <x v="0"/>
    <n v="440"/>
    <s v="Pro02"/>
    <x v="1"/>
    <x v="0"/>
    <n v="0.1"/>
    <x v="8"/>
    <n v="18"/>
    <n v="22"/>
    <n v="32"/>
    <n v="7920"/>
    <n v="8712"/>
    <n v="792"/>
    <d v="1900-01-04T00:00:00"/>
    <x v="0"/>
  </r>
  <r>
    <x v="134"/>
    <x v="619"/>
    <x v="4"/>
    <d v="1957-12-17T00:00:00"/>
    <x v="2"/>
    <n v="493"/>
    <s v="Pro09"/>
    <x v="2"/>
    <x v="0"/>
    <n v="0.1"/>
    <x v="3"/>
    <n v="10"/>
    <n v="45"/>
    <n v="66"/>
    <n v="4930"/>
    <n v="19966.5"/>
    <n v="15036.5"/>
    <d v="1900-01-05T00:00:00"/>
    <x v="0"/>
  </r>
  <r>
    <x v="134"/>
    <x v="620"/>
    <x v="9"/>
    <d v="1991-10-25T00:00:00"/>
    <x v="3"/>
    <n v="260"/>
    <s v="Pro01"/>
    <x v="1"/>
    <x v="0"/>
    <n v="0.1"/>
    <x v="9"/>
    <n v="10"/>
    <n v="11"/>
    <n v="32"/>
    <n v="2600"/>
    <n v="2574"/>
    <n v="-26"/>
    <d v="1900-01-05T00:00:00"/>
    <x v="0"/>
  </r>
  <r>
    <x v="134"/>
    <x v="621"/>
    <x v="5"/>
    <d v="1960-07-31T00:00:00"/>
    <x v="3"/>
    <n v="197"/>
    <s v="Pro03"/>
    <x v="2"/>
    <x v="0"/>
    <n v="0.1"/>
    <x v="10"/>
    <n v="3"/>
    <n v="5"/>
    <n v="63"/>
    <n v="591"/>
    <n v="886.5"/>
    <n v="295.5"/>
    <d v="1900-01-05T00:00:00"/>
    <x v="0"/>
  </r>
  <r>
    <x v="134"/>
    <x v="622"/>
    <x v="1"/>
    <d v="1947-12-04T00:00:00"/>
    <x v="2"/>
    <n v="439"/>
    <s v="Pro08"/>
    <x v="5"/>
    <x v="0"/>
    <n v="0.1"/>
    <x v="6"/>
    <n v="5"/>
    <n v="7"/>
    <n v="76"/>
    <n v="2195"/>
    <n v="2765.7000000000003"/>
    <n v="570.70000000000027"/>
    <d v="1900-01-05T00:00:00"/>
    <x v="0"/>
  </r>
  <r>
    <x v="134"/>
    <x v="623"/>
    <x v="2"/>
    <d v="1966-07-28T00:00:00"/>
    <x v="0"/>
    <n v="489"/>
    <s v="Pro01"/>
    <x v="0"/>
    <x v="0"/>
    <n v="0.1"/>
    <x v="9"/>
    <n v="10"/>
    <n v="11"/>
    <n v="57"/>
    <n v="4890"/>
    <n v="4841.1000000000004"/>
    <n v="-48.899999999999636"/>
    <d v="1900-01-05T00:00:00"/>
    <x v="0"/>
  </r>
  <r>
    <x v="135"/>
    <x v="624"/>
    <x v="8"/>
    <d v="1956-03-18T00:00:00"/>
    <x v="1"/>
    <n v="280"/>
    <s v="Pro09"/>
    <x v="2"/>
    <x v="0"/>
    <n v="0.1"/>
    <x v="3"/>
    <n v="10"/>
    <n v="45"/>
    <n v="68"/>
    <n v="2800"/>
    <n v="11340"/>
    <n v="8540"/>
    <d v="1900-01-06T00:00:00"/>
    <x v="1"/>
  </r>
  <r>
    <x v="135"/>
    <x v="625"/>
    <x v="10"/>
    <d v="1966-07-13T00:00:00"/>
    <x v="3"/>
    <n v="172"/>
    <s v="Pro07"/>
    <x v="1"/>
    <x v="0"/>
    <n v="0.1"/>
    <x v="0"/>
    <n v="19"/>
    <n v="23"/>
    <n v="57"/>
    <n v="3268"/>
    <n v="3560.4"/>
    <n v="292.40000000000009"/>
    <d v="1900-01-06T00:00:00"/>
    <x v="1"/>
  </r>
  <r>
    <x v="136"/>
    <x v="626"/>
    <x v="2"/>
    <d v="1991-06-05T00:00:00"/>
    <x v="2"/>
    <n v="166"/>
    <s v="Pro03"/>
    <x v="1"/>
    <x v="0"/>
    <n v="0.1"/>
    <x v="10"/>
    <n v="3"/>
    <n v="5"/>
    <n v="32"/>
    <n v="498"/>
    <n v="747"/>
    <n v="249"/>
    <d v="1899-12-31T00:00:00"/>
    <x v="1"/>
  </r>
  <r>
    <x v="136"/>
    <x v="627"/>
    <x v="10"/>
    <d v="1956-03-26T00:00:00"/>
    <x v="2"/>
    <n v="161"/>
    <s v="Pro01"/>
    <x v="0"/>
    <x v="0"/>
    <n v="0.1"/>
    <x v="9"/>
    <n v="10"/>
    <n v="11"/>
    <n v="68"/>
    <n v="1610"/>
    <n v="1593.9"/>
    <n v="-16.099999999999909"/>
    <d v="1899-12-31T00:00:00"/>
    <x v="1"/>
  </r>
  <r>
    <x v="136"/>
    <x v="628"/>
    <x v="2"/>
    <d v="1974-11-16T00:00:00"/>
    <x v="3"/>
    <n v="37"/>
    <s v="Pro06"/>
    <x v="3"/>
    <x v="0"/>
    <n v="0.1"/>
    <x v="4"/>
    <n v="7"/>
    <n v="9"/>
    <n v="49"/>
    <n v="259"/>
    <n v="299.7"/>
    <n v="40.699999999999989"/>
    <d v="1899-12-31T00:00:00"/>
    <x v="1"/>
  </r>
  <r>
    <x v="136"/>
    <x v="629"/>
    <x v="2"/>
    <d v="1990-01-23T00:00:00"/>
    <x v="3"/>
    <n v="139"/>
    <s v="Pro08"/>
    <x v="1"/>
    <x v="0"/>
    <n v="0.1"/>
    <x v="6"/>
    <n v="5"/>
    <n v="7"/>
    <n v="34"/>
    <n v="695"/>
    <n v="875.7"/>
    <n v="180.70000000000005"/>
    <d v="1899-12-31T00:00:00"/>
    <x v="1"/>
  </r>
  <r>
    <x v="136"/>
    <x v="630"/>
    <x v="5"/>
    <d v="1997-05-08T00:00:00"/>
    <x v="2"/>
    <n v="241"/>
    <s v="Pro05"/>
    <x v="3"/>
    <x v="0"/>
    <n v="0.1"/>
    <x v="5"/>
    <n v="14"/>
    <n v="28"/>
    <n v="27"/>
    <n v="3374"/>
    <n v="6073.2"/>
    <n v="2699.2"/>
    <d v="1899-12-31T00:00:00"/>
    <x v="1"/>
  </r>
  <r>
    <x v="136"/>
    <x v="631"/>
    <x v="1"/>
    <d v="1981-01-24T00:00:00"/>
    <x v="3"/>
    <n v="382"/>
    <s v="Pro06"/>
    <x v="3"/>
    <x v="0"/>
    <n v="0.1"/>
    <x v="4"/>
    <n v="7"/>
    <n v="9"/>
    <n v="43"/>
    <n v="2674"/>
    <n v="3094.2000000000003"/>
    <n v="420.20000000000027"/>
    <d v="1899-12-31T00:00:00"/>
    <x v="1"/>
  </r>
  <r>
    <x v="137"/>
    <x v="94"/>
    <x v="4"/>
    <d v="1953-11-19T00:00:00"/>
    <x v="1"/>
    <n v="475"/>
    <s v="Pro04"/>
    <x v="4"/>
    <x v="2"/>
    <n v="0.1"/>
    <x v="1"/>
    <n v="10"/>
    <n v="14"/>
    <n v="70"/>
    <n v="4750"/>
    <n v="5985"/>
    <n v="1235"/>
    <d v="1900-01-01T00:00:00"/>
    <x v="0"/>
  </r>
  <r>
    <x v="137"/>
    <x v="61"/>
    <x v="5"/>
    <d v="2002-09-14T00:00:00"/>
    <x v="2"/>
    <n v="174"/>
    <s v="Pro01"/>
    <x v="2"/>
    <x v="1"/>
    <n v="0.1"/>
    <x v="9"/>
    <n v="10"/>
    <n v="11"/>
    <n v="21"/>
    <n v="1740"/>
    <n v="1722.6000000000001"/>
    <n v="-17.399999999999864"/>
    <d v="1900-01-01T00:00:00"/>
    <x v="0"/>
  </r>
  <r>
    <x v="137"/>
    <x v="632"/>
    <x v="0"/>
    <d v="1993-07-22T00:00:00"/>
    <x v="2"/>
    <n v="451"/>
    <s v="Pro03"/>
    <x v="1"/>
    <x v="0"/>
    <n v="0.1"/>
    <x v="10"/>
    <n v="3"/>
    <n v="5"/>
    <n v="30"/>
    <n v="1353"/>
    <n v="2029.5"/>
    <n v="676.5"/>
    <d v="1900-01-01T00:00:00"/>
    <x v="0"/>
  </r>
  <r>
    <x v="137"/>
    <x v="633"/>
    <x v="9"/>
    <d v="1981-03-12T00:00:00"/>
    <x v="3"/>
    <n v="91"/>
    <s v="Pro08"/>
    <x v="2"/>
    <x v="0"/>
    <n v="0.1"/>
    <x v="6"/>
    <n v="5"/>
    <n v="7"/>
    <n v="43"/>
    <n v="455"/>
    <n v="573.30000000000007"/>
    <n v="118.30000000000007"/>
    <d v="1900-01-01T00:00:00"/>
    <x v="0"/>
  </r>
  <r>
    <x v="137"/>
    <x v="634"/>
    <x v="8"/>
    <d v="1985-11-27T00:00:00"/>
    <x v="0"/>
    <n v="348"/>
    <s v="Pro05"/>
    <x v="1"/>
    <x v="0"/>
    <n v="0.1"/>
    <x v="5"/>
    <n v="14"/>
    <n v="28"/>
    <n v="38"/>
    <n v="4872"/>
    <n v="8769.6"/>
    <n v="3897.6000000000004"/>
    <d v="1900-01-01T00:00:00"/>
    <x v="0"/>
  </r>
  <r>
    <x v="137"/>
    <x v="635"/>
    <x v="5"/>
    <d v="1951-01-12T00:00:00"/>
    <x v="0"/>
    <n v="389"/>
    <s v="Pro02"/>
    <x v="1"/>
    <x v="0"/>
    <n v="0.1"/>
    <x v="8"/>
    <n v="18"/>
    <n v="22"/>
    <n v="73"/>
    <n v="7002"/>
    <n v="7702.2"/>
    <n v="700.19999999999982"/>
    <d v="1900-01-01T00:00:00"/>
    <x v="0"/>
  </r>
  <r>
    <x v="137"/>
    <x v="636"/>
    <x v="0"/>
    <d v="1960-12-14T00:00:00"/>
    <x v="2"/>
    <n v="187"/>
    <s v="Pro01"/>
    <x v="4"/>
    <x v="0"/>
    <n v="0.1"/>
    <x v="9"/>
    <n v="10"/>
    <n v="11"/>
    <n v="63"/>
    <n v="1870"/>
    <n v="1851.3"/>
    <n v="-18.700000000000045"/>
    <d v="1900-01-01T00:00:00"/>
    <x v="0"/>
  </r>
  <r>
    <x v="137"/>
    <x v="637"/>
    <x v="8"/>
    <d v="1958-02-02T00:00:00"/>
    <x v="1"/>
    <n v="200"/>
    <s v="Pro01"/>
    <x v="0"/>
    <x v="0"/>
    <n v="0.1"/>
    <x v="9"/>
    <n v="10"/>
    <n v="11"/>
    <n v="66"/>
    <n v="2000"/>
    <n v="1980"/>
    <n v="-20"/>
    <d v="1900-01-01T00:00:00"/>
    <x v="0"/>
  </r>
  <r>
    <x v="138"/>
    <x v="638"/>
    <x v="0"/>
    <d v="1950-11-08T00:00:00"/>
    <x v="0"/>
    <n v="417"/>
    <s v="Pro08"/>
    <x v="0"/>
    <x v="1"/>
    <n v="0.1"/>
    <x v="6"/>
    <n v="5"/>
    <n v="7"/>
    <n v="73"/>
    <n v="2085"/>
    <n v="2627.1"/>
    <n v="542.09999999999991"/>
    <d v="1900-01-02T00:00:00"/>
    <x v="0"/>
  </r>
  <r>
    <x v="138"/>
    <x v="639"/>
    <x v="8"/>
    <d v="1987-06-04T00:00:00"/>
    <x v="0"/>
    <n v="315"/>
    <s v="Pro01"/>
    <x v="2"/>
    <x v="0"/>
    <n v="0.1"/>
    <x v="9"/>
    <n v="10"/>
    <n v="11"/>
    <n v="36"/>
    <n v="3150"/>
    <n v="3118.5"/>
    <n v="-31.5"/>
    <d v="1900-01-02T00:00:00"/>
    <x v="0"/>
  </r>
  <r>
    <x v="138"/>
    <x v="640"/>
    <x v="9"/>
    <d v="1995-09-16T00:00:00"/>
    <x v="3"/>
    <n v="285"/>
    <s v="Pro02"/>
    <x v="4"/>
    <x v="0"/>
    <n v="0.1"/>
    <x v="8"/>
    <n v="18"/>
    <n v="22"/>
    <n v="28"/>
    <n v="5130"/>
    <n v="5643"/>
    <n v="513"/>
    <d v="1900-01-02T00:00:00"/>
    <x v="0"/>
  </r>
  <r>
    <x v="138"/>
    <x v="641"/>
    <x v="9"/>
    <d v="1960-02-17T00:00:00"/>
    <x v="2"/>
    <n v="233"/>
    <s v="Pro03"/>
    <x v="3"/>
    <x v="0"/>
    <n v="0.1"/>
    <x v="10"/>
    <n v="3"/>
    <n v="5"/>
    <n v="64"/>
    <n v="699"/>
    <n v="1048.5"/>
    <n v="349.5"/>
    <d v="1900-01-02T00:00:00"/>
    <x v="0"/>
  </r>
  <r>
    <x v="138"/>
    <x v="642"/>
    <x v="5"/>
    <d v="1990-11-25T00:00:00"/>
    <x v="2"/>
    <n v="279"/>
    <s v="Pro03"/>
    <x v="1"/>
    <x v="0"/>
    <n v="0.1"/>
    <x v="10"/>
    <n v="3"/>
    <n v="5"/>
    <n v="33"/>
    <n v="837"/>
    <n v="1255.5"/>
    <n v="418.5"/>
    <d v="1900-01-02T00:00:00"/>
    <x v="0"/>
  </r>
  <r>
    <x v="138"/>
    <x v="643"/>
    <x v="7"/>
    <d v="1961-12-31T00:00:00"/>
    <x v="3"/>
    <n v="107"/>
    <s v="Pro01"/>
    <x v="0"/>
    <x v="0"/>
    <n v="0.1"/>
    <x v="9"/>
    <n v="10"/>
    <n v="11"/>
    <n v="62"/>
    <n v="1070"/>
    <n v="1059.3"/>
    <n v="-10.700000000000045"/>
    <d v="1900-01-02T00:00:00"/>
    <x v="0"/>
  </r>
  <r>
    <x v="138"/>
    <x v="644"/>
    <x v="6"/>
    <d v="1958-11-20T00:00:00"/>
    <x v="3"/>
    <n v="392"/>
    <s v="Pro06"/>
    <x v="2"/>
    <x v="0"/>
    <n v="0.1"/>
    <x v="4"/>
    <n v="7"/>
    <n v="9"/>
    <n v="65"/>
    <n v="2744"/>
    <n v="3175.2000000000003"/>
    <n v="431.20000000000027"/>
    <d v="1900-01-02T00:00:00"/>
    <x v="0"/>
  </r>
  <r>
    <x v="138"/>
    <x v="645"/>
    <x v="1"/>
    <d v="1968-08-01T00:00:00"/>
    <x v="0"/>
    <n v="409"/>
    <s v="Pro07"/>
    <x v="1"/>
    <x v="0"/>
    <n v="0.1"/>
    <x v="0"/>
    <n v="19"/>
    <n v="23"/>
    <n v="55"/>
    <n v="7771"/>
    <n v="8466.3000000000011"/>
    <n v="695.30000000000109"/>
    <d v="1900-01-02T00:00:00"/>
    <x v="0"/>
  </r>
  <r>
    <x v="138"/>
    <x v="646"/>
    <x v="7"/>
    <d v="1947-07-09T00:00:00"/>
    <x v="0"/>
    <n v="147"/>
    <s v="Pro05"/>
    <x v="1"/>
    <x v="0"/>
    <n v="0.1"/>
    <x v="5"/>
    <n v="14"/>
    <n v="28"/>
    <n v="76"/>
    <n v="2058"/>
    <n v="3704.4"/>
    <n v="1646.4"/>
    <d v="1900-01-02T00:00:00"/>
    <x v="0"/>
  </r>
  <r>
    <x v="138"/>
    <x v="647"/>
    <x v="10"/>
    <d v="2002-03-22T00:00:00"/>
    <x v="3"/>
    <n v="232"/>
    <s v="Pro03"/>
    <x v="1"/>
    <x v="0"/>
    <n v="0.1"/>
    <x v="10"/>
    <n v="3"/>
    <n v="5"/>
    <n v="22"/>
    <n v="696"/>
    <n v="1044"/>
    <n v="348"/>
    <d v="1900-01-02T00:00:00"/>
    <x v="0"/>
  </r>
  <r>
    <x v="139"/>
    <x v="648"/>
    <x v="0"/>
    <d v="1984-06-26T00:00:00"/>
    <x v="0"/>
    <n v="318"/>
    <s v="Pro08"/>
    <x v="2"/>
    <x v="0"/>
    <n v="0.1"/>
    <x v="6"/>
    <n v="5"/>
    <n v="7"/>
    <n v="39"/>
    <n v="1590"/>
    <n v="2003.4"/>
    <n v="413.40000000000009"/>
    <d v="1900-01-03T00:00:00"/>
    <x v="0"/>
  </r>
  <r>
    <x v="139"/>
    <x v="649"/>
    <x v="9"/>
    <d v="2003-07-07T00:00:00"/>
    <x v="3"/>
    <n v="62"/>
    <s v="Pro02"/>
    <x v="0"/>
    <x v="0"/>
    <n v="0.1"/>
    <x v="8"/>
    <n v="18"/>
    <n v="22"/>
    <n v="20"/>
    <n v="1116"/>
    <n v="1227.6000000000001"/>
    <n v="111.60000000000014"/>
    <d v="1900-01-03T00:00:00"/>
    <x v="0"/>
  </r>
  <r>
    <x v="139"/>
    <x v="650"/>
    <x v="7"/>
    <d v="1984-07-01T00:00:00"/>
    <x v="3"/>
    <n v="339"/>
    <s v="Pro01"/>
    <x v="1"/>
    <x v="0"/>
    <n v="0.1"/>
    <x v="9"/>
    <n v="10"/>
    <n v="11"/>
    <n v="39"/>
    <n v="3390"/>
    <n v="3356.1"/>
    <n v="-33.900000000000091"/>
    <d v="1900-01-03T00:00:00"/>
    <x v="0"/>
  </r>
  <r>
    <x v="139"/>
    <x v="651"/>
    <x v="8"/>
    <d v="2001-05-01T00:00:00"/>
    <x v="3"/>
    <n v="138"/>
    <s v="Pro07"/>
    <x v="2"/>
    <x v="0"/>
    <n v="0.1"/>
    <x v="0"/>
    <n v="19"/>
    <n v="23"/>
    <n v="23"/>
    <n v="2622"/>
    <n v="2856.6"/>
    <n v="234.59999999999991"/>
    <d v="1900-01-03T00:00:00"/>
    <x v="0"/>
  </r>
  <r>
    <x v="139"/>
    <x v="652"/>
    <x v="10"/>
    <d v="1982-02-15T00:00:00"/>
    <x v="1"/>
    <n v="152"/>
    <s v="Pro03"/>
    <x v="2"/>
    <x v="0"/>
    <n v="0.1"/>
    <x v="10"/>
    <n v="3"/>
    <n v="5"/>
    <n v="42"/>
    <n v="456"/>
    <n v="684"/>
    <n v="228"/>
    <d v="1900-01-03T00:00:00"/>
    <x v="0"/>
  </r>
  <r>
    <x v="140"/>
    <x v="653"/>
    <x v="5"/>
    <d v="1972-08-20T00:00:00"/>
    <x v="1"/>
    <n v="213"/>
    <s v="Pro05"/>
    <x v="5"/>
    <x v="0"/>
    <n v="0.1"/>
    <x v="5"/>
    <n v="14"/>
    <n v="28"/>
    <n v="51"/>
    <n v="2982"/>
    <n v="5367.6"/>
    <n v="2385.6000000000004"/>
    <d v="1900-01-04T00:00:00"/>
    <x v="0"/>
  </r>
  <r>
    <x v="140"/>
    <x v="654"/>
    <x v="8"/>
    <d v="1974-12-31T00:00:00"/>
    <x v="3"/>
    <n v="34"/>
    <s v="Pro07"/>
    <x v="1"/>
    <x v="0"/>
    <n v="0.1"/>
    <x v="0"/>
    <n v="19"/>
    <n v="23"/>
    <n v="49"/>
    <n v="646"/>
    <n v="703.80000000000007"/>
    <n v="57.800000000000068"/>
    <d v="1900-01-04T00:00:00"/>
    <x v="0"/>
  </r>
  <r>
    <x v="140"/>
    <x v="655"/>
    <x v="7"/>
    <d v="1998-09-14T00:00:00"/>
    <x v="1"/>
    <n v="309"/>
    <s v="Pro03"/>
    <x v="3"/>
    <x v="0"/>
    <n v="0.1"/>
    <x v="10"/>
    <n v="3"/>
    <n v="5"/>
    <n v="25"/>
    <n v="927"/>
    <n v="1390.5"/>
    <n v="463.5"/>
    <d v="1900-01-04T00:00:00"/>
    <x v="0"/>
  </r>
  <r>
    <x v="140"/>
    <x v="656"/>
    <x v="2"/>
    <d v="1999-03-13T00:00:00"/>
    <x v="0"/>
    <n v="339"/>
    <s v="Pro06"/>
    <x v="1"/>
    <x v="0"/>
    <n v="0.1"/>
    <x v="4"/>
    <n v="7"/>
    <n v="9"/>
    <n v="25"/>
    <n v="2373"/>
    <n v="2745.9"/>
    <n v="372.90000000000009"/>
    <d v="1900-01-04T00:00:00"/>
    <x v="0"/>
  </r>
  <r>
    <x v="141"/>
    <x v="657"/>
    <x v="4"/>
    <d v="1961-02-26T00:00:00"/>
    <x v="1"/>
    <n v="459"/>
    <s v="Pro10"/>
    <x v="2"/>
    <x v="0"/>
    <n v="0.1"/>
    <x v="7"/>
    <n v="18"/>
    <n v="36"/>
    <n v="63"/>
    <n v="8262"/>
    <n v="14871.6"/>
    <n v="6609.6"/>
    <d v="1900-01-05T00:00:00"/>
    <x v="0"/>
  </r>
  <r>
    <x v="141"/>
    <x v="658"/>
    <x v="6"/>
    <d v="1955-05-19T00:00:00"/>
    <x v="1"/>
    <n v="107"/>
    <s v="Pro04"/>
    <x v="1"/>
    <x v="0"/>
    <n v="0.1"/>
    <x v="1"/>
    <n v="10"/>
    <n v="14"/>
    <n v="69"/>
    <n v="1070"/>
    <n v="1348.2"/>
    <n v="278.20000000000005"/>
    <d v="1900-01-05T00:00:00"/>
    <x v="0"/>
  </r>
  <r>
    <x v="141"/>
    <x v="659"/>
    <x v="0"/>
    <d v="1990-03-22T00:00:00"/>
    <x v="3"/>
    <n v="454"/>
    <s v="Pro04"/>
    <x v="0"/>
    <x v="0"/>
    <n v="0.1"/>
    <x v="1"/>
    <n v="10"/>
    <n v="14"/>
    <n v="34"/>
    <n v="4540"/>
    <n v="5720.4000000000005"/>
    <n v="1180.4000000000005"/>
    <d v="1900-01-05T00:00:00"/>
    <x v="0"/>
  </r>
  <r>
    <x v="141"/>
    <x v="329"/>
    <x v="0"/>
    <d v="1975-07-26T00:00:00"/>
    <x v="0"/>
    <n v="112"/>
    <s v="Pro01"/>
    <x v="1"/>
    <x v="0"/>
    <n v="0.1"/>
    <x v="9"/>
    <n v="10"/>
    <n v="11"/>
    <n v="48"/>
    <n v="1120"/>
    <n v="1108.8"/>
    <n v="-11.200000000000045"/>
    <d v="1900-01-05T00:00:00"/>
    <x v="0"/>
  </r>
  <r>
    <x v="142"/>
    <x v="660"/>
    <x v="4"/>
    <d v="1994-03-25T00:00:00"/>
    <x v="1"/>
    <n v="102"/>
    <s v="Pro09"/>
    <x v="0"/>
    <x v="0"/>
    <n v="0.1"/>
    <x v="3"/>
    <n v="10"/>
    <n v="45"/>
    <n v="30"/>
    <n v="1020"/>
    <n v="4131"/>
    <n v="3111"/>
    <d v="1900-01-06T00:00:00"/>
    <x v="1"/>
  </r>
  <r>
    <x v="142"/>
    <x v="661"/>
    <x v="1"/>
    <d v="1976-07-12T00:00:00"/>
    <x v="3"/>
    <n v="93"/>
    <s v="Pro05"/>
    <x v="1"/>
    <x v="0"/>
    <n v="0.1"/>
    <x v="5"/>
    <n v="14"/>
    <n v="28"/>
    <n v="47"/>
    <n v="1302"/>
    <n v="2343.6"/>
    <n v="1041.5999999999999"/>
    <d v="1900-01-06T00:00:00"/>
    <x v="1"/>
  </r>
  <r>
    <x v="142"/>
    <x v="662"/>
    <x v="6"/>
    <d v="1950-09-14T00:00:00"/>
    <x v="2"/>
    <n v="125"/>
    <s v="Pro01"/>
    <x v="4"/>
    <x v="0"/>
    <n v="0.1"/>
    <x v="9"/>
    <n v="10"/>
    <n v="11"/>
    <n v="73"/>
    <n v="1250"/>
    <n v="1237.5"/>
    <n v="-12.5"/>
    <d v="1900-01-06T00:00:00"/>
    <x v="1"/>
  </r>
  <r>
    <x v="142"/>
    <x v="663"/>
    <x v="9"/>
    <d v="1965-04-15T00:00:00"/>
    <x v="3"/>
    <n v="161"/>
    <s v="Pro08"/>
    <x v="4"/>
    <x v="0"/>
    <n v="0.1"/>
    <x v="6"/>
    <n v="5"/>
    <n v="7"/>
    <n v="59"/>
    <n v="805"/>
    <n v="1014.3000000000001"/>
    <n v="209.30000000000007"/>
    <d v="1900-01-06T00:00:00"/>
    <x v="1"/>
  </r>
  <r>
    <x v="143"/>
    <x v="664"/>
    <x v="2"/>
    <d v="2000-10-22T00:00:00"/>
    <x v="2"/>
    <n v="437"/>
    <s v="Pro07"/>
    <x v="2"/>
    <x v="1"/>
    <n v="0.1"/>
    <x v="0"/>
    <n v="19"/>
    <n v="23"/>
    <n v="23"/>
    <n v="8303"/>
    <n v="9045.9"/>
    <n v="742.89999999999964"/>
    <d v="1899-12-31T00:00:00"/>
    <x v="1"/>
  </r>
  <r>
    <x v="143"/>
    <x v="665"/>
    <x v="5"/>
    <d v="1986-03-05T00:00:00"/>
    <x v="2"/>
    <n v="178"/>
    <s v="Pro06"/>
    <x v="1"/>
    <x v="0"/>
    <n v="0.1"/>
    <x v="4"/>
    <n v="7"/>
    <n v="9"/>
    <n v="38"/>
    <n v="1246"/>
    <n v="1441.8"/>
    <n v="195.79999999999995"/>
    <d v="1899-12-31T00:00:00"/>
    <x v="1"/>
  </r>
  <r>
    <x v="143"/>
    <x v="666"/>
    <x v="10"/>
    <d v="1996-10-08T00:00:00"/>
    <x v="2"/>
    <n v="219"/>
    <s v="Pro07"/>
    <x v="2"/>
    <x v="0"/>
    <n v="0.1"/>
    <x v="0"/>
    <n v="19"/>
    <n v="23"/>
    <n v="27"/>
    <n v="4161"/>
    <n v="4533.3"/>
    <n v="372.30000000000018"/>
    <d v="1899-12-31T00:00:00"/>
    <x v="1"/>
  </r>
  <r>
    <x v="143"/>
    <x v="667"/>
    <x v="1"/>
    <d v="1974-05-22T00:00:00"/>
    <x v="3"/>
    <n v="349"/>
    <s v="Pro02"/>
    <x v="1"/>
    <x v="0"/>
    <n v="0.1"/>
    <x v="8"/>
    <n v="18"/>
    <n v="22"/>
    <n v="50"/>
    <n v="6282"/>
    <n v="6910.2"/>
    <n v="628.19999999999982"/>
    <d v="1899-12-31T00:00:00"/>
    <x v="1"/>
  </r>
  <r>
    <x v="143"/>
    <x v="668"/>
    <x v="8"/>
    <d v="1945-03-09T00:00:00"/>
    <x v="3"/>
    <n v="40"/>
    <s v="Pro07"/>
    <x v="1"/>
    <x v="0"/>
    <n v="0.1"/>
    <x v="0"/>
    <n v="19"/>
    <n v="23"/>
    <n v="79"/>
    <n v="760"/>
    <n v="828"/>
    <n v="68"/>
    <d v="1899-12-31T00:00:00"/>
    <x v="1"/>
  </r>
  <r>
    <x v="143"/>
    <x v="669"/>
    <x v="2"/>
    <d v="1972-05-09T00:00:00"/>
    <x v="3"/>
    <n v="233"/>
    <s v="Pro06"/>
    <x v="4"/>
    <x v="0"/>
    <n v="0.1"/>
    <x v="4"/>
    <n v="7"/>
    <n v="9"/>
    <n v="52"/>
    <n v="1631"/>
    <n v="1887.3"/>
    <n v="256.29999999999995"/>
    <d v="1899-12-31T00:00:00"/>
    <x v="1"/>
  </r>
  <r>
    <x v="143"/>
    <x v="670"/>
    <x v="10"/>
    <d v="2004-12-20T00:00:00"/>
    <x v="3"/>
    <n v="484"/>
    <s v="Pro07"/>
    <x v="1"/>
    <x v="0"/>
    <n v="0.1"/>
    <x v="0"/>
    <n v="19"/>
    <n v="23"/>
    <n v="19"/>
    <n v="9196"/>
    <n v="10018.800000000001"/>
    <n v="822.80000000000109"/>
    <d v="1899-12-31T00:00:00"/>
    <x v="1"/>
  </r>
  <r>
    <x v="144"/>
    <x v="671"/>
    <x v="4"/>
    <d v="1943-09-18T00:00:00"/>
    <x v="1"/>
    <n v="464"/>
    <s v="Pro10"/>
    <x v="2"/>
    <x v="0"/>
    <n v="0.1"/>
    <x v="7"/>
    <n v="18"/>
    <n v="36"/>
    <n v="80"/>
    <n v="8352"/>
    <n v="15033.6"/>
    <n v="6681.6"/>
    <d v="1900-01-01T00:00:00"/>
    <x v="0"/>
  </r>
  <r>
    <x v="144"/>
    <x v="672"/>
    <x v="10"/>
    <d v="2003-06-07T00:00:00"/>
    <x v="2"/>
    <n v="463"/>
    <s v="Pro09"/>
    <x v="2"/>
    <x v="0"/>
    <n v="0.1"/>
    <x v="3"/>
    <n v="10"/>
    <n v="45"/>
    <n v="20"/>
    <n v="4630"/>
    <n v="18751.5"/>
    <n v="14121.5"/>
    <d v="1900-01-01T00:00:00"/>
    <x v="0"/>
  </r>
  <r>
    <x v="144"/>
    <x v="673"/>
    <x v="9"/>
    <d v="1995-05-23T00:00:00"/>
    <x v="3"/>
    <n v="73"/>
    <s v="Pro07"/>
    <x v="2"/>
    <x v="0"/>
    <n v="0.1"/>
    <x v="0"/>
    <n v="19"/>
    <n v="23"/>
    <n v="29"/>
    <n v="1387"/>
    <n v="1511.1000000000001"/>
    <n v="124.10000000000014"/>
    <d v="1900-01-01T00:00:00"/>
    <x v="0"/>
  </r>
  <r>
    <x v="144"/>
    <x v="674"/>
    <x v="8"/>
    <d v="1980-01-28T00:00:00"/>
    <x v="3"/>
    <n v="315"/>
    <s v="Pro03"/>
    <x v="5"/>
    <x v="0"/>
    <n v="0.1"/>
    <x v="10"/>
    <n v="3"/>
    <n v="5"/>
    <n v="44"/>
    <n v="945"/>
    <n v="1417.5"/>
    <n v="472.5"/>
    <d v="1900-01-01T00:00:00"/>
    <x v="0"/>
  </r>
  <r>
    <x v="144"/>
    <x v="675"/>
    <x v="5"/>
    <d v="1957-05-29T00:00:00"/>
    <x v="2"/>
    <n v="138"/>
    <s v="Pro01"/>
    <x v="3"/>
    <x v="0"/>
    <n v="0.1"/>
    <x v="9"/>
    <n v="10"/>
    <n v="11"/>
    <n v="66"/>
    <n v="1380"/>
    <n v="1366.2"/>
    <n v="-13.799999999999955"/>
    <d v="1900-01-01T00:00:00"/>
    <x v="0"/>
  </r>
  <r>
    <x v="144"/>
    <x v="676"/>
    <x v="6"/>
    <d v="1948-10-17T00:00:00"/>
    <x v="2"/>
    <n v="353"/>
    <s v="Pro10"/>
    <x v="3"/>
    <x v="0"/>
    <n v="0.1"/>
    <x v="7"/>
    <n v="18"/>
    <n v="36"/>
    <n v="75"/>
    <n v="6354"/>
    <n v="11437.2"/>
    <n v="5083.2000000000007"/>
    <d v="1900-01-01T00:00:00"/>
    <x v="0"/>
  </r>
  <r>
    <x v="145"/>
    <x v="677"/>
    <x v="9"/>
    <d v="1991-04-23T00:00:00"/>
    <x v="2"/>
    <n v="149"/>
    <s v="Pro08"/>
    <x v="0"/>
    <x v="0"/>
    <n v="0.1"/>
    <x v="6"/>
    <n v="5"/>
    <n v="7"/>
    <n v="33"/>
    <n v="745"/>
    <n v="938.7"/>
    <n v="193.70000000000005"/>
    <d v="1900-01-02T00:00:00"/>
    <x v="0"/>
  </r>
  <r>
    <x v="146"/>
    <x v="678"/>
    <x v="8"/>
    <d v="1947-07-09T00:00:00"/>
    <x v="1"/>
    <n v="122"/>
    <s v="Pro01"/>
    <x v="1"/>
    <x v="0"/>
    <n v="0.1"/>
    <x v="9"/>
    <n v="10"/>
    <n v="11"/>
    <n v="76"/>
    <n v="1220"/>
    <n v="1207.8"/>
    <n v="-12.200000000000045"/>
    <d v="1900-01-03T00:00:00"/>
    <x v="0"/>
  </r>
  <r>
    <x v="146"/>
    <x v="679"/>
    <x v="2"/>
    <d v="1987-06-23T00:00:00"/>
    <x v="2"/>
    <n v="291"/>
    <s v="Pro04"/>
    <x v="1"/>
    <x v="0"/>
    <n v="0.1"/>
    <x v="1"/>
    <n v="10"/>
    <n v="14"/>
    <n v="36"/>
    <n v="2910"/>
    <n v="3666.6"/>
    <n v="756.59999999999991"/>
    <d v="1900-01-03T00:00:00"/>
    <x v="0"/>
  </r>
  <r>
    <x v="146"/>
    <x v="680"/>
    <x v="3"/>
    <d v="1960-12-17T00:00:00"/>
    <x v="2"/>
    <n v="216"/>
    <s v="Pro01"/>
    <x v="1"/>
    <x v="0"/>
    <n v="0.1"/>
    <x v="9"/>
    <n v="10"/>
    <n v="11"/>
    <n v="63"/>
    <n v="2160"/>
    <n v="2138.4"/>
    <n v="-21.599999999999909"/>
    <d v="1900-01-03T00:00:00"/>
    <x v="0"/>
  </r>
  <r>
    <x v="147"/>
    <x v="681"/>
    <x v="7"/>
    <d v="1954-12-16T00:00:00"/>
    <x v="3"/>
    <n v="203"/>
    <s v="Pro02"/>
    <x v="3"/>
    <x v="0"/>
    <n v="0.1"/>
    <x v="8"/>
    <n v="18"/>
    <n v="22"/>
    <n v="69"/>
    <n v="3654"/>
    <n v="4019.4"/>
    <n v="365.40000000000009"/>
    <d v="1900-01-04T00:00:00"/>
    <x v="0"/>
  </r>
  <r>
    <x v="147"/>
    <x v="682"/>
    <x v="3"/>
    <d v="1972-08-01T00:00:00"/>
    <x v="2"/>
    <n v="181"/>
    <s v="Unknown"/>
    <x v="8"/>
    <x v="0"/>
    <n v="0.1"/>
    <x v="2"/>
    <n v="0"/>
    <n v="0"/>
    <n v="51"/>
    <n v="0"/>
    <n v="0"/>
    <n v="0"/>
    <d v="1900-01-04T00:00:00"/>
    <x v="0"/>
  </r>
  <r>
    <x v="147"/>
    <x v="683"/>
    <x v="4"/>
    <d v="1976-12-24T00:00:00"/>
    <x v="0"/>
    <n v="311"/>
    <s v="Pro08"/>
    <x v="0"/>
    <x v="0"/>
    <n v="0.1"/>
    <x v="6"/>
    <n v="5"/>
    <n v="7"/>
    <n v="47"/>
    <n v="1555"/>
    <n v="1959.3"/>
    <n v="404.29999999999995"/>
    <d v="1900-01-04T00:00:00"/>
    <x v="0"/>
  </r>
  <r>
    <x v="147"/>
    <x v="684"/>
    <x v="1"/>
    <d v="1946-12-19T00:00:00"/>
    <x v="0"/>
    <n v="411"/>
    <s v="Pro05"/>
    <x v="1"/>
    <x v="0"/>
    <n v="0.1"/>
    <x v="5"/>
    <n v="14"/>
    <n v="28"/>
    <n v="77"/>
    <n v="5754"/>
    <n v="10357.200000000001"/>
    <n v="4603.2000000000007"/>
    <d v="1900-01-04T00:00:00"/>
    <x v="0"/>
  </r>
  <r>
    <x v="147"/>
    <x v="685"/>
    <x v="6"/>
    <d v="1966-08-08T00:00:00"/>
    <x v="2"/>
    <n v="122"/>
    <s v="Pro07"/>
    <x v="1"/>
    <x v="0"/>
    <n v="0.1"/>
    <x v="0"/>
    <n v="19"/>
    <n v="23"/>
    <n v="57"/>
    <n v="2318"/>
    <n v="2525.4"/>
    <n v="207.40000000000009"/>
    <d v="1900-01-04T00:00:00"/>
    <x v="0"/>
  </r>
  <r>
    <x v="147"/>
    <x v="686"/>
    <x v="5"/>
    <d v="1976-11-20T00:00:00"/>
    <x v="3"/>
    <n v="303"/>
    <s v="Pro02"/>
    <x v="0"/>
    <x v="0"/>
    <n v="0.1"/>
    <x v="8"/>
    <n v="18"/>
    <n v="22"/>
    <n v="47"/>
    <n v="5454"/>
    <n v="5999.4000000000005"/>
    <n v="545.40000000000055"/>
    <d v="1900-01-04T00:00:00"/>
    <x v="0"/>
  </r>
  <r>
    <x v="147"/>
    <x v="687"/>
    <x v="3"/>
    <d v="1958-12-16T00:00:00"/>
    <x v="1"/>
    <n v="475"/>
    <s v="Pro10"/>
    <x v="0"/>
    <x v="0"/>
    <n v="0.1"/>
    <x v="7"/>
    <n v="18"/>
    <n v="36"/>
    <n v="65"/>
    <n v="8550"/>
    <n v="15390"/>
    <n v="6840"/>
    <d v="1900-01-04T00:00:00"/>
    <x v="0"/>
  </r>
  <r>
    <x v="147"/>
    <x v="688"/>
    <x v="9"/>
    <d v="1992-07-27T00:00:00"/>
    <x v="2"/>
    <n v="431"/>
    <s v="Pro05"/>
    <x v="0"/>
    <x v="0"/>
    <n v="0.1"/>
    <x v="5"/>
    <n v="14"/>
    <n v="28"/>
    <n v="31"/>
    <n v="6034"/>
    <n v="10861.2"/>
    <n v="4827.2000000000007"/>
    <d v="1900-01-04T00:00:00"/>
    <x v="0"/>
  </r>
  <r>
    <x v="148"/>
    <x v="689"/>
    <x v="1"/>
    <d v="1957-05-22T00:00:00"/>
    <x v="0"/>
    <n v="396"/>
    <s v="Pro09"/>
    <x v="1"/>
    <x v="0"/>
    <n v="0.1"/>
    <x v="3"/>
    <n v="10"/>
    <n v="45"/>
    <n v="67"/>
    <n v="3960"/>
    <n v="16038"/>
    <n v="12078"/>
    <d v="1900-01-05T00:00:00"/>
    <x v="0"/>
  </r>
  <r>
    <x v="148"/>
    <x v="690"/>
    <x v="10"/>
    <d v="1945-04-01T00:00:00"/>
    <x v="3"/>
    <n v="231"/>
    <s v="Pro05"/>
    <x v="3"/>
    <x v="0"/>
    <n v="0.1"/>
    <x v="5"/>
    <n v="14"/>
    <n v="28"/>
    <n v="79"/>
    <n v="3234"/>
    <n v="5821.2"/>
    <n v="2587.1999999999998"/>
    <d v="1900-01-05T00:00:00"/>
    <x v="0"/>
  </r>
  <r>
    <x v="148"/>
    <x v="691"/>
    <x v="8"/>
    <d v="1983-09-03T00:00:00"/>
    <x v="1"/>
    <n v="302"/>
    <s v="Pro01"/>
    <x v="2"/>
    <x v="0"/>
    <n v="0.1"/>
    <x v="9"/>
    <n v="10"/>
    <n v="11"/>
    <n v="40"/>
    <n v="3020"/>
    <n v="2989.8"/>
    <n v="-30.199999999999818"/>
    <d v="1900-01-05T00:00:00"/>
    <x v="0"/>
  </r>
  <r>
    <x v="149"/>
    <x v="692"/>
    <x v="4"/>
    <d v="1956-03-26T00:00:00"/>
    <x v="2"/>
    <n v="222"/>
    <s v="Pro03"/>
    <x v="1"/>
    <x v="0"/>
    <n v="0.1"/>
    <x v="10"/>
    <n v="3"/>
    <n v="5"/>
    <n v="68"/>
    <n v="666"/>
    <n v="999"/>
    <n v="333"/>
    <d v="1900-01-06T00:00:00"/>
    <x v="1"/>
  </r>
  <r>
    <x v="149"/>
    <x v="693"/>
    <x v="3"/>
    <s v="Unknown"/>
    <x v="3"/>
    <n v="37"/>
    <s v="Pro03"/>
    <x v="3"/>
    <x v="0"/>
    <n v="0.1"/>
    <x v="10"/>
    <n v="3"/>
    <n v="5"/>
    <e v="#VALUE!"/>
    <n v="111"/>
    <n v="166.5"/>
    <n v="55.5"/>
    <d v="1900-01-06T00:00:00"/>
    <x v="1"/>
  </r>
  <r>
    <x v="149"/>
    <x v="694"/>
    <x v="8"/>
    <d v="1952-03-05T00:00:00"/>
    <x v="0"/>
    <n v="463"/>
    <s v="Pro06"/>
    <x v="2"/>
    <x v="0"/>
    <n v="0.1"/>
    <x v="4"/>
    <n v="7"/>
    <n v="9"/>
    <n v="72"/>
    <n v="3241"/>
    <n v="3750.3"/>
    <n v="509.30000000000018"/>
    <d v="1900-01-06T00:00:00"/>
    <x v="1"/>
  </r>
  <r>
    <x v="150"/>
    <x v="695"/>
    <x v="2"/>
    <d v="1983-09-01T00:00:00"/>
    <x v="1"/>
    <n v="73"/>
    <s v="Pro10"/>
    <x v="0"/>
    <x v="0"/>
    <n v="0.1"/>
    <x v="7"/>
    <n v="18"/>
    <n v="36"/>
    <n v="40"/>
    <n v="1314"/>
    <n v="2365.2000000000003"/>
    <n v="1051.2000000000003"/>
    <d v="1899-12-31T00:00:00"/>
    <x v="1"/>
  </r>
  <r>
    <x v="150"/>
    <x v="696"/>
    <x v="8"/>
    <d v="2001-08-17T00:00:00"/>
    <x v="3"/>
    <n v="257"/>
    <s v="Pro02"/>
    <x v="1"/>
    <x v="0"/>
    <n v="0.1"/>
    <x v="8"/>
    <n v="18"/>
    <n v="22"/>
    <n v="22"/>
    <n v="4626"/>
    <n v="5088.6000000000004"/>
    <n v="462.60000000000036"/>
    <d v="1899-12-31T00:00:00"/>
    <x v="1"/>
  </r>
  <r>
    <x v="150"/>
    <x v="697"/>
    <x v="9"/>
    <d v="1945-07-19T00:00:00"/>
    <x v="3"/>
    <n v="247"/>
    <s v="Pro02"/>
    <x v="4"/>
    <x v="0"/>
    <n v="0.1"/>
    <x v="8"/>
    <n v="18"/>
    <n v="22"/>
    <n v="78"/>
    <n v="4446"/>
    <n v="4890.6000000000004"/>
    <n v="444.60000000000036"/>
    <d v="1899-12-31T00:00:00"/>
    <x v="1"/>
  </r>
  <r>
    <x v="150"/>
    <x v="698"/>
    <x v="7"/>
    <d v="1945-07-12T00:00:00"/>
    <x v="0"/>
    <n v="189"/>
    <s v="Pro06"/>
    <x v="0"/>
    <x v="0"/>
    <n v="0.1"/>
    <x v="4"/>
    <n v="7"/>
    <n v="9"/>
    <n v="78"/>
    <n v="1323"/>
    <n v="1530.9"/>
    <n v="207.90000000000009"/>
    <d v="1899-12-31T00:00:00"/>
    <x v="1"/>
  </r>
  <r>
    <x v="150"/>
    <x v="61"/>
    <x v="5"/>
    <d v="1997-11-14T00:00:00"/>
    <x v="1"/>
    <n v="190"/>
    <s v="Pro02"/>
    <x v="1"/>
    <x v="0"/>
    <n v="0.1"/>
    <x v="8"/>
    <n v="18"/>
    <n v="22"/>
    <n v="26"/>
    <n v="3420"/>
    <n v="3762"/>
    <n v="342"/>
    <d v="1899-12-31T00:00:00"/>
    <x v="1"/>
  </r>
  <r>
    <x v="150"/>
    <x v="699"/>
    <x v="2"/>
    <d v="1997-01-25T00:00:00"/>
    <x v="0"/>
    <n v="276"/>
    <s v="Pro04"/>
    <x v="2"/>
    <x v="0"/>
    <n v="0.1"/>
    <x v="1"/>
    <n v="10"/>
    <n v="14"/>
    <n v="27"/>
    <n v="2760"/>
    <n v="3477.6"/>
    <n v="717.59999999999991"/>
    <d v="1899-12-31T00:00:00"/>
    <x v="1"/>
  </r>
  <r>
    <x v="150"/>
    <x v="700"/>
    <x v="6"/>
    <d v="1971-03-15T00:00:00"/>
    <x v="3"/>
    <n v="65"/>
    <s v="Pro03"/>
    <x v="0"/>
    <x v="0"/>
    <n v="0.1"/>
    <x v="10"/>
    <n v="3"/>
    <n v="5"/>
    <n v="53"/>
    <n v="195"/>
    <n v="292.5"/>
    <n v="97.5"/>
    <d v="1899-12-31T00:00:00"/>
    <x v="1"/>
  </r>
  <r>
    <x v="151"/>
    <x v="701"/>
    <x v="9"/>
    <d v="1968-04-21T00:00:00"/>
    <x v="1"/>
    <n v="332"/>
    <s v="Pro03"/>
    <x v="5"/>
    <x v="0"/>
    <n v="0.1"/>
    <x v="10"/>
    <n v="3"/>
    <n v="5"/>
    <n v="56"/>
    <n v="996"/>
    <n v="1494"/>
    <n v="498"/>
    <d v="1900-01-01T00:00:00"/>
    <x v="0"/>
  </r>
  <r>
    <x v="151"/>
    <x v="702"/>
    <x v="4"/>
    <d v="1951-08-23T00:00:00"/>
    <x v="1"/>
    <n v="186"/>
    <s v="Pro03"/>
    <x v="0"/>
    <x v="1"/>
    <n v="0.1"/>
    <x v="10"/>
    <n v="3"/>
    <n v="5"/>
    <n v="72"/>
    <n v="558"/>
    <n v="837"/>
    <n v="279"/>
    <d v="1900-01-01T00:00:00"/>
    <x v="0"/>
  </r>
  <r>
    <x v="151"/>
    <x v="703"/>
    <x v="2"/>
    <d v="2003-07-01T00:00:00"/>
    <x v="0"/>
    <n v="113"/>
    <s v="Pro03"/>
    <x v="4"/>
    <x v="0"/>
    <n v="0.1"/>
    <x v="10"/>
    <n v="3"/>
    <n v="5"/>
    <n v="20"/>
    <n v="339"/>
    <n v="508.5"/>
    <n v="169.5"/>
    <d v="1900-01-01T00:00:00"/>
    <x v="0"/>
  </r>
  <r>
    <x v="151"/>
    <x v="704"/>
    <x v="3"/>
    <d v="2003-03-31T00:00:00"/>
    <x v="0"/>
    <n v="234"/>
    <s v="Pro01"/>
    <x v="2"/>
    <x v="2"/>
    <n v="0.1"/>
    <x v="9"/>
    <n v="10"/>
    <n v="11"/>
    <n v="21"/>
    <n v="2340"/>
    <n v="2316.6"/>
    <n v="-23.400000000000091"/>
    <d v="1900-01-01T00:00:00"/>
    <x v="0"/>
  </r>
  <r>
    <x v="151"/>
    <x v="705"/>
    <x v="1"/>
    <d v="1964-12-03T00:00:00"/>
    <x v="3"/>
    <n v="124"/>
    <s v="Pro09"/>
    <x v="1"/>
    <x v="0"/>
    <n v="0.1"/>
    <x v="3"/>
    <n v="10"/>
    <n v="45"/>
    <n v="59"/>
    <n v="1240"/>
    <n v="5022"/>
    <n v="3782"/>
    <d v="1900-01-01T00:00:00"/>
    <x v="0"/>
  </r>
  <r>
    <x v="152"/>
    <x v="706"/>
    <x v="8"/>
    <d v="1949-07-11T00:00:00"/>
    <x v="0"/>
    <n v="500"/>
    <s v="Pro02"/>
    <x v="1"/>
    <x v="0"/>
    <n v="0.1"/>
    <x v="8"/>
    <n v="18"/>
    <n v="22"/>
    <n v="74"/>
    <n v="9000"/>
    <n v="9900"/>
    <n v="900"/>
    <d v="1900-01-02T00:00:00"/>
    <x v="0"/>
  </r>
  <r>
    <x v="152"/>
    <x v="707"/>
    <x v="7"/>
    <d v="1968-04-09T00:00:00"/>
    <x v="2"/>
    <n v="56"/>
    <s v="Pro04"/>
    <x v="5"/>
    <x v="1"/>
    <n v="0.1"/>
    <x v="1"/>
    <n v="10"/>
    <n v="14"/>
    <n v="56"/>
    <n v="560"/>
    <n v="705.6"/>
    <n v="145.60000000000002"/>
    <d v="1900-01-02T00:00:00"/>
    <x v="0"/>
  </r>
  <r>
    <x v="152"/>
    <x v="708"/>
    <x v="3"/>
    <d v="1982-05-28T00:00:00"/>
    <x v="1"/>
    <n v="169"/>
    <s v="Pro09"/>
    <x v="1"/>
    <x v="0"/>
    <n v="0.1"/>
    <x v="3"/>
    <n v="10"/>
    <n v="45"/>
    <n v="42"/>
    <n v="1690"/>
    <n v="6844.5"/>
    <n v="5154.5"/>
    <d v="1900-01-02T00:00:00"/>
    <x v="0"/>
  </r>
  <r>
    <x v="152"/>
    <x v="709"/>
    <x v="4"/>
    <d v="1985-10-22T00:00:00"/>
    <x v="1"/>
    <n v="459"/>
    <s v="Pro10"/>
    <x v="2"/>
    <x v="0"/>
    <n v="0.1"/>
    <x v="7"/>
    <n v="18"/>
    <n v="36"/>
    <n v="38"/>
    <n v="8262"/>
    <n v="14871.6"/>
    <n v="6609.6"/>
    <d v="1900-01-02T00:00:00"/>
    <x v="0"/>
  </r>
  <r>
    <x v="152"/>
    <x v="367"/>
    <x v="8"/>
    <d v="1959-07-04T00:00:00"/>
    <x v="3"/>
    <n v="342"/>
    <s v="Pro08"/>
    <x v="0"/>
    <x v="0"/>
    <n v="0.1"/>
    <x v="6"/>
    <n v="5"/>
    <n v="7"/>
    <n v="64"/>
    <n v="1710"/>
    <n v="2154.6"/>
    <n v="444.59999999999991"/>
    <d v="1900-01-02T00:00:00"/>
    <x v="0"/>
  </r>
  <r>
    <x v="152"/>
    <x v="710"/>
    <x v="1"/>
    <d v="1983-02-20T00:00:00"/>
    <x v="0"/>
    <n v="284"/>
    <s v="Pro03"/>
    <x v="5"/>
    <x v="0"/>
    <n v="0.1"/>
    <x v="10"/>
    <n v="3"/>
    <n v="5"/>
    <n v="41"/>
    <n v="852"/>
    <n v="1278"/>
    <n v="426"/>
    <d v="1900-01-02T00:00:00"/>
    <x v="0"/>
  </r>
  <r>
    <x v="152"/>
    <x v="711"/>
    <x v="10"/>
    <d v="1968-11-04T00:00:00"/>
    <x v="3"/>
    <n v="368"/>
    <s v="Pro08"/>
    <x v="4"/>
    <x v="0"/>
    <n v="0.1"/>
    <x v="6"/>
    <n v="5"/>
    <n v="7"/>
    <n v="55"/>
    <n v="1840"/>
    <n v="2318.4"/>
    <n v="478.40000000000009"/>
    <d v="1900-01-02T00:00:00"/>
    <x v="0"/>
  </r>
  <r>
    <x v="152"/>
    <x v="712"/>
    <x v="9"/>
    <d v="1973-01-27T00:00:00"/>
    <x v="3"/>
    <n v="204"/>
    <s v="Pro09"/>
    <x v="0"/>
    <x v="0"/>
    <n v="0.1"/>
    <x v="3"/>
    <n v="10"/>
    <n v="45"/>
    <n v="51"/>
    <n v="2040"/>
    <n v="8262"/>
    <n v="6222"/>
    <d v="1900-01-02T00:00:00"/>
    <x v="0"/>
  </r>
  <r>
    <x v="153"/>
    <x v="713"/>
    <x v="1"/>
    <d v="1954-11-07T00:00:00"/>
    <x v="0"/>
    <n v="494"/>
    <s v="Pro08"/>
    <x v="0"/>
    <x v="0"/>
    <n v="0.1"/>
    <x v="6"/>
    <n v="5"/>
    <n v="7"/>
    <n v="69"/>
    <n v="2470"/>
    <n v="3112.2000000000003"/>
    <n v="642.20000000000027"/>
    <d v="1900-01-03T00:00:00"/>
    <x v="0"/>
  </r>
  <r>
    <x v="153"/>
    <x v="714"/>
    <x v="8"/>
    <d v="2006-01-10T00:00:00"/>
    <x v="3"/>
    <n v="139"/>
    <s v="Pro09"/>
    <x v="2"/>
    <x v="0"/>
    <n v="0.1"/>
    <x v="3"/>
    <n v="10"/>
    <n v="45"/>
    <n v="18"/>
    <n v="1390"/>
    <n v="5629.5"/>
    <n v="4239.5"/>
    <d v="1900-01-03T00:00:00"/>
    <x v="0"/>
  </r>
  <r>
    <x v="153"/>
    <x v="715"/>
    <x v="0"/>
    <d v="1977-02-02T00:00:00"/>
    <x v="2"/>
    <n v="337"/>
    <s v="Pro02"/>
    <x v="3"/>
    <x v="0"/>
    <n v="0.1"/>
    <x v="8"/>
    <n v="18"/>
    <n v="22"/>
    <n v="47"/>
    <n v="6066"/>
    <n v="6672.6"/>
    <n v="606.60000000000036"/>
    <d v="1900-01-03T00:00:00"/>
    <x v="0"/>
  </r>
  <r>
    <x v="153"/>
    <x v="716"/>
    <x v="10"/>
    <d v="1985-10-20T00:00:00"/>
    <x v="0"/>
    <n v="141"/>
    <s v="Pro02"/>
    <x v="1"/>
    <x v="0"/>
    <n v="0.1"/>
    <x v="8"/>
    <n v="18"/>
    <n v="22"/>
    <n v="38"/>
    <n v="2538"/>
    <n v="2791.8"/>
    <n v="253.80000000000018"/>
    <d v="1900-01-03T00:00:00"/>
    <x v="0"/>
  </r>
  <r>
    <x v="153"/>
    <x v="717"/>
    <x v="8"/>
    <d v="1946-07-24T00:00:00"/>
    <x v="2"/>
    <n v="468"/>
    <s v="Pro09"/>
    <x v="2"/>
    <x v="0"/>
    <n v="0.1"/>
    <x v="3"/>
    <n v="10"/>
    <n v="45"/>
    <n v="77"/>
    <n v="4680"/>
    <n v="18954"/>
    <n v="14274"/>
    <d v="1900-01-03T00:00:00"/>
    <x v="0"/>
  </r>
  <r>
    <x v="154"/>
    <x v="718"/>
    <x v="5"/>
    <d v="1980-09-20T00:00:00"/>
    <x v="1"/>
    <n v="456"/>
    <s v="Pro10"/>
    <x v="1"/>
    <x v="0"/>
    <n v="0.1"/>
    <x v="7"/>
    <n v="18"/>
    <n v="36"/>
    <n v="43"/>
    <n v="8208"/>
    <n v="14774.4"/>
    <n v="6566.4"/>
    <d v="1900-01-04T00:00:00"/>
    <x v="0"/>
  </r>
  <r>
    <x v="154"/>
    <x v="719"/>
    <x v="7"/>
    <d v="1978-04-12T00:00:00"/>
    <x v="0"/>
    <n v="182"/>
    <s v="Pro08"/>
    <x v="3"/>
    <x v="0"/>
    <n v="0.1"/>
    <x v="6"/>
    <n v="5"/>
    <n v="7"/>
    <n v="46"/>
    <n v="910"/>
    <n v="1146.6000000000001"/>
    <n v="236.60000000000014"/>
    <d v="1900-01-04T00:00:00"/>
    <x v="0"/>
  </r>
  <r>
    <x v="154"/>
    <x v="720"/>
    <x v="9"/>
    <d v="1991-09-29T00:00:00"/>
    <x v="0"/>
    <n v="271"/>
    <s v="Pro02"/>
    <x v="4"/>
    <x v="1"/>
    <n v="0.1"/>
    <x v="8"/>
    <n v="18"/>
    <n v="22"/>
    <n v="32"/>
    <n v="4878"/>
    <n v="5365.8"/>
    <n v="487.80000000000018"/>
    <d v="1900-01-04T00:00:00"/>
    <x v="0"/>
  </r>
  <r>
    <x v="154"/>
    <x v="721"/>
    <x v="2"/>
    <d v="1978-02-05T00:00:00"/>
    <x v="3"/>
    <n v="381"/>
    <s v="Pro03"/>
    <x v="1"/>
    <x v="0"/>
    <n v="0.1"/>
    <x v="10"/>
    <n v="3"/>
    <n v="5"/>
    <n v="46"/>
    <n v="1143"/>
    <n v="1714.5"/>
    <n v="571.5"/>
    <d v="1900-01-04T00:00:00"/>
    <x v="0"/>
  </r>
  <r>
    <x v="154"/>
    <x v="722"/>
    <x v="1"/>
    <d v="1964-06-29T00:00:00"/>
    <x v="0"/>
    <n v="64"/>
    <s v="Pro06"/>
    <x v="2"/>
    <x v="0"/>
    <n v="0.1"/>
    <x v="4"/>
    <n v="7"/>
    <n v="9"/>
    <n v="59"/>
    <n v="448"/>
    <n v="518.4"/>
    <n v="70.399999999999977"/>
    <d v="1900-01-04T00:00:00"/>
    <x v="0"/>
  </r>
  <r>
    <x v="154"/>
    <x v="723"/>
    <x v="3"/>
    <d v="1954-01-06T00:00:00"/>
    <x v="0"/>
    <n v="102"/>
    <s v="Pro01"/>
    <x v="3"/>
    <x v="0"/>
    <n v="0.1"/>
    <x v="9"/>
    <n v="10"/>
    <n v="11"/>
    <n v="70"/>
    <n v="1020"/>
    <n v="1009.8000000000001"/>
    <n v="-10.199999999999932"/>
    <d v="1900-01-04T00:00:00"/>
    <x v="0"/>
  </r>
  <r>
    <x v="154"/>
    <x v="724"/>
    <x v="8"/>
    <d v="1980-05-15T00:00:00"/>
    <x v="0"/>
    <n v="130"/>
    <s v="Pro07"/>
    <x v="0"/>
    <x v="0"/>
    <n v="0.1"/>
    <x v="0"/>
    <n v="19"/>
    <n v="23"/>
    <n v="44"/>
    <n v="2470"/>
    <n v="2691"/>
    <n v="221"/>
    <d v="1900-01-04T00:00:00"/>
    <x v="0"/>
  </r>
  <r>
    <x v="154"/>
    <x v="725"/>
    <x v="10"/>
    <d v="1991-01-03T00:00:00"/>
    <x v="0"/>
    <n v="277"/>
    <s v="Pro10"/>
    <x v="1"/>
    <x v="0"/>
    <n v="0.1"/>
    <x v="7"/>
    <n v="18"/>
    <n v="36"/>
    <n v="33"/>
    <n v="4986"/>
    <n v="8974.8000000000011"/>
    <n v="3988.8000000000011"/>
    <d v="1900-01-04T00:00:00"/>
    <x v="0"/>
  </r>
  <r>
    <x v="154"/>
    <x v="726"/>
    <x v="1"/>
    <d v="1956-11-16T00:00:00"/>
    <x v="3"/>
    <n v="138"/>
    <s v="Pro06"/>
    <x v="4"/>
    <x v="0"/>
    <n v="0.1"/>
    <x v="4"/>
    <n v="7"/>
    <n v="9"/>
    <n v="67"/>
    <n v="966"/>
    <n v="1117.8"/>
    <n v="151.79999999999995"/>
    <d v="1900-01-04T00:00:00"/>
    <x v="0"/>
  </r>
  <r>
    <x v="155"/>
    <x v="727"/>
    <x v="1"/>
    <d v="1993-04-11T00:00:00"/>
    <x v="2"/>
    <n v="309"/>
    <s v="Pro07"/>
    <x v="2"/>
    <x v="0"/>
    <n v="0.1"/>
    <x v="0"/>
    <n v="19"/>
    <n v="23"/>
    <n v="31"/>
    <n v="5871"/>
    <n v="6396.3"/>
    <n v="525.30000000000018"/>
    <d v="1900-01-05T00:00:00"/>
    <x v="0"/>
  </r>
  <r>
    <x v="156"/>
    <x v="728"/>
    <x v="9"/>
    <d v="1956-01-29T00:00:00"/>
    <x v="1"/>
    <n v="214"/>
    <s v="Pro04"/>
    <x v="4"/>
    <x v="0"/>
    <n v="0.1"/>
    <x v="1"/>
    <n v="10"/>
    <n v="14"/>
    <n v="68"/>
    <n v="2140"/>
    <n v="2696.4"/>
    <n v="556.40000000000009"/>
    <d v="1900-01-06T00:00:00"/>
    <x v="1"/>
  </r>
  <r>
    <x v="156"/>
    <x v="729"/>
    <x v="1"/>
    <d v="1968-09-11T00:00:00"/>
    <x v="1"/>
    <n v="445"/>
    <s v="Pro05"/>
    <x v="1"/>
    <x v="2"/>
    <n v="0.1"/>
    <x v="5"/>
    <n v="14"/>
    <n v="28"/>
    <n v="55"/>
    <n v="6230"/>
    <n v="11214"/>
    <n v="4984"/>
    <d v="1900-01-06T00:00:00"/>
    <x v="1"/>
  </r>
  <r>
    <x v="157"/>
    <x v="730"/>
    <x v="1"/>
    <d v="1993-10-11T00:00:00"/>
    <x v="0"/>
    <n v="283"/>
    <s v="Pro04"/>
    <x v="2"/>
    <x v="0"/>
    <n v="0.1"/>
    <x v="1"/>
    <n v="10"/>
    <n v="14"/>
    <n v="30"/>
    <n v="2830"/>
    <n v="3565.8"/>
    <n v="735.80000000000018"/>
    <d v="1900-01-01T00:00:00"/>
    <x v="0"/>
  </r>
  <r>
    <x v="157"/>
    <x v="731"/>
    <x v="10"/>
    <d v="1946-10-07T00:00:00"/>
    <x v="1"/>
    <n v="411"/>
    <s v="Pro09"/>
    <x v="1"/>
    <x v="0"/>
    <n v="0.1"/>
    <x v="3"/>
    <n v="10"/>
    <n v="45"/>
    <n v="77"/>
    <n v="4110"/>
    <n v="16645.5"/>
    <n v="12535.5"/>
    <d v="1900-01-01T00:00:00"/>
    <x v="0"/>
  </r>
  <r>
    <x v="157"/>
    <x v="732"/>
    <x v="3"/>
    <d v="2003-07-02T00:00:00"/>
    <x v="3"/>
    <n v="85"/>
    <s v="Pro06"/>
    <x v="1"/>
    <x v="0"/>
    <n v="0.1"/>
    <x v="4"/>
    <n v="7"/>
    <n v="9"/>
    <n v="20"/>
    <n v="595"/>
    <n v="688.5"/>
    <n v="93.5"/>
    <d v="1900-01-01T00:00:00"/>
    <x v="0"/>
  </r>
  <r>
    <x v="157"/>
    <x v="733"/>
    <x v="7"/>
    <d v="1951-04-16T00:00:00"/>
    <x v="2"/>
    <n v="287"/>
    <s v="Pro01"/>
    <x v="5"/>
    <x v="0"/>
    <n v="0.1"/>
    <x v="9"/>
    <n v="10"/>
    <n v="11"/>
    <n v="73"/>
    <n v="2870"/>
    <n v="2841.3"/>
    <n v="-28.699999999999818"/>
    <d v="1900-01-01T00:00:00"/>
    <x v="0"/>
  </r>
  <r>
    <x v="157"/>
    <x v="734"/>
    <x v="9"/>
    <d v="1954-06-01T00:00:00"/>
    <x v="0"/>
    <n v="305"/>
    <s v="Pro09"/>
    <x v="2"/>
    <x v="0"/>
    <n v="0.1"/>
    <x v="3"/>
    <n v="10"/>
    <n v="45"/>
    <n v="70"/>
    <n v="3050"/>
    <n v="12352.5"/>
    <n v="9302.5"/>
    <d v="1900-01-01T00:00:00"/>
    <x v="0"/>
  </r>
  <r>
    <x v="158"/>
    <x v="735"/>
    <x v="9"/>
    <d v="1991-01-10T00:00:00"/>
    <x v="3"/>
    <n v="299"/>
    <s v="Pro04"/>
    <x v="1"/>
    <x v="0"/>
    <n v="0.1"/>
    <x v="1"/>
    <n v="10"/>
    <n v="14"/>
    <n v="33"/>
    <n v="2990"/>
    <n v="3767.4"/>
    <n v="777.40000000000009"/>
    <d v="1900-01-02T00:00:00"/>
    <x v="0"/>
  </r>
  <r>
    <x v="158"/>
    <x v="736"/>
    <x v="5"/>
    <d v="2006-02-18T00:00:00"/>
    <x v="2"/>
    <n v="389"/>
    <s v="Pro10"/>
    <x v="1"/>
    <x v="0"/>
    <n v="0.1"/>
    <x v="7"/>
    <n v="18"/>
    <n v="36"/>
    <n v="18"/>
    <n v="7002"/>
    <n v="12603.6"/>
    <n v="5601.6"/>
    <d v="1900-01-02T00:00:00"/>
    <x v="0"/>
  </r>
  <r>
    <x v="158"/>
    <x v="737"/>
    <x v="3"/>
    <d v="1998-07-19T00:00:00"/>
    <x v="1"/>
    <n v="150"/>
    <s v="Pro09"/>
    <x v="0"/>
    <x v="0"/>
    <n v="0.1"/>
    <x v="3"/>
    <n v="10"/>
    <n v="45"/>
    <n v="25"/>
    <n v="1500"/>
    <n v="6075"/>
    <n v="4575"/>
    <d v="1900-01-02T00:00:00"/>
    <x v="0"/>
  </r>
  <r>
    <x v="158"/>
    <x v="738"/>
    <x v="10"/>
    <d v="2003-09-05T00:00:00"/>
    <x v="3"/>
    <n v="251"/>
    <s v="Pro07"/>
    <x v="1"/>
    <x v="0"/>
    <n v="0.1"/>
    <x v="0"/>
    <n v="19"/>
    <n v="23"/>
    <n v="20"/>
    <n v="4769"/>
    <n v="5195.7"/>
    <n v="426.69999999999982"/>
    <d v="1900-01-02T00:00:00"/>
    <x v="0"/>
  </r>
  <r>
    <x v="158"/>
    <x v="739"/>
    <x v="9"/>
    <d v="1953-01-05T00:00:00"/>
    <x v="0"/>
    <n v="223"/>
    <s v="Pro01"/>
    <x v="1"/>
    <x v="2"/>
    <n v="0.1"/>
    <x v="9"/>
    <n v="10"/>
    <n v="11"/>
    <n v="71"/>
    <n v="2230"/>
    <n v="2207.7000000000003"/>
    <n v="-22.299999999999727"/>
    <d v="1900-01-02T00:00:00"/>
    <x v="0"/>
  </r>
  <r>
    <x v="158"/>
    <x v="740"/>
    <x v="1"/>
    <d v="1980-05-16T00:00:00"/>
    <x v="3"/>
    <n v="333"/>
    <s v="Pro09"/>
    <x v="2"/>
    <x v="0"/>
    <n v="0.1"/>
    <x v="3"/>
    <n v="10"/>
    <n v="45"/>
    <n v="44"/>
    <n v="3330"/>
    <n v="13486.5"/>
    <n v="10156.5"/>
    <d v="1900-01-02T00:00:00"/>
    <x v="0"/>
  </r>
  <r>
    <x v="159"/>
    <x v="94"/>
    <x v="4"/>
    <d v="1989-08-22T00:00:00"/>
    <x v="0"/>
    <n v="383"/>
    <s v="Pro01"/>
    <x v="3"/>
    <x v="1"/>
    <n v="0.1"/>
    <x v="9"/>
    <n v="10"/>
    <n v="11"/>
    <n v="34"/>
    <n v="3830"/>
    <n v="3791.7000000000003"/>
    <n v="-38.299999999999727"/>
    <d v="1900-01-03T00:00:00"/>
    <x v="0"/>
  </r>
  <r>
    <x v="160"/>
    <x v="741"/>
    <x v="1"/>
    <d v="1953-12-12T00:00:00"/>
    <x v="2"/>
    <n v="404"/>
    <s v="Pro08"/>
    <x v="1"/>
    <x v="0"/>
    <n v="0.1"/>
    <x v="6"/>
    <n v="5"/>
    <n v="7"/>
    <n v="70"/>
    <n v="2020"/>
    <n v="2545.2000000000003"/>
    <n v="525.20000000000027"/>
    <d v="1900-01-04T00:00:00"/>
    <x v="0"/>
  </r>
  <r>
    <x v="160"/>
    <x v="742"/>
    <x v="9"/>
    <d v="1995-06-18T00:00:00"/>
    <x v="1"/>
    <n v="359"/>
    <s v="Pro02"/>
    <x v="4"/>
    <x v="0"/>
    <n v="0.1"/>
    <x v="8"/>
    <n v="18"/>
    <n v="22"/>
    <n v="28"/>
    <n v="6462"/>
    <n v="7108.2"/>
    <n v="646.19999999999982"/>
    <d v="1900-01-04T00:00:00"/>
    <x v="0"/>
  </r>
  <r>
    <x v="160"/>
    <x v="743"/>
    <x v="8"/>
    <d v="1978-10-25T00:00:00"/>
    <x v="2"/>
    <n v="149"/>
    <s v="Pro07"/>
    <x v="2"/>
    <x v="0"/>
    <n v="0.1"/>
    <x v="0"/>
    <n v="19"/>
    <n v="23"/>
    <n v="45"/>
    <n v="2831"/>
    <n v="3084.3"/>
    <n v="253.30000000000018"/>
    <d v="1900-01-04T00:00:00"/>
    <x v="0"/>
  </r>
  <r>
    <x v="160"/>
    <x v="744"/>
    <x v="0"/>
    <d v="2002-07-16T00:00:00"/>
    <x v="1"/>
    <n v="42"/>
    <s v="Pro07"/>
    <x v="3"/>
    <x v="0"/>
    <n v="0.1"/>
    <x v="0"/>
    <n v="19"/>
    <n v="23"/>
    <n v="21"/>
    <n v="798"/>
    <n v="869.4"/>
    <n v="71.399999999999977"/>
    <d v="1900-01-04T00:00:00"/>
    <x v="0"/>
  </r>
  <r>
    <x v="161"/>
    <x v="745"/>
    <x v="5"/>
    <d v="1984-05-12T00:00:00"/>
    <x v="3"/>
    <n v="329"/>
    <s v="Pro03"/>
    <x v="0"/>
    <x v="0"/>
    <n v="0.1"/>
    <x v="10"/>
    <n v="3"/>
    <n v="5"/>
    <n v="40"/>
    <n v="987"/>
    <n v="1480.5"/>
    <n v="493.5"/>
    <d v="1900-01-05T00:00:00"/>
    <x v="0"/>
  </r>
  <r>
    <x v="161"/>
    <x v="746"/>
    <x v="9"/>
    <d v="1959-08-19T00:00:00"/>
    <x v="3"/>
    <n v="442"/>
    <s v="Pro02"/>
    <x v="1"/>
    <x v="0"/>
    <n v="0.1"/>
    <x v="8"/>
    <n v="18"/>
    <n v="22"/>
    <n v="64"/>
    <n v="7956"/>
    <n v="8751.6"/>
    <n v="795.60000000000036"/>
    <d v="1900-01-05T00:00:00"/>
    <x v="0"/>
  </r>
  <r>
    <x v="161"/>
    <x v="747"/>
    <x v="8"/>
    <d v="2005-11-01T00:00:00"/>
    <x v="1"/>
    <n v="185"/>
    <s v="Pro05"/>
    <x v="1"/>
    <x v="0"/>
    <n v="0.1"/>
    <x v="5"/>
    <n v="14"/>
    <n v="28"/>
    <n v="18"/>
    <n v="2590"/>
    <n v="4662"/>
    <n v="2072"/>
    <d v="1900-01-05T00:00:00"/>
    <x v="0"/>
  </r>
  <r>
    <x v="161"/>
    <x v="748"/>
    <x v="7"/>
    <d v="1960-12-15T00:00:00"/>
    <x v="0"/>
    <n v="63"/>
    <s v="Pro01"/>
    <x v="2"/>
    <x v="0"/>
    <n v="0.1"/>
    <x v="9"/>
    <n v="10"/>
    <n v="11"/>
    <n v="63"/>
    <n v="630"/>
    <n v="623.70000000000005"/>
    <n v="-6.2999999999999545"/>
    <d v="1900-01-05T00:00:00"/>
    <x v="0"/>
  </r>
  <r>
    <x v="161"/>
    <x v="64"/>
    <x v="5"/>
    <d v="1986-10-01T00:00:00"/>
    <x v="1"/>
    <n v="157"/>
    <s v="Pro06"/>
    <x v="2"/>
    <x v="0"/>
    <n v="0.1"/>
    <x v="4"/>
    <n v="7"/>
    <n v="9"/>
    <n v="37"/>
    <n v="1099"/>
    <n v="1271.7"/>
    <n v="172.70000000000005"/>
    <d v="1900-01-05T00:00:00"/>
    <x v="0"/>
  </r>
  <r>
    <x v="162"/>
    <x v="749"/>
    <x v="1"/>
    <d v="1948-06-24T00:00:00"/>
    <x v="3"/>
    <n v="312"/>
    <s v="Pro04"/>
    <x v="2"/>
    <x v="0"/>
    <n v="0.1"/>
    <x v="1"/>
    <n v="10"/>
    <n v="14"/>
    <n v="75"/>
    <n v="3120"/>
    <n v="3931.2000000000003"/>
    <n v="811.20000000000027"/>
    <d v="1900-01-06T00:00:00"/>
    <x v="1"/>
  </r>
  <r>
    <x v="162"/>
    <x v="750"/>
    <x v="4"/>
    <d v="1949-01-26T00:00:00"/>
    <x v="3"/>
    <n v="137"/>
    <s v="Pro10"/>
    <x v="3"/>
    <x v="0"/>
    <n v="0.1"/>
    <x v="7"/>
    <n v="18"/>
    <n v="36"/>
    <n v="75"/>
    <n v="2466"/>
    <n v="4438.8"/>
    <n v="1972.8000000000002"/>
    <d v="1900-01-06T00:00:00"/>
    <x v="1"/>
  </r>
  <r>
    <x v="162"/>
    <x v="751"/>
    <x v="7"/>
    <d v="1955-10-08T00:00:00"/>
    <x v="3"/>
    <n v="307"/>
    <s v="Pro03"/>
    <x v="2"/>
    <x v="0"/>
    <n v="0.1"/>
    <x v="10"/>
    <n v="3"/>
    <n v="5"/>
    <n v="68"/>
    <n v="921"/>
    <n v="1381.5"/>
    <n v="460.5"/>
    <d v="1900-01-06T00:00:00"/>
    <x v="1"/>
  </r>
  <r>
    <x v="162"/>
    <x v="752"/>
    <x v="10"/>
    <d v="1955-03-07T00:00:00"/>
    <x v="1"/>
    <n v="202"/>
    <s v="Pro10"/>
    <x v="2"/>
    <x v="0"/>
    <n v="0.1"/>
    <x v="7"/>
    <n v="18"/>
    <n v="36"/>
    <n v="69"/>
    <n v="3636"/>
    <n v="6544.8"/>
    <n v="2908.8"/>
    <d v="1900-01-06T00:00:00"/>
    <x v="1"/>
  </r>
  <r>
    <x v="163"/>
    <x v="753"/>
    <x v="3"/>
    <d v="1987-03-31T00:00:00"/>
    <x v="0"/>
    <n v="373"/>
    <s v="Pro01"/>
    <x v="2"/>
    <x v="0"/>
    <n v="0.1"/>
    <x v="9"/>
    <n v="10"/>
    <n v="11"/>
    <n v="37"/>
    <n v="3730"/>
    <n v="3692.7000000000003"/>
    <n v="-37.299999999999727"/>
    <d v="1899-12-31T00:00:00"/>
    <x v="1"/>
  </r>
  <r>
    <x v="163"/>
    <x v="754"/>
    <x v="0"/>
    <d v="1982-12-09T00:00:00"/>
    <x v="3"/>
    <n v="394"/>
    <s v="Pro10"/>
    <x v="4"/>
    <x v="0"/>
    <n v="0.1"/>
    <x v="7"/>
    <n v="18"/>
    <n v="36"/>
    <n v="41"/>
    <n v="7092"/>
    <n v="12765.6"/>
    <n v="5673.6"/>
    <d v="1899-12-31T00:00:00"/>
    <x v="1"/>
  </r>
  <r>
    <x v="163"/>
    <x v="755"/>
    <x v="0"/>
    <d v="1956-01-19T00:00:00"/>
    <x v="1"/>
    <n v="15"/>
    <s v="Pro06"/>
    <x v="2"/>
    <x v="2"/>
    <n v="0.1"/>
    <x v="4"/>
    <n v="7"/>
    <n v="9"/>
    <n v="68"/>
    <n v="105"/>
    <n v="121.5"/>
    <n v="16.5"/>
    <d v="1899-12-31T00:00:00"/>
    <x v="1"/>
  </r>
  <r>
    <x v="163"/>
    <x v="756"/>
    <x v="2"/>
    <d v="1960-06-11T00:00:00"/>
    <x v="0"/>
    <n v="261"/>
    <s v="Pro03"/>
    <x v="2"/>
    <x v="0"/>
    <n v="0.1"/>
    <x v="10"/>
    <n v="3"/>
    <n v="5"/>
    <n v="64"/>
    <n v="783"/>
    <n v="1174.5"/>
    <n v="391.5"/>
    <d v="1899-12-31T00:00:00"/>
    <x v="1"/>
  </r>
  <r>
    <x v="164"/>
    <x v="757"/>
    <x v="4"/>
    <d v="2003-10-29T00:00:00"/>
    <x v="1"/>
    <n v="113"/>
    <s v="Pro02"/>
    <x v="0"/>
    <x v="0"/>
    <n v="0.1"/>
    <x v="8"/>
    <n v="18"/>
    <n v="22"/>
    <n v="20"/>
    <n v="2034"/>
    <n v="2237.4"/>
    <n v="203.40000000000009"/>
    <d v="1900-01-01T00:00:00"/>
    <x v="0"/>
  </r>
  <r>
    <x v="164"/>
    <x v="758"/>
    <x v="7"/>
    <d v="2002-07-04T00:00:00"/>
    <x v="0"/>
    <n v="10"/>
    <s v="Pro02"/>
    <x v="0"/>
    <x v="0"/>
    <n v="0.1"/>
    <x v="8"/>
    <n v="18"/>
    <n v="22"/>
    <n v="21"/>
    <n v="180"/>
    <n v="198"/>
    <n v="18"/>
    <d v="1900-01-01T00:00:00"/>
    <x v="0"/>
  </r>
  <r>
    <x v="164"/>
    <x v="759"/>
    <x v="5"/>
    <d v="1961-06-30T00:00:00"/>
    <x v="0"/>
    <n v="83"/>
    <s v="Pro05"/>
    <x v="1"/>
    <x v="0"/>
    <n v="0.1"/>
    <x v="5"/>
    <n v="14"/>
    <n v="28"/>
    <n v="62"/>
    <n v="1162"/>
    <n v="2091.6"/>
    <n v="929.59999999999991"/>
    <d v="1900-01-01T00:00:00"/>
    <x v="0"/>
  </r>
  <r>
    <x v="164"/>
    <x v="760"/>
    <x v="3"/>
    <d v="1956-08-26T00:00:00"/>
    <x v="1"/>
    <n v="264"/>
    <s v="Pro08"/>
    <x v="2"/>
    <x v="0"/>
    <n v="0.1"/>
    <x v="6"/>
    <n v="5"/>
    <n v="7"/>
    <n v="67"/>
    <n v="1320"/>
    <n v="1663.2"/>
    <n v="343.20000000000005"/>
    <d v="1900-01-01T00:00:00"/>
    <x v="0"/>
  </r>
  <r>
    <x v="164"/>
    <x v="761"/>
    <x v="10"/>
    <d v="1985-07-22T00:00:00"/>
    <x v="3"/>
    <n v="108"/>
    <s v="Pro10"/>
    <x v="0"/>
    <x v="0"/>
    <n v="0.1"/>
    <x v="7"/>
    <n v="18"/>
    <n v="36"/>
    <n v="38"/>
    <n v="1944"/>
    <n v="3499.2000000000003"/>
    <n v="1555.2000000000003"/>
    <d v="1900-01-01T00:00:00"/>
    <x v="0"/>
  </r>
  <r>
    <x v="164"/>
    <x v="762"/>
    <x v="5"/>
    <d v="2001-02-03T00:00:00"/>
    <x v="2"/>
    <n v="60"/>
    <s v="Pro07"/>
    <x v="1"/>
    <x v="0"/>
    <n v="0.1"/>
    <x v="0"/>
    <n v="19"/>
    <n v="23"/>
    <n v="23"/>
    <n v="1140"/>
    <n v="1242"/>
    <n v="102"/>
    <d v="1900-01-01T00:00:00"/>
    <x v="0"/>
  </r>
  <r>
    <x v="164"/>
    <x v="763"/>
    <x v="3"/>
    <d v="1947-03-06T00:00:00"/>
    <x v="2"/>
    <n v="344"/>
    <s v="Pro02"/>
    <x v="5"/>
    <x v="0"/>
    <n v="0.1"/>
    <x v="8"/>
    <n v="18"/>
    <n v="22"/>
    <n v="77"/>
    <n v="6192"/>
    <n v="6811.2"/>
    <n v="619.19999999999982"/>
    <d v="1900-01-01T00:00:00"/>
    <x v="0"/>
  </r>
  <r>
    <x v="164"/>
    <x v="764"/>
    <x v="7"/>
    <d v="1974-01-28T00:00:00"/>
    <x v="2"/>
    <n v="345"/>
    <s v="Pro07"/>
    <x v="8"/>
    <x v="0"/>
    <n v="0.1"/>
    <x v="0"/>
    <n v="19"/>
    <n v="23"/>
    <n v="50"/>
    <n v="6555"/>
    <n v="7141.5"/>
    <n v="586.5"/>
    <d v="1900-01-01T00:00:00"/>
    <x v="0"/>
  </r>
  <r>
    <x v="165"/>
    <x v="765"/>
    <x v="8"/>
    <d v="1970-10-31T00:00:00"/>
    <x v="0"/>
    <n v="494"/>
    <s v="Pro01"/>
    <x v="5"/>
    <x v="0"/>
    <n v="0.1"/>
    <x v="9"/>
    <n v="10"/>
    <n v="11"/>
    <n v="53"/>
    <n v="4940"/>
    <n v="4890.6000000000004"/>
    <n v="-49.399999999999636"/>
    <d v="1900-01-02T00:00:00"/>
    <x v="0"/>
  </r>
  <r>
    <x v="165"/>
    <x v="766"/>
    <x v="0"/>
    <d v="1992-06-19T00:00:00"/>
    <x v="1"/>
    <n v="484"/>
    <s v="Pro06"/>
    <x v="2"/>
    <x v="0"/>
    <n v="0.1"/>
    <x v="4"/>
    <n v="7"/>
    <n v="9"/>
    <n v="31"/>
    <n v="3388"/>
    <n v="3920.4"/>
    <n v="532.40000000000009"/>
    <d v="1900-01-02T00:00:00"/>
    <x v="0"/>
  </r>
  <r>
    <x v="165"/>
    <x v="767"/>
    <x v="10"/>
    <d v="2005-03-27T00:00:00"/>
    <x v="1"/>
    <n v="248"/>
    <s v="Pro07"/>
    <x v="1"/>
    <x v="0"/>
    <n v="0.1"/>
    <x v="0"/>
    <n v="19"/>
    <n v="23"/>
    <n v="19"/>
    <n v="4712"/>
    <n v="5133.6000000000004"/>
    <n v="421.60000000000036"/>
    <d v="1900-01-02T00:00:00"/>
    <x v="0"/>
  </r>
  <r>
    <x v="165"/>
    <x v="768"/>
    <x v="8"/>
    <d v="1993-02-09T00:00:00"/>
    <x v="3"/>
    <n v="357"/>
    <s v="Pro01"/>
    <x v="1"/>
    <x v="0"/>
    <n v="0.1"/>
    <x v="9"/>
    <n v="10"/>
    <n v="11"/>
    <n v="31"/>
    <n v="3570"/>
    <n v="3534.3"/>
    <n v="-35.699999999999818"/>
    <d v="1900-01-02T00:00:00"/>
    <x v="0"/>
  </r>
  <r>
    <x v="165"/>
    <x v="769"/>
    <x v="7"/>
    <d v="1979-10-11T00:00:00"/>
    <x v="2"/>
    <n v="471"/>
    <s v="Pro06"/>
    <x v="5"/>
    <x v="0"/>
    <n v="0.1"/>
    <x v="4"/>
    <n v="7"/>
    <n v="9"/>
    <n v="44"/>
    <n v="3297"/>
    <n v="3815.1"/>
    <n v="518.09999999999991"/>
    <d v="1900-01-02T00:00:00"/>
    <x v="0"/>
  </r>
  <r>
    <x v="165"/>
    <x v="61"/>
    <x v="5"/>
    <d v="1995-06-29T00:00:00"/>
    <x v="3"/>
    <n v="323"/>
    <s v="Pro04"/>
    <x v="2"/>
    <x v="0"/>
    <n v="0.1"/>
    <x v="1"/>
    <n v="10"/>
    <n v="14"/>
    <n v="28"/>
    <n v="3230"/>
    <n v="4069.8"/>
    <n v="839.80000000000018"/>
    <d v="1900-01-02T00:00:00"/>
    <x v="0"/>
  </r>
  <r>
    <x v="165"/>
    <x v="770"/>
    <x v="8"/>
    <d v="1965-07-31T00:00:00"/>
    <x v="1"/>
    <n v="493"/>
    <s v="Pro03"/>
    <x v="1"/>
    <x v="0"/>
    <n v="0.1"/>
    <x v="10"/>
    <n v="3"/>
    <n v="5"/>
    <n v="58"/>
    <n v="1479"/>
    <n v="2218.5"/>
    <n v="739.5"/>
    <d v="1900-01-02T00:00:00"/>
    <x v="0"/>
  </r>
  <r>
    <x v="166"/>
    <x v="771"/>
    <x v="9"/>
    <d v="1952-04-14T00:00:00"/>
    <x v="3"/>
    <n v="370"/>
    <s v="Pro02"/>
    <x v="1"/>
    <x v="1"/>
    <n v="0.1"/>
    <x v="8"/>
    <n v="18"/>
    <n v="22"/>
    <n v="72"/>
    <n v="6660"/>
    <n v="7326"/>
    <n v="666"/>
    <d v="1900-01-03T00:00:00"/>
    <x v="0"/>
  </r>
  <r>
    <x v="166"/>
    <x v="772"/>
    <x v="9"/>
    <d v="1969-08-24T00:00:00"/>
    <x v="3"/>
    <n v="170"/>
    <s v="Pro02"/>
    <x v="0"/>
    <x v="1"/>
    <n v="0.1"/>
    <x v="8"/>
    <n v="18"/>
    <n v="22"/>
    <n v="54"/>
    <n v="3060"/>
    <n v="3366"/>
    <n v="306"/>
    <d v="1900-01-03T00:00:00"/>
    <x v="0"/>
  </r>
  <r>
    <x v="166"/>
    <x v="773"/>
    <x v="0"/>
    <d v="1960-06-03T00:00:00"/>
    <x v="1"/>
    <n v="134"/>
    <s v="Pro03"/>
    <x v="1"/>
    <x v="0"/>
    <n v="0.1"/>
    <x v="10"/>
    <n v="3"/>
    <n v="5"/>
    <n v="64"/>
    <n v="402"/>
    <n v="603"/>
    <n v="201"/>
    <d v="1900-01-03T00:00:00"/>
    <x v="0"/>
  </r>
  <r>
    <x v="167"/>
    <x v="774"/>
    <x v="6"/>
    <d v="1951-04-06T00:00:00"/>
    <x v="3"/>
    <n v="233"/>
    <s v="Pro03"/>
    <x v="2"/>
    <x v="0"/>
    <n v="0.1"/>
    <x v="10"/>
    <n v="3"/>
    <n v="5"/>
    <n v="73"/>
    <n v="699"/>
    <n v="1048.5"/>
    <n v="349.5"/>
    <d v="1900-01-04T00:00:00"/>
    <x v="0"/>
  </r>
  <r>
    <x v="168"/>
    <x v="775"/>
    <x v="7"/>
    <d v="1991-08-07T00:00:00"/>
    <x v="3"/>
    <n v="267"/>
    <s v="Pro04"/>
    <x v="0"/>
    <x v="1"/>
    <n v="0.1"/>
    <x v="1"/>
    <n v="10"/>
    <n v="14"/>
    <n v="32"/>
    <n v="2670"/>
    <n v="3364.2000000000003"/>
    <n v="694.20000000000027"/>
    <d v="1900-01-05T00:00:00"/>
    <x v="0"/>
  </r>
  <r>
    <x v="168"/>
    <x v="776"/>
    <x v="2"/>
    <d v="1977-11-18T00:00:00"/>
    <x v="3"/>
    <n v="329"/>
    <s v="Pro03"/>
    <x v="2"/>
    <x v="1"/>
    <n v="0.1"/>
    <x v="10"/>
    <n v="3"/>
    <n v="5"/>
    <n v="46"/>
    <n v="987"/>
    <n v="1480.5"/>
    <n v="493.5"/>
    <d v="1900-01-05T00:00:00"/>
    <x v="0"/>
  </r>
  <r>
    <x v="168"/>
    <x v="777"/>
    <x v="10"/>
    <d v="1954-12-23T00:00:00"/>
    <x v="3"/>
    <n v="360"/>
    <s v="Pro05"/>
    <x v="3"/>
    <x v="0"/>
    <n v="0.1"/>
    <x v="5"/>
    <n v="14"/>
    <n v="28"/>
    <n v="69"/>
    <n v="5040"/>
    <n v="9072"/>
    <n v="4032"/>
    <d v="1900-01-05T00:00:00"/>
    <x v="0"/>
  </r>
  <r>
    <x v="168"/>
    <x v="778"/>
    <x v="2"/>
    <d v="1968-06-02T00:00:00"/>
    <x v="2"/>
    <n v="442"/>
    <s v="Pro01"/>
    <x v="5"/>
    <x v="0"/>
    <n v="0.1"/>
    <x v="9"/>
    <n v="10"/>
    <n v="11"/>
    <n v="56"/>
    <n v="4420"/>
    <n v="4375.8"/>
    <n v="-44.199999999999818"/>
    <d v="1900-01-05T00:00:00"/>
    <x v="0"/>
  </r>
  <r>
    <x v="168"/>
    <x v="779"/>
    <x v="6"/>
    <d v="1956-08-25T00:00:00"/>
    <x v="2"/>
    <n v="50"/>
    <s v="Pro02"/>
    <x v="4"/>
    <x v="0"/>
    <n v="0.1"/>
    <x v="8"/>
    <n v="18"/>
    <n v="22"/>
    <n v="67"/>
    <n v="900"/>
    <n v="990"/>
    <n v="90"/>
    <d v="1900-01-05T00:00:00"/>
    <x v="0"/>
  </r>
  <r>
    <x v="168"/>
    <x v="780"/>
    <x v="10"/>
    <d v="1953-12-01T00:00:00"/>
    <x v="0"/>
    <n v="53"/>
    <s v="Pro06"/>
    <x v="2"/>
    <x v="0"/>
    <n v="0.1"/>
    <x v="4"/>
    <n v="7"/>
    <n v="9"/>
    <n v="70"/>
    <n v="371"/>
    <n v="429.3"/>
    <n v="58.300000000000011"/>
    <d v="1900-01-05T00:00:00"/>
    <x v="0"/>
  </r>
  <r>
    <x v="168"/>
    <x v="781"/>
    <x v="0"/>
    <d v="1948-07-12T00:00:00"/>
    <x v="2"/>
    <n v="307"/>
    <s v="Pro04"/>
    <x v="2"/>
    <x v="0"/>
    <n v="0.1"/>
    <x v="1"/>
    <n v="10"/>
    <n v="14"/>
    <n v="75"/>
    <n v="3070"/>
    <n v="3868.2000000000003"/>
    <n v="798.20000000000027"/>
    <d v="1900-01-05T00:00:00"/>
    <x v="0"/>
  </r>
  <r>
    <x v="168"/>
    <x v="782"/>
    <x v="10"/>
    <d v="1969-09-13T00:00:00"/>
    <x v="0"/>
    <n v="387"/>
    <s v="Pro05"/>
    <x v="1"/>
    <x v="0"/>
    <n v="0.1"/>
    <x v="5"/>
    <n v="14"/>
    <n v="28"/>
    <n v="54"/>
    <n v="5418"/>
    <n v="9752.4"/>
    <n v="4334.3999999999996"/>
    <d v="1900-01-05T00:00:00"/>
    <x v="0"/>
  </r>
  <r>
    <x v="169"/>
    <x v="94"/>
    <x v="4"/>
    <d v="1966-12-07T00:00:00"/>
    <x v="2"/>
    <n v="201"/>
    <s v="Pro06"/>
    <x v="2"/>
    <x v="1"/>
    <n v="0.1"/>
    <x v="4"/>
    <n v="7"/>
    <n v="9"/>
    <n v="57"/>
    <n v="1407"/>
    <n v="1628.1000000000001"/>
    <n v="221.10000000000014"/>
    <d v="1900-01-06T00:00:00"/>
    <x v="1"/>
  </r>
  <r>
    <x v="169"/>
    <x v="783"/>
    <x v="9"/>
    <d v="1988-12-13T00:00:00"/>
    <x v="0"/>
    <n v="109"/>
    <s v="Pro05"/>
    <x v="1"/>
    <x v="0"/>
    <n v="0.1"/>
    <x v="5"/>
    <n v="14"/>
    <n v="28"/>
    <n v="35"/>
    <n v="1526"/>
    <n v="2746.8"/>
    <n v="1220.8000000000002"/>
    <d v="1900-01-06T00:00:00"/>
    <x v="1"/>
  </r>
  <r>
    <x v="169"/>
    <x v="784"/>
    <x v="10"/>
    <d v="1963-05-13T00:00:00"/>
    <x v="2"/>
    <n v="110"/>
    <s v="Pro08"/>
    <x v="1"/>
    <x v="1"/>
    <n v="0.1"/>
    <x v="6"/>
    <n v="5"/>
    <n v="7"/>
    <n v="61"/>
    <n v="550"/>
    <n v="693"/>
    <n v="143"/>
    <d v="1900-01-06T00:00:00"/>
    <x v="1"/>
  </r>
  <r>
    <x v="169"/>
    <x v="785"/>
    <x v="8"/>
    <d v="1946-02-28T00:00:00"/>
    <x v="0"/>
    <n v="298"/>
    <s v="Pro07"/>
    <x v="2"/>
    <x v="2"/>
    <n v="0.1"/>
    <x v="0"/>
    <n v="19"/>
    <n v="23"/>
    <n v="78"/>
    <n v="5662"/>
    <n v="6168.6"/>
    <n v="506.60000000000036"/>
    <d v="1900-01-06T00:00:00"/>
    <x v="1"/>
  </r>
  <r>
    <x v="169"/>
    <x v="786"/>
    <x v="8"/>
    <d v="1953-07-05T00:00:00"/>
    <x v="0"/>
    <n v="120"/>
    <s v="Pro05"/>
    <x v="1"/>
    <x v="0"/>
    <n v="0.1"/>
    <x v="5"/>
    <n v="14"/>
    <n v="28"/>
    <n v="70"/>
    <n v="1680"/>
    <n v="3024"/>
    <n v="1344"/>
    <d v="1900-01-06T00:00:00"/>
    <x v="1"/>
  </r>
  <r>
    <x v="169"/>
    <x v="787"/>
    <x v="0"/>
    <d v="1992-06-05T00:00:00"/>
    <x v="3"/>
    <n v="372"/>
    <s v="Pro05"/>
    <x v="0"/>
    <x v="0"/>
    <n v="0.1"/>
    <x v="5"/>
    <n v="14"/>
    <n v="28"/>
    <n v="32"/>
    <n v="5208"/>
    <n v="9374.4"/>
    <n v="4166.3999999999996"/>
    <d v="1900-01-06T00:00:00"/>
    <x v="1"/>
  </r>
  <r>
    <x v="170"/>
    <x v="2"/>
    <x v="2"/>
    <d v="1959-12-08T00:00:00"/>
    <x v="1"/>
    <n v="384"/>
    <s v="Pro02"/>
    <x v="0"/>
    <x v="1"/>
    <n v="0.1"/>
    <x v="8"/>
    <n v="18"/>
    <n v="22"/>
    <n v="64"/>
    <n v="6912"/>
    <n v="7603.2"/>
    <n v="691.19999999999982"/>
    <d v="1899-12-31T00:00:00"/>
    <x v="1"/>
  </r>
  <r>
    <x v="170"/>
    <x v="788"/>
    <x v="3"/>
    <d v="1977-03-24T00:00:00"/>
    <x v="0"/>
    <n v="399"/>
    <s v="Pro09"/>
    <x v="1"/>
    <x v="1"/>
    <n v="0.1"/>
    <x v="3"/>
    <n v="10"/>
    <n v="45"/>
    <n v="47"/>
    <n v="3990"/>
    <n v="16159.5"/>
    <n v="12169.5"/>
    <d v="1899-12-31T00:00:00"/>
    <x v="1"/>
  </r>
  <r>
    <x v="170"/>
    <x v="789"/>
    <x v="10"/>
    <d v="1991-09-17T00:00:00"/>
    <x v="1"/>
    <n v="287"/>
    <s v="Pro05"/>
    <x v="5"/>
    <x v="0"/>
    <n v="0.1"/>
    <x v="5"/>
    <n v="14"/>
    <n v="28"/>
    <n v="32"/>
    <n v="4018"/>
    <n v="7232.4000000000005"/>
    <n v="3214.4000000000005"/>
    <d v="1899-12-31T00:00:00"/>
    <x v="1"/>
  </r>
  <r>
    <x v="170"/>
    <x v="790"/>
    <x v="0"/>
    <d v="2002-03-27T00:00:00"/>
    <x v="3"/>
    <n v="114"/>
    <s v="Pro03"/>
    <x v="0"/>
    <x v="0"/>
    <n v="0.1"/>
    <x v="10"/>
    <n v="3"/>
    <n v="5"/>
    <n v="22"/>
    <n v="342"/>
    <n v="513"/>
    <n v="171"/>
    <d v="1899-12-31T00:00:00"/>
    <x v="1"/>
  </r>
  <r>
    <x v="170"/>
    <x v="791"/>
    <x v="10"/>
    <d v="1947-12-22T00:00:00"/>
    <x v="1"/>
    <n v="303"/>
    <s v="Pro09"/>
    <x v="4"/>
    <x v="0"/>
    <n v="0.1"/>
    <x v="3"/>
    <n v="10"/>
    <n v="45"/>
    <n v="76"/>
    <n v="3030"/>
    <n v="12271.5"/>
    <n v="9241.5"/>
    <d v="1899-12-31T00:00:00"/>
    <x v="1"/>
  </r>
  <r>
    <x v="171"/>
    <x v="792"/>
    <x v="7"/>
    <d v="1973-10-27T00:00:00"/>
    <x v="1"/>
    <n v="234"/>
    <s v="Pro10"/>
    <x v="3"/>
    <x v="0"/>
    <n v="0.1"/>
    <x v="7"/>
    <n v="18"/>
    <n v="36"/>
    <n v="50"/>
    <n v="4212"/>
    <n v="7581.6"/>
    <n v="3369.6000000000004"/>
    <d v="1900-01-01T00:00:00"/>
    <x v="0"/>
  </r>
  <r>
    <x v="171"/>
    <x v="793"/>
    <x v="2"/>
    <d v="1972-02-27T00:00:00"/>
    <x v="0"/>
    <n v="19"/>
    <s v="Pro04"/>
    <x v="3"/>
    <x v="0"/>
    <n v="0.1"/>
    <x v="1"/>
    <n v="10"/>
    <n v="14"/>
    <n v="52"/>
    <n v="190"/>
    <n v="239.4"/>
    <n v="49.400000000000006"/>
    <d v="1900-01-01T00:00:00"/>
    <x v="0"/>
  </r>
  <r>
    <x v="171"/>
    <x v="61"/>
    <x v="3"/>
    <d v="1977-03-11T00:00:00"/>
    <x v="3"/>
    <n v="409"/>
    <s v="Pro03"/>
    <x v="5"/>
    <x v="0"/>
    <n v="0.1"/>
    <x v="10"/>
    <n v="3"/>
    <n v="5"/>
    <n v="47"/>
    <n v="1227"/>
    <n v="1840.5"/>
    <n v="613.5"/>
    <d v="1900-01-01T00:00:00"/>
    <x v="0"/>
  </r>
  <r>
    <x v="172"/>
    <x v="794"/>
    <x v="6"/>
    <d v="1967-07-06T00:00:00"/>
    <x v="0"/>
    <n v="427"/>
    <s v="Pro07"/>
    <x v="5"/>
    <x v="0"/>
    <n v="0.1"/>
    <x v="0"/>
    <n v="19"/>
    <n v="23"/>
    <n v="56"/>
    <n v="8113"/>
    <n v="8838.9"/>
    <n v="725.89999999999964"/>
    <d v="1900-01-02T00:00:00"/>
    <x v="0"/>
  </r>
  <r>
    <x v="172"/>
    <x v="795"/>
    <x v="6"/>
    <d v="1968-11-05T00:00:00"/>
    <x v="0"/>
    <n v="117"/>
    <s v="Pro04"/>
    <x v="1"/>
    <x v="0"/>
    <n v="0.1"/>
    <x v="1"/>
    <n v="10"/>
    <n v="14"/>
    <n v="55"/>
    <n v="1170"/>
    <n v="1474.2"/>
    <n v="304.20000000000005"/>
    <d v="1900-01-02T00:00:00"/>
    <x v="0"/>
  </r>
  <r>
    <x v="173"/>
    <x v="796"/>
    <x v="8"/>
    <d v="1972-07-12T00:00:00"/>
    <x v="3"/>
    <n v="276"/>
    <s v="Pro02"/>
    <x v="1"/>
    <x v="0"/>
    <n v="0.1"/>
    <x v="8"/>
    <n v="18"/>
    <n v="22"/>
    <n v="51"/>
    <n v="4968"/>
    <n v="5464.8"/>
    <n v="496.80000000000018"/>
    <d v="1900-01-03T00:00:00"/>
    <x v="0"/>
  </r>
  <r>
    <x v="173"/>
    <x v="797"/>
    <x v="2"/>
    <d v="1989-06-21T00:00:00"/>
    <x v="0"/>
    <n v="190"/>
    <s v="Pro09"/>
    <x v="1"/>
    <x v="0"/>
    <n v="0.1"/>
    <x v="3"/>
    <n v="10"/>
    <n v="45"/>
    <n v="35"/>
    <n v="1900"/>
    <n v="7695"/>
    <n v="5795"/>
    <d v="1900-01-03T00:00:00"/>
    <x v="0"/>
  </r>
  <r>
    <x v="173"/>
    <x v="798"/>
    <x v="3"/>
    <d v="1966-12-22T00:00:00"/>
    <x v="3"/>
    <n v="129"/>
    <s v="Pro07"/>
    <x v="1"/>
    <x v="0"/>
    <n v="0.1"/>
    <x v="0"/>
    <n v="19"/>
    <n v="23"/>
    <n v="57"/>
    <n v="2451"/>
    <n v="2670.3"/>
    <n v="219.30000000000018"/>
    <d v="1900-01-03T00:00:00"/>
    <x v="0"/>
  </r>
  <r>
    <x v="174"/>
    <x v="799"/>
    <x v="10"/>
    <d v="2003-05-16T00:00:00"/>
    <x v="0"/>
    <n v="49"/>
    <s v="Pro07"/>
    <x v="1"/>
    <x v="0"/>
    <n v="0.1"/>
    <x v="0"/>
    <n v="19"/>
    <n v="23"/>
    <n v="21"/>
    <n v="931"/>
    <n v="1014.3000000000001"/>
    <n v="83.300000000000068"/>
    <d v="1900-01-04T00:00:00"/>
    <x v="0"/>
  </r>
  <r>
    <x v="174"/>
    <x v="800"/>
    <x v="7"/>
    <d v="1954-11-22T00:00:00"/>
    <x v="0"/>
    <n v="496"/>
    <s v="Pro09"/>
    <x v="2"/>
    <x v="0"/>
    <n v="0.1"/>
    <x v="3"/>
    <n v="10"/>
    <n v="45"/>
    <n v="69"/>
    <n v="4960"/>
    <n v="20088"/>
    <n v="15128"/>
    <d v="1900-01-04T00:00:00"/>
    <x v="0"/>
  </r>
  <r>
    <x v="175"/>
    <x v="801"/>
    <x v="0"/>
    <d v="1949-04-08T00:00:00"/>
    <x v="0"/>
    <n v="161"/>
    <s v="Pro09"/>
    <x v="1"/>
    <x v="0"/>
    <n v="0.1"/>
    <x v="3"/>
    <n v="10"/>
    <n v="45"/>
    <n v="75"/>
    <n v="1610"/>
    <n v="6520.5"/>
    <n v="4910.5"/>
    <d v="1900-01-05T00:00:00"/>
    <x v="0"/>
  </r>
  <r>
    <x v="175"/>
    <x v="802"/>
    <x v="0"/>
    <s v="Unknown"/>
    <x v="0"/>
    <n v="193"/>
    <s v="Pro05"/>
    <x v="4"/>
    <x v="0"/>
    <n v="0.1"/>
    <x v="5"/>
    <n v="14"/>
    <n v="28"/>
    <e v="#VALUE!"/>
    <n v="2702"/>
    <n v="4863.6000000000004"/>
    <n v="2161.6000000000004"/>
    <d v="1900-01-05T00:00:00"/>
    <x v="0"/>
  </r>
  <r>
    <x v="175"/>
    <x v="803"/>
    <x v="2"/>
    <d v="2003-12-05T00:00:00"/>
    <x v="3"/>
    <n v="260"/>
    <s v="Pro08"/>
    <x v="1"/>
    <x v="0"/>
    <n v="0.1"/>
    <x v="6"/>
    <n v="5"/>
    <n v="7"/>
    <n v="20"/>
    <n v="1300"/>
    <n v="1638"/>
    <n v="338"/>
    <d v="1900-01-05T00:00:00"/>
    <x v="0"/>
  </r>
  <r>
    <x v="175"/>
    <x v="804"/>
    <x v="3"/>
    <d v="1972-11-22T00:00:00"/>
    <x v="2"/>
    <n v="82"/>
    <s v="Pro04"/>
    <x v="2"/>
    <x v="0"/>
    <n v="0.1"/>
    <x v="1"/>
    <n v="10"/>
    <n v="14"/>
    <n v="51"/>
    <n v="820"/>
    <n v="1033.2"/>
    <n v="213.20000000000005"/>
    <d v="1900-01-05T00:00:00"/>
    <x v="0"/>
  </r>
  <r>
    <x v="175"/>
    <x v="805"/>
    <x v="10"/>
    <d v="1987-12-29T00:00:00"/>
    <x v="0"/>
    <n v="399"/>
    <s v="Pro01"/>
    <x v="4"/>
    <x v="0"/>
    <n v="0.1"/>
    <x v="9"/>
    <n v="10"/>
    <n v="11"/>
    <n v="36"/>
    <n v="3990"/>
    <n v="3950.1"/>
    <n v="-39.900000000000091"/>
    <d v="1900-01-05T00:00:00"/>
    <x v="0"/>
  </r>
  <r>
    <x v="176"/>
    <x v="806"/>
    <x v="9"/>
    <d v="1990-01-01T00:00:00"/>
    <x v="0"/>
    <n v="165"/>
    <s v="Pro09"/>
    <x v="0"/>
    <x v="0"/>
    <n v="0.1"/>
    <x v="3"/>
    <n v="10"/>
    <n v="45"/>
    <n v="34"/>
    <n v="1650"/>
    <n v="6682.5"/>
    <n v="5032.5"/>
    <d v="1900-01-06T00:00:00"/>
    <x v="1"/>
  </r>
  <r>
    <x v="176"/>
    <x v="807"/>
    <x v="8"/>
    <d v="1967-06-30T00:00:00"/>
    <x v="1"/>
    <n v="285"/>
    <s v="Pro10"/>
    <x v="1"/>
    <x v="0"/>
    <n v="0.1"/>
    <x v="7"/>
    <n v="18"/>
    <n v="36"/>
    <n v="56"/>
    <n v="5130"/>
    <n v="9234"/>
    <n v="4104"/>
    <d v="1900-01-06T00:00:00"/>
    <x v="1"/>
  </r>
  <r>
    <x v="176"/>
    <x v="808"/>
    <x v="7"/>
    <d v="1949-10-18T00:00:00"/>
    <x v="0"/>
    <n v="80"/>
    <s v="Pro06"/>
    <x v="3"/>
    <x v="0"/>
    <n v="0.1"/>
    <x v="4"/>
    <n v="7"/>
    <n v="9"/>
    <n v="74"/>
    <n v="560"/>
    <n v="648"/>
    <n v="88"/>
    <d v="1900-01-06T00:00:00"/>
    <x v="1"/>
  </r>
  <r>
    <x v="176"/>
    <x v="809"/>
    <x v="9"/>
    <d v="1946-08-05T00:00:00"/>
    <x v="3"/>
    <n v="453"/>
    <s v="Pro05"/>
    <x v="1"/>
    <x v="2"/>
    <n v="0.1"/>
    <x v="5"/>
    <n v="14"/>
    <n v="28"/>
    <n v="77"/>
    <n v="6342"/>
    <n v="11415.6"/>
    <n v="5073.6000000000004"/>
    <d v="1900-01-06T00:00:00"/>
    <x v="1"/>
  </r>
  <r>
    <x v="176"/>
    <x v="810"/>
    <x v="3"/>
    <d v="1953-01-08T00:00:00"/>
    <x v="1"/>
    <n v="316"/>
    <s v="Pro07"/>
    <x v="2"/>
    <x v="0"/>
    <n v="0.1"/>
    <x v="0"/>
    <n v="19"/>
    <n v="23"/>
    <n v="71"/>
    <n v="6004"/>
    <n v="6541.2"/>
    <n v="537.19999999999982"/>
    <d v="1900-01-06T00:00:00"/>
    <x v="1"/>
  </r>
  <r>
    <x v="176"/>
    <x v="811"/>
    <x v="8"/>
    <d v="1976-10-10T00:00:00"/>
    <x v="3"/>
    <n v="114"/>
    <s v="Pro06"/>
    <x v="2"/>
    <x v="0"/>
    <n v="0.1"/>
    <x v="4"/>
    <n v="7"/>
    <n v="9"/>
    <n v="47"/>
    <n v="798"/>
    <n v="923.4"/>
    <n v="125.39999999999998"/>
    <d v="1900-01-06T00:00:00"/>
    <x v="1"/>
  </r>
  <r>
    <x v="177"/>
    <x v="94"/>
    <x v="4"/>
    <d v="1975-01-29T00:00:00"/>
    <x v="1"/>
    <n v="383"/>
    <s v="Pro04"/>
    <x v="3"/>
    <x v="2"/>
    <n v="0.1"/>
    <x v="1"/>
    <n v="10"/>
    <n v="14"/>
    <n v="49"/>
    <n v="3830"/>
    <n v="4825.8"/>
    <n v="995.80000000000018"/>
    <d v="1899-12-31T00:00:00"/>
    <x v="1"/>
  </r>
  <r>
    <x v="177"/>
    <x v="61"/>
    <x v="5"/>
    <d v="1954-03-21T00:00:00"/>
    <x v="1"/>
    <n v="40"/>
    <s v="Pro08"/>
    <x v="1"/>
    <x v="1"/>
    <n v="0.1"/>
    <x v="6"/>
    <n v="5"/>
    <n v="7"/>
    <n v="70"/>
    <n v="200"/>
    <n v="252"/>
    <n v="52"/>
    <d v="1899-12-31T00:00:00"/>
    <x v="1"/>
  </r>
  <r>
    <x v="177"/>
    <x v="812"/>
    <x v="9"/>
    <d v="1991-06-23T00:00:00"/>
    <x v="3"/>
    <n v="313"/>
    <s v="Pro08"/>
    <x v="0"/>
    <x v="0"/>
    <n v="0.1"/>
    <x v="6"/>
    <n v="5"/>
    <n v="7"/>
    <n v="33"/>
    <n v="1565"/>
    <n v="1971.9"/>
    <n v="406.90000000000009"/>
    <d v="1899-12-31T00:00:00"/>
    <x v="1"/>
  </r>
  <r>
    <x v="178"/>
    <x v="813"/>
    <x v="9"/>
    <d v="1967-09-06T00:00:00"/>
    <x v="0"/>
    <n v="61"/>
    <s v="Pro01"/>
    <x v="2"/>
    <x v="0"/>
    <n v="0.1"/>
    <x v="9"/>
    <n v="10"/>
    <n v="11"/>
    <n v="56"/>
    <n v="610"/>
    <n v="603.9"/>
    <n v="-6.1000000000000227"/>
    <d v="1900-01-01T00:00:00"/>
    <x v="0"/>
  </r>
  <r>
    <x v="179"/>
    <x v="814"/>
    <x v="8"/>
    <d v="1991-04-18T00:00:00"/>
    <x v="3"/>
    <n v="309"/>
    <s v="Pro09"/>
    <x v="1"/>
    <x v="0"/>
    <n v="0.1"/>
    <x v="3"/>
    <n v="10"/>
    <n v="45"/>
    <n v="33"/>
    <n v="3090"/>
    <n v="12514.5"/>
    <n v="9424.5"/>
    <d v="1900-01-02T00:00:00"/>
    <x v="0"/>
  </r>
  <r>
    <x v="179"/>
    <x v="815"/>
    <x v="4"/>
    <d v="1972-04-28T00:00:00"/>
    <x v="2"/>
    <n v="449"/>
    <s v="Pro04"/>
    <x v="3"/>
    <x v="1"/>
    <n v="0.1"/>
    <x v="1"/>
    <n v="10"/>
    <n v="14"/>
    <n v="52"/>
    <n v="4490"/>
    <n v="5657.4000000000005"/>
    <n v="1167.4000000000005"/>
    <d v="1900-01-02T00:00:00"/>
    <x v="0"/>
  </r>
  <r>
    <x v="179"/>
    <x v="816"/>
    <x v="4"/>
    <d v="1999-11-22T00:00:00"/>
    <x v="1"/>
    <n v="157"/>
    <s v="Pro04"/>
    <x v="0"/>
    <x v="0"/>
    <n v="0.1"/>
    <x v="1"/>
    <n v="10"/>
    <n v="14"/>
    <n v="24"/>
    <n v="1570"/>
    <n v="1978.2"/>
    <n v="408.20000000000005"/>
    <d v="1900-01-02T00:00:00"/>
    <x v="0"/>
  </r>
  <r>
    <x v="179"/>
    <x v="817"/>
    <x v="4"/>
    <d v="1995-11-06T00:00:00"/>
    <x v="1"/>
    <n v="10"/>
    <s v="Pro06"/>
    <x v="3"/>
    <x v="0"/>
    <n v="0.1"/>
    <x v="4"/>
    <n v="7"/>
    <n v="9"/>
    <n v="28"/>
    <n v="70"/>
    <n v="81"/>
    <n v="11"/>
    <d v="1900-01-02T00:00:00"/>
    <x v="0"/>
  </r>
  <r>
    <x v="179"/>
    <x v="818"/>
    <x v="10"/>
    <d v="1992-04-04T00:00:00"/>
    <x v="0"/>
    <n v="164"/>
    <s v="Pro01"/>
    <x v="1"/>
    <x v="0"/>
    <n v="0.1"/>
    <x v="9"/>
    <n v="10"/>
    <n v="11"/>
    <n v="32"/>
    <n v="1640"/>
    <n v="1623.6000000000001"/>
    <n v="-16.399999999999864"/>
    <d v="1900-01-02T00:00:00"/>
    <x v="0"/>
  </r>
  <r>
    <x v="179"/>
    <x v="819"/>
    <x v="8"/>
    <d v="2002-08-02T00:00:00"/>
    <x v="3"/>
    <n v="497"/>
    <s v="Pro01"/>
    <x v="2"/>
    <x v="0"/>
    <n v="0.1"/>
    <x v="9"/>
    <n v="10"/>
    <n v="11"/>
    <n v="21"/>
    <n v="4970"/>
    <n v="4920.3"/>
    <n v="-49.699999999999818"/>
    <d v="1900-01-02T00:00:00"/>
    <x v="0"/>
  </r>
  <r>
    <x v="180"/>
    <x v="820"/>
    <x v="7"/>
    <d v="1975-05-04T00:00:00"/>
    <x v="0"/>
    <n v="47"/>
    <s v="Pro09"/>
    <x v="3"/>
    <x v="0"/>
    <n v="0.1"/>
    <x v="3"/>
    <n v="10"/>
    <n v="45"/>
    <n v="49"/>
    <n v="470"/>
    <n v="1903.5"/>
    <n v="1433.5"/>
    <d v="1900-01-03T00:00:00"/>
    <x v="0"/>
  </r>
  <r>
    <x v="180"/>
    <x v="821"/>
    <x v="9"/>
    <d v="2002-01-30T00:00:00"/>
    <x v="0"/>
    <n v="209"/>
    <s v="Pro03"/>
    <x v="4"/>
    <x v="0"/>
    <n v="0.1"/>
    <x v="10"/>
    <n v="3"/>
    <n v="5"/>
    <n v="22"/>
    <n v="627"/>
    <n v="940.5"/>
    <n v="313.5"/>
    <d v="1900-01-03T00:00:00"/>
    <x v="0"/>
  </r>
  <r>
    <x v="180"/>
    <x v="822"/>
    <x v="3"/>
    <d v="1952-07-21T00:00:00"/>
    <x v="2"/>
    <n v="162"/>
    <s v="Pro02"/>
    <x v="4"/>
    <x v="0"/>
    <n v="0.1"/>
    <x v="8"/>
    <n v="18"/>
    <n v="22"/>
    <n v="71"/>
    <n v="2916"/>
    <n v="3207.6"/>
    <n v="291.59999999999991"/>
    <d v="1900-01-03T00:00:00"/>
    <x v="0"/>
  </r>
  <r>
    <x v="181"/>
    <x v="823"/>
    <x v="10"/>
    <d v="1984-02-02T00:00:00"/>
    <x v="1"/>
    <n v="464"/>
    <s v="Pro06"/>
    <x v="5"/>
    <x v="0"/>
    <n v="0.1"/>
    <x v="4"/>
    <n v="7"/>
    <n v="9"/>
    <n v="40"/>
    <n v="3248"/>
    <n v="3758.4"/>
    <n v="510.40000000000009"/>
    <d v="1900-01-04T00:00:00"/>
    <x v="0"/>
  </r>
  <r>
    <x v="181"/>
    <x v="824"/>
    <x v="9"/>
    <d v="1960-07-01T00:00:00"/>
    <x v="3"/>
    <n v="313"/>
    <s v="Pro10"/>
    <x v="1"/>
    <x v="0"/>
    <n v="0.1"/>
    <x v="7"/>
    <n v="18"/>
    <n v="36"/>
    <n v="64"/>
    <n v="5634"/>
    <n v="10141.200000000001"/>
    <n v="4507.2000000000007"/>
    <d v="1900-01-04T00:00:00"/>
    <x v="0"/>
  </r>
  <r>
    <x v="181"/>
    <x v="825"/>
    <x v="9"/>
    <d v="2002-05-03T00:00:00"/>
    <x v="2"/>
    <n v="149"/>
    <s v="Pro02"/>
    <x v="2"/>
    <x v="0"/>
    <n v="0.1"/>
    <x v="8"/>
    <n v="18"/>
    <n v="22"/>
    <n v="22"/>
    <n v="2682"/>
    <n v="2950.2000000000003"/>
    <n v="268.20000000000027"/>
    <d v="1900-01-04T00:00:00"/>
    <x v="0"/>
  </r>
  <r>
    <x v="181"/>
    <x v="826"/>
    <x v="8"/>
    <d v="1986-10-05T00:00:00"/>
    <x v="2"/>
    <n v="213"/>
    <s v="Pro06"/>
    <x v="5"/>
    <x v="0"/>
    <n v="0.1"/>
    <x v="4"/>
    <n v="7"/>
    <n v="9"/>
    <n v="37"/>
    <n v="1491"/>
    <n v="1725.3"/>
    <n v="234.29999999999995"/>
    <d v="1900-01-04T00:00:00"/>
    <x v="0"/>
  </r>
  <r>
    <x v="182"/>
    <x v="827"/>
    <x v="2"/>
    <d v="1982-05-02T00:00:00"/>
    <x v="2"/>
    <n v="306"/>
    <s v="Pro06"/>
    <x v="2"/>
    <x v="1"/>
    <n v="0.1"/>
    <x v="4"/>
    <n v="7"/>
    <n v="9"/>
    <n v="42"/>
    <n v="2142"/>
    <n v="2478.6"/>
    <n v="336.59999999999991"/>
    <d v="1900-01-05T00:00:00"/>
    <x v="0"/>
  </r>
  <r>
    <x v="182"/>
    <x v="828"/>
    <x v="4"/>
    <d v="1960-10-28T00:00:00"/>
    <x v="0"/>
    <n v="165"/>
    <s v="Pro05"/>
    <x v="3"/>
    <x v="2"/>
    <n v="0.1"/>
    <x v="5"/>
    <n v="14"/>
    <n v="28"/>
    <n v="63"/>
    <n v="2310"/>
    <n v="4158"/>
    <n v="1848"/>
    <d v="1900-01-05T00:00:00"/>
    <x v="0"/>
  </r>
  <r>
    <x v="182"/>
    <x v="829"/>
    <x v="6"/>
    <d v="1950-09-16T00:00:00"/>
    <x v="1"/>
    <n v="477"/>
    <s v="Pro01"/>
    <x v="2"/>
    <x v="0"/>
    <n v="0.1"/>
    <x v="9"/>
    <n v="10"/>
    <n v="11"/>
    <n v="73"/>
    <n v="4770"/>
    <n v="4722.3"/>
    <n v="-47.699999999999818"/>
    <d v="1900-01-05T00:00:00"/>
    <x v="0"/>
  </r>
  <r>
    <x v="182"/>
    <x v="830"/>
    <x v="9"/>
    <d v="1996-01-21T00:00:00"/>
    <x v="1"/>
    <n v="161"/>
    <s v="Pro02"/>
    <x v="0"/>
    <x v="0"/>
    <n v="0.1"/>
    <x v="8"/>
    <n v="18"/>
    <n v="22"/>
    <n v="28"/>
    <n v="2898"/>
    <n v="3187.8"/>
    <n v="289.80000000000018"/>
    <d v="1900-01-05T00:00:00"/>
    <x v="0"/>
  </r>
  <r>
    <x v="182"/>
    <x v="831"/>
    <x v="0"/>
    <d v="1958-01-02T00:00:00"/>
    <x v="0"/>
    <n v="312"/>
    <s v="Pro08"/>
    <x v="3"/>
    <x v="0"/>
    <n v="0.1"/>
    <x v="6"/>
    <n v="5"/>
    <n v="7"/>
    <n v="66"/>
    <n v="1560"/>
    <n v="1965.6000000000001"/>
    <n v="405.60000000000014"/>
    <d v="1900-01-05T00:00:00"/>
    <x v="0"/>
  </r>
  <r>
    <x v="182"/>
    <x v="832"/>
    <x v="9"/>
    <d v="2004-09-21T00:00:00"/>
    <x v="1"/>
    <n v="83"/>
    <s v="Pro06"/>
    <x v="2"/>
    <x v="0"/>
    <n v="0.1"/>
    <x v="4"/>
    <n v="7"/>
    <n v="9"/>
    <n v="19"/>
    <n v="581"/>
    <n v="672.30000000000007"/>
    <n v="91.300000000000068"/>
    <d v="1900-01-05T00:00:00"/>
    <x v="0"/>
  </r>
  <r>
    <x v="182"/>
    <x v="833"/>
    <x v="2"/>
    <d v="1982-05-29T00:00:00"/>
    <x v="3"/>
    <n v="309"/>
    <s v="Pro03"/>
    <x v="2"/>
    <x v="0"/>
    <n v="0.1"/>
    <x v="10"/>
    <n v="3"/>
    <n v="5"/>
    <n v="42"/>
    <n v="927"/>
    <n v="1390.5"/>
    <n v="463.5"/>
    <d v="1900-01-05T00:00:00"/>
    <x v="0"/>
  </r>
  <r>
    <x v="182"/>
    <x v="834"/>
    <x v="6"/>
    <d v="1973-02-27T00:00:00"/>
    <x v="2"/>
    <n v="495"/>
    <s v="Pro05"/>
    <x v="5"/>
    <x v="0"/>
    <n v="0.1"/>
    <x v="5"/>
    <n v="14"/>
    <n v="28"/>
    <n v="51"/>
    <n v="6930"/>
    <n v="12474"/>
    <n v="5544"/>
    <d v="1900-01-05T00:00:00"/>
    <x v="0"/>
  </r>
  <r>
    <x v="183"/>
    <x v="835"/>
    <x v="5"/>
    <d v="1983-05-01T00:00:00"/>
    <x v="1"/>
    <n v="171"/>
    <s v="Pro03"/>
    <x v="1"/>
    <x v="0"/>
    <n v="0.1"/>
    <x v="10"/>
    <n v="3"/>
    <n v="5"/>
    <n v="41"/>
    <n v="513"/>
    <n v="769.5"/>
    <n v="256.5"/>
    <d v="1900-01-06T00:00:00"/>
    <x v="1"/>
  </r>
  <r>
    <x v="183"/>
    <x v="836"/>
    <x v="2"/>
    <d v="1963-06-17T00:00:00"/>
    <x v="1"/>
    <n v="70"/>
    <s v="Pro04"/>
    <x v="5"/>
    <x v="1"/>
    <n v="0.1"/>
    <x v="1"/>
    <n v="10"/>
    <n v="14"/>
    <n v="61"/>
    <n v="700"/>
    <n v="882"/>
    <n v="182"/>
    <d v="1900-01-06T00:00:00"/>
    <x v="1"/>
  </r>
  <r>
    <x v="183"/>
    <x v="837"/>
    <x v="9"/>
    <d v="1961-04-04T00:00:00"/>
    <x v="1"/>
    <n v="459"/>
    <s v="Pro09"/>
    <x v="0"/>
    <x v="0"/>
    <n v="0.1"/>
    <x v="3"/>
    <n v="10"/>
    <n v="45"/>
    <n v="63"/>
    <n v="4590"/>
    <n v="18589.5"/>
    <n v="13999.5"/>
    <d v="1900-01-06T00:00:00"/>
    <x v="1"/>
  </r>
  <r>
    <x v="183"/>
    <x v="838"/>
    <x v="0"/>
    <d v="1943-08-18T00:00:00"/>
    <x v="1"/>
    <n v="15"/>
    <s v="Pro08"/>
    <x v="1"/>
    <x v="0"/>
    <n v="0.1"/>
    <x v="6"/>
    <n v="5"/>
    <n v="7"/>
    <n v="80"/>
    <n v="75"/>
    <n v="94.5"/>
    <n v="19.5"/>
    <d v="1900-01-06T00:00:00"/>
    <x v="1"/>
  </r>
  <r>
    <x v="183"/>
    <x v="839"/>
    <x v="8"/>
    <d v="1998-06-17T00:00:00"/>
    <x v="1"/>
    <n v="282"/>
    <s v="Pro04"/>
    <x v="0"/>
    <x v="0"/>
    <n v="0.1"/>
    <x v="1"/>
    <n v="10"/>
    <n v="14"/>
    <n v="26"/>
    <n v="2820"/>
    <n v="3553.2000000000003"/>
    <n v="733.20000000000027"/>
    <d v="1900-01-06T00:00:00"/>
    <x v="1"/>
  </r>
  <r>
    <x v="183"/>
    <x v="840"/>
    <x v="7"/>
    <d v="1971-02-06T00:00:00"/>
    <x v="1"/>
    <n v="201"/>
    <s v="Pro05"/>
    <x v="1"/>
    <x v="0"/>
    <n v="0.1"/>
    <x v="5"/>
    <n v="14"/>
    <n v="28"/>
    <n v="53"/>
    <n v="2814"/>
    <n v="5065.2"/>
    <n v="2251.1999999999998"/>
    <d v="1900-01-06T00:00:00"/>
    <x v="1"/>
  </r>
  <r>
    <x v="183"/>
    <x v="841"/>
    <x v="6"/>
    <d v="1998-04-28T00:00:00"/>
    <x v="2"/>
    <n v="378"/>
    <s v="Pro01"/>
    <x v="1"/>
    <x v="0"/>
    <n v="0.1"/>
    <x v="9"/>
    <n v="10"/>
    <n v="11"/>
    <n v="26"/>
    <n v="3780"/>
    <n v="3742.2000000000003"/>
    <n v="-37.799999999999727"/>
    <d v="1900-01-06T00:00:00"/>
    <x v="1"/>
  </r>
  <r>
    <x v="183"/>
    <x v="842"/>
    <x v="7"/>
    <s v="Unknown"/>
    <x v="3"/>
    <n v="32"/>
    <s v="Pro04"/>
    <x v="3"/>
    <x v="0"/>
    <n v="0.1"/>
    <x v="1"/>
    <n v="10"/>
    <n v="14"/>
    <e v="#VALUE!"/>
    <n v="320"/>
    <n v="403.2"/>
    <n v="83.199999999999989"/>
    <d v="1900-01-06T00:00:00"/>
    <x v="1"/>
  </r>
  <r>
    <x v="184"/>
    <x v="843"/>
    <x v="9"/>
    <d v="1973-04-21T00:00:00"/>
    <x v="3"/>
    <n v="370"/>
    <s v="Pro02"/>
    <x v="1"/>
    <x v="0"/>
    <n v="0.1"/>
    <x v="8"/>
    <n v="18"/>
    <n v="22"/>
    <n v="51"/>
    <n v="6660"/>
    <n v="7326"/>
    <n v="666"/>
    <d v="1899-12-31T00:00:00"/>
    <x v="1"/>
  </r>
  <r>
    <x v="184"/>
    <x v="844"/>
    <x v="3"/>
    <d v="1954-03-13T00:00:00"/>
    <x v="2"/>
    <n v="93"/>
    <s v="Pro01"/>
    <x v="1"/>
    <x v="0"/>
    <n v="0.1"/>
    <x v="9"/>
    <n v="10"/>
    <n v="11"/>
    <n v="70"/>
    <n v="930"/>
    <n v="920.7"/>
    <n v="-9.2999999999999545"/>
    <d v="1899-12-31T00:00:00"/>
    <x v="1"/>
  </r>
  <r>
    <x v="184"/>
    <x v="845"/>
    <x v="6"/>
    <d v="1954-04-09T00:00:00"/>
    <x v="3"/>
    <n v="61"/>
    <s v="Pro06"/>
    <x v="5"/>
    <x v="0"/>
    <n v="0.1"/>
    <x v="4"/>
    <n v="7"/>
    <n v="9"/>
    <n v="70"/>
    <n v="427"/>
    <n v="494.1"/>
    <n v="67.100000000000023"/>
    <d v="1899-12-31T00:00:00"/>
    <x v="1"/>
  </r>
  <r>
    <x v="185"/>
    <x v="846"/>
    <x v="1"/>
    <d v="1962-07-24T00:00:00"/>
    <x v="2"/>
    <n v="392"/>
    <s v="Pro10"/>
    <x v="5"/>
    <x v="0"/>
    <n v="0.1"/>
    <x v="7"/>
    <n v="18"/>
    <n v="36"/>
    <n v="61"/>
    <n v="7056"/>
    <n v="12700.800000000001"/>
    <n v="5644.8000000000011"/>
    <d v="1900-01-01T00:00:00"/>
    <x v="0"/>
  </r>
  <r>
    <x v="185"/>
    <x v="847"/>
    <x v="8"/>
    <d v="1965-10-05T00:00:00"/>
    <x v="1"/>
    <n v="104"/>
    <s v="Pro08"/>
    <x v="0"/>
    <x v="0"/>
    <n v="0.1"/>
    <x v="6"/>
    <n v="5"/>
    <n v="7"/>
    <n v="58"/>
    <n v="520"/>
    <n v="655.20000000000005"/>
    <n v="135.20000000000005"/>
    <d v="1900-01-01T00:00:00"/>
    <x v="0"/>
  </r>
  <r>
    <x v="185"/>
    <x v="848"/>
    <x v="0"/>
    <d v="1980-06-19T00:00:00"/>
    <x v="0"/>
    <n v="36"/>
    <s v="Pro09"/>
    <x v="2"/>
    <x v="0"/>
    <n v="0.1"/>
    <x v="3"/>
    <n v="10"/>
    <n v="45"/>
    <n v="44"/>
    <n v="360"/>
    <n v="1458"/>
    <n v="1098"/>
    <d v="1900-01-01T00:00:00"/>
    <x v="0"/>
  </r>
  <r>
    <x v="185"/>
    <x v="849"/>
    <x v="0"/>
    <d v="1969-06-25T00:00:00"/>
    <x v="1"/>
    <n v="445"/>
    <s v="Pro04"/>
    <x v="3"/>
    <x v="0"/>
    <n v="0.1"/>
    <x v="1"/>
    <n v="10"/>
    <n v="14"/>
    <n v="55"/>
    <n v="4450"/>
    <n v="5607"/>
    <n v="1157"/>
    <d v="1900-01-01T00:00:00"/>
    <x v="0"/>
  </r>
  <r>
    <x v="186"/>
    <x v="850"/>
    <x v="7"/>
    <d v="1958-09-22T00:00:00"/>
    <x v="0"/>
    <n v="46"/>
    <s v="Pro02"/>
    <x v="0"/>
    <x v="0"/>
    <n v="0.1"/>
    <x v="8"/>
    <n v="18"/>
    <n v="22"/>
    <n v="65"/>
    <n v="828"/>
    <n v="910.80000000000007"/>
    <n v="82.800000000000068"/>
    <d v="1900-01-02T00:00:00"/>
    <x v="0"/>
  </r>
  <r>
    <x v="186"/>
    <x v="851"/>
    <x v="2"/>
    <d v="1957-08-29T00:00:00"/>
    <x v="3"/>
    <n v="29"/>
    <s v="Pro01"/>
    <x v="3"/>
    <x v="0"/>
    <n v="0.1"/>
    <x v="9"/>
    <n v="10"/>
    <n v="11"/>
    <n v="66"/>
    <n v="290"/>
    <n v="287.10000000000002"/>
    <n v="-2.8999999999999773"/>
    <d v="1900-01-02T00:00:00"/>
    <x v="0"/>
  </r>
  <r>
    <x v="186"/>
    <x v="852"/>
    <x v="10"/>
    <d v="1995-10-05T00:00:00"/>
    <x v="1"/>
    <n v="392"/>
    <s v="Pro05"/>
    <x v="1"/>
    <x v="0"/>
    <n v="0.1"/>
    <x v="5"/>
    <n v="14"/>
    <n v="28"/>
    <n v="28"/>
    <n v="5488"/>
    <n v="9878.4"/>
    <n v="4390.3999999999996"/>
    <d v="1900-01-02T00:00:00"/>
    <x v="0"/>
  </r>
  <r>
    <x v="186"/>
    <x v="853"/>
    <x v="3"/>
    <d v="1994-02-11T00:00:00"/>
    <x v="0"/>
    <n v="216"/>
    <s v="Pro09"/>
    <x v="0"/>
    <x v="0"/>
    <n v="0.1"/>
    <x v="3"/>
    <n v="10"/>
    <n v="45"/>
    <n v="30"/>
    <n v="2160"/>
    <n v="8748"/>
    <n v="6588"/>
    <d v="1900-01-02T00:00:00"/>
    <x v="0"/>
  </r>
  <r>
    <x v="187"/>
    <x v="854"/>
    <x v="2"/>
    <d v="1995-07-07T00:00:00"/>
    <x v="2"/>
    <n v="460"/>
    <s v="Pro02"/>
    <x v="1"/>
    <x v="1"/>
    <n v="0.1"/>
    <x v="8"/>
    <n v="18"/>
    <n v="22"/>
    <n v="29"/>
    <n v="8280"/>
    <n v="9108"/>
    <n v="828"/>
    <d v="1900-01-03T00:00:00"/>
    <x v="0"/>
  </r>
  <r>
    <x v="187"/>
    <x v="855"/>
    <x v="3"/>
    <d v="1973-09-15T00:00:00"/>
    <x v="3"/>
    <n v="175"/>
    <s v="Pro01"/>
    <x v="3"/>
    <x v="0"/>
    <n v="0.1"/>
    <x v="9"/>
    <n v="10"/>
    <n v="11"/>
    <n v="50"/>
    <n v="1750"/>
    <n v="1732.5"/>
    <n v="-17.5"/>
    <d v="1900-01-03T00:00:00"/>
    <x v="0"/>
  </r>
  <r>
    <x v="187"/>
    <x v="856"/>
    <x v="0"/>
    <d v="1978-07-18T00:00:00"/>
    <x v="3"/>
    <n v="384"/>
    <s v="Pro03"/>
    <x v="1"/>
    <x v="0"/>
    <n v="0.1"/>
    <x v="10"/>
    <n v="3"/>
    <n v="5"/>
    <n v="45"/>
    <n v="1152"/>
    <n v="1728"/>
    <n v="576"/>
    <d v="1900-01-03T00:00:00"/>
    <x v="0"/>
  </r>
  <r>
    <x v="187"/>
    <x v="857"/>
    <x v="10"/>
    <d v="1975-09-06T00:00:00"/>
    <x v="2"/>
    <n v="360"/>
    <s v="Pro03"/>
    <x v="1"/>
    <x v="0"/>
    <n v="0.1"/>
    <x v="10"/>
    <n v="3"/>
    <n v="5"/>
    <n v="48"/>
    <n v="1080"/>
    <n v="1620"/>
    <n v="540"/>
    <d v="1900-01-03T00:00:00"/>
    <x v="0"/>
  </r>
  <r>
    <x v="187"/>
    <x v="858"/>
    <x v="10"/>
    <d v="1986-03-22T00:00:00"/>
    <x v="2"/>
    <n v="229"/>
    <s v="Pro04"/>
    <x v="0"/>
    <x v="0"/>
    <n v="0.1"/>
    <x v="1"/>
    <n v="10"/>
    <n v="14"/>
    <n v="38"/>
    <n v="2290"/>
    <n v="2885.4"/>
    <n v="595.40000000000009"/>
    <d v="1900-01-03T00:00:00"/>
    <x v="0"/>
  </r>
  <r>
    <x v="188"/>
    <x v="859"/>
    <x v="8"/>
    <d v="1979-01-14T00:00:00"/>
    <x v="2"/>
    <n v="250"/>
    <s v="Pro02"/>
    <x v="1"/>
    <x v="0"/>
    <n v="0.1"/>
    <x v="8"/>
    <n v="18"/>
    <n v="22"/>
    <n v="45"/>
    <n v="4500"/>
    <n v="4950"/>
    <n v="450"/>
    <d v="1900-01-04T00:00:00"/>
    <x v="0"/>
  </r>
  <r>
    <x v="188"/>
    <x v="860"/>
    <x v="7"/>
    <d v="2004-12-06T00:00:00"/>
    <x v="3"/>
    <n v="20"/>
    <s v="Pro08"/>
    <x v="0"/>
    <x v="0"/>
    <n v="0.1"/>
    <x v="6"/>
    <n v="5"/>
    <n v="7"/>
    <n v="19"/>
    <n v="100"/>
    <n v="126"/>
    <n v="26"/>
    <d v="1900-01-04T00:00:00"/>
    <x v="0"/>
  </r>
  <r>
    <x v="188"/>
    <x v="535"/>
    <x v="4"/>
    <d v="1953-08-27T00:00:00"/>
    <x v="1"/>
    <n v="493"/>
    <s v="Pro05"/>
    <x v="3"/>
    <x v="0"/>
    <n v="0.1"/>
    <x v="5"/>
    <n v="14"/>
    <n v="28"/>
    <n v="70"/>
    <n v="6902"/>
    <n v="12423.6"/>
    <n v="5521.6"/>
    <d v="1900-01-04T00:00:00"/>
    <x v="0"/>
  </r>
  <r>
    <x v="188"/>
    <x v="861"/>
    <x v="5"/>
    <d v="1949-02-23T00:00:00"/>
    <x v="0"/>
    <n v="181"/>
    <s v="Pro02"/>
    <x v="2"/>
    <x v="0"/>
    <n v="0.1"/>
    <x v="8"/>
    <n v="18"/>
    <n v="22"/>
    <n v="75"/>
    <n v="3258"/>
    <n v="3583.8"/>
    <n v="325.80000000000018"/>
    <d v="1900-01-04T00:00:00"/>
    <x v="0"/>
  </r>
  <r>
    <x v="188"/>
    <x v="862"/>
    <x v="7"/>
    <d v="1989-11-17T00:00:00"/>
    <x v="3"/>
    <n v="453"/>
    <s v="Pro05"/>
    <x v="2"/>
    <x v="0"/>
    <n v="0.1"/>
    <x v="5"/>
    <n v="14"/>
    <n v="28"/>
    <n v="34"/>
    <n v="6342"/>
    <n v="11415.6"/>
    <n v="5073.6000000000004"/>
    <d v="1900-01-04T00:00:00"/>
    <x v="0"/>
  </r>
  <r>
    <x v="188"/>
    <x v="740"/>
    <x v="8"/>
    <d v="1977-04-19T00:00:00"/>
    <x v="2"/>
    <n v="170"/>
    <s v="Pro10"/>
    <x v="5"/>
    <x v="0"/>
    <n v="0.1"/>
    <x v="7"/>
    <n v="18"/>
    <n v="36"/>
    <n v="47"/>
    <n v="3060"/>
    <n v="5508"/>
    <n v="2448"/>
    <d v="1900-01-04T00:00:00"/>
    <x v="0"/>
  </r>
  <r>
    <x v="189"/>
    <x v="863"/>
    <x v="10"/>
    <d v="1956-08-08T00:00:00"/>
    <x v="3"/>
    <n v="321"/>
    <s v="Pro08"/>
    <x v="1"/>
    <x v="2"/>
    <n v="0.1"/>
    <x v="6"/>
    <n v="5"/>
    <n v="7"/>
    <n v="67"/>
    <n v="1605"/>
    <n v="2022.3"/>
    <n v="417.29999999999995"/>
    <d v="1900-01-05T00:00:00"/>
    <x v="0"/>
  </r>
  <r>
    <x v="189"/>
    <x v="864"/>
    <x v="6"/>
    <d v="1968-03-08T00:00:00"/>
    <x v="3"/>
    <n v="278"/>
    <s v="Pro02"/>
    <x v="3"/>
    <x v="0"/>
    <n v="0.1"/>
    <x v="8"/>
    <n v="18"/>
    <n v="22"/>
    <n v="56"/>
    <n v="5004"/>
    <n v="5504.4000000000005"/>
    <n v="500.40000000000055"/>
    <d v="1900-01-05T00:00:00"/>
    <x v="0"/>
  </r>
  <r>
    <x v="189"/>
    <x v="865"/>
    <x v="5"/>
    <d v="1949-03-08T00:00:00"/>
    <x v="0"/>
    <n v="482"/>
    <s v="Pro03"/>
    <x v="1"/>
    <x v="0"/>
    <n v="0.1"/>
    <x v="10"/>
    <n v="3"/>
    <n v="5"/>
    <n v="75"/>
    <n v="1446"/>
    <n v="2169"/>
    <n v="723"/>
    <d v="1900-01-05T00:00:00"/>
    <x v="0"/>
  </r>
  <r>
    <x v="189"/>
    <x v="866"/>
    <x v="6"/>
    <d v="1981-02-11T00:00:00"/>
    <x v="1"/>
    <n v="66"/>
    <s v="Pro02"/>
    <x v="2"/>
    <x v="0"/>
    <n v="0.1"/>
    <x v="8"/>
    <n v="18"/>
    <n v="22"/>
    <n v="43"/>
    <n v="1188"/>
    <n v="1306.8"/>
    <n v="118.79999999999995"/>
    <d v="1900-01-05T00:00:00"/>
    <x v="0"/>
  </r>
  <r>
    <x v="189"/>
    <x v="867"/>
    <x v="6"/>
    <d v="2005-06-17T00:00:00"/>
    <x v="0"/>
    <n v="26"/>
    <s v="Pro09"/>
    <x v="1"/>
    <x v="0"/>
    <n v="0.1"/>
    <x v="3"/>
    <n v="10"/>
    <n v="45"/>
    <n v="19"/>
    <n v="260"/>
    <n v="1053"/>
    <n v="793"/>
    <d v="1900-01-05T00:00:00"/>
    <x v="0"/>
  </r>
  <r>
    <x v="189"/>
    <x v="868"/>
    <x v="9"/>
    <d v="1956-10-28T00:00:00"/>
    <x v="1"/>
    <n v="421"/>
    <s v="Pro10"/>
    <x v="1"/>
    <x v="0"/>
    <n v="0.1"/>
    <x v="7"/>
    <n v="18"/>
    <n v="36"/>
    <n v="67"/>
    <n v="7578"/>
    <n v="13640.4"/>
    <n v="6062.4"/>
    <d v="1900-01-05T00:00:00"/>
    <x v="0"/>
  </r>
  <r>
    <x v="189"/>
    <x v="869"/>
    <x v="2"/>
    <d v="1962-07-05T00:00:00"/>
    <x v="3"/>
    <n v="110"/>
    <s v="Pro06"/>
    <x v="2"/>
    <x v="0"/>
    <n v="0.1"/>
    <x v="4"/>
    <n v="7"/>
    <n v="9"/>
    <n v="62"/>
    <n v="770"/>
    <n v="891"/>
    <n v="121"/>
    <d v="1900-01-05T00:00:00"/>
    <x v="0"/>
  </r>
  <r>
    <x v="190"/>
    <x v="870"/>
    <x v="10"/>
    <d v="1998-02-20T00:00:00"/>
    <x v="2"/>
    <n v="263"/>
    <s v="Pro09"/>
    <x v="0"/>
    <x v="0"/>
    <n v="0.1"/>
    <x v="3"/>
    <n v="10"/>
    <n v="45"/>
    <n v="26"/>
    <n v="2630"/>
    <n v="10651.5"/>
    <n v="8021.5"/>
    <d v="1900-01-06T00:00:00"/>
    <x v="1"/>
  </r>
  <r>
    <x v="190"/>
    <x v="871"/>
    <x v="7"/>
    <d v="1980-08-13T00:00:00"/>
    <x v="1"/>
    <n v="65"/>
    <s v="Pro09"/>
    <x v="1"/>
    <x v="0"/>
    <n v="0.1"/>
    <x v="3"/>
    <n v="10"/>
    <n v="45"/>
    <n v="43"/>
    <n v="650"/>
    <n v="2632.5"/>
    <n v="1982.5"/>
    <d v="1900-01-06T00:00:00"/>
    <x v="1"/>
  </r>
  <r>
    <x v="190"/>
    <x v="872"/>
    <x v="4"/>
    <d v="1971-06-30T00:00:00"/>
    <x v="2"/>
    <n v="107"/>
    <s v="Pro02"/>
    <x v="5"/>
    <x v="0"/>
    <n v="0.1"/>
    <x v="8"/>
    <n v="18"/>
    <n v="22"/>
    <n v="53"/>
    <n v="1926"/>
    <n v="2118.6"/>
    <n v="192.59999999999991"/>
    <d v="1900-01-06T00:00:00"/>
    <x v="1"/>
  </r>
  <r>
    <x v="190"/>
    <x v="873"/>
    <x v="2"/>
    <d v="1965-12-06T00:00:00"/>
    <x v="3"/>
    <n v="452"/>
    <s v="Pro08"/>
    <x v="5"/>
    <x v="0"/>
    <n v="0.1"/>
    <x v="6"/>
    <n v="5"/>
    <n v="7"/>
    <n v="58"/>
    <n v="2260"/>
    <n v="2847.6"/>
    <n v="587.59999999999991"/>
    <d v="1900-01-06T00:00:00"/>
    <x v="1"/>
  </r>
  <r>
    <x v="190"/>
    <x v="874"/>
    <x v="6"/>
    <d v="1978-01-23T00:00:00"/>
    <x v="1"/>
    <n v="336"/>
    <s v="Pro10"/>
    <x v="1"/>
    <x v="0"/>
    <n v="0.1"/>
    <x v="7"/>
    <n v="18"/>
    <n v="36"/>
    <n v="46"/>
    <n v="6048"/>
    <n v="10886.4"/>
    <n v="4838.3999999999996"/>
    <d v="1900-01-06T00:00:00"/>
    <x v="1"/>
  </r>
  <r>
    <x v="191"/>
    <x v="875"/>
    <x v="3"/>
    <d v="1982-05-07T00:00:00"/>
    <x v="3"/>
    <n v="207"/>
    <s v="Pro10"/>
    <x v="1"/>
    <x v="0"/>
    <n v="0.1"/>
    <x v="7"/>
    <n v="18"/>
    <n v="36"/>
    <n v="42"/>
    <n v="3726"/>
    <n v="6706.8"/>
    <n v="2980.8"/>
    <d v="1899-12-31T00:00:00"/>
    <x v="1"/>
  </r>
  <r>
    <x v="191"/>
    <x v="876"/>
    <x v="2"/>
    <d v="1943-08-25T00:00:00"/>
    <x v="3"/>
    <n v="98"/>
    <s v="Pro10"/>
    <x v="1"/>
    <x v="0"/>
    <n v="0.1"/>
    <x v="7"/>
    <n v="18"/>
    <n v="36"/>
    <n v="80"/>
    <n v="1764"/>
    <n v="3175.2000000000003"/>
    <n v="1411.2000000000003"/>
    <d v="1899-12-31T00:00:00"/>
    <x v="1"/>
  </r>
  <r>
    <x v="192"/>
    <x v="877"/>
    <x v="10"/>
    <d v="1990-09-09T00:00:00"/>
    <x v="1"/>
    <n v="69"/>
    <s v="Pro05"/>
    <x v="1"/>
    <x v="0"/>
    <n v="0.1"/>
    <x v="5"/>
    <n v="14"/>
    <n v="28"/>
    <n v="33"/>
    <n v="966"/>
    <n v="1738.8"/>
    <n v="772.8"/>
    <d v="1900-01-01T00:00:00"/>
    <x v="0"/>
  </r>
  <r>
    <x v="192"/>
    <x v="878"/>
    <x v="10"/>
    <d v="1966-07-12T00:00:00"/>
    <x v="2"/>
    <n v="85"/>
    <s v="Pro06"/>
    <x v="1"/>
    <x v="0"/>
    <n v="0.1"/>
    <x v="4"/>
    <n v="7"/>
    <n v="9"/>
    <n v="58"/>
    <n v="595"/>
    <n v="688.5"/>
    <n v="93.5"/>
    <d v="1900-01-01T00:00:00"/>
    <x v="0"/>
  </r>
  <r>
    <x v="192"/>
    <x v="879"/>
    <x v="2"/>
    <d v="1950-12-14T00:00:00"/>
    <x v="3"/>
    <n v="107"/>
    <s v="Pro06"/>
    <x v="1"/>
    <x v="0"/>
    <n v="0.1"/>
    <x v="4"/>
    <n v="7"/>
    <n v="9"/>
    <n v="73"/>
    <n v="749"/>
    <n v="866.7"/>
    <n v="117.70000000000005"/>
    <d v="1900-01-01T00:00:00"/>
    <x v="0"/>
  </r>
  <r>
    <x v="192"/>
    <x v="880"/>
    <x v="0"/>
    <d v="2004-09-28T00:00:00"/>
    <x v="3"/>
    <n v="427"/>
    <s v="Pro04"/>
    <x v="2"/>
    <x v="0"/>
    <n v="0.1"/>
    <x v="1"/>
    <n v="10"/>
    <n v="14"/>
    <n v="19"/>
    <n v="4270"/>
    <n v="5380.2"/>
    <n v="1110.1999999999998"/>
    <d v="1900-01-01T00:00:00"/>
    <x v="0"/>
  </r>
  <r>
    <x v="192"/>
    <x v="881"/>
    <x v="6"/>
    <d v="1981-11-21T00:00:00"/>
    <x v="0"/>
    <n v="467"/>
    <s v="Pro01"/>
    <x v="2"/>
    <x v="0"/>
    <n v="0.1"/>
    <x v="9"/>
    <n v="10"/>
    <n v="11"/>
    <n v="42"/>
    <n v="4670"/>
    <n v="4623.3"/>
    <n v="-46.699999999999818"/>
    <d v="1900-01-01T00:00:00"/>
    <x v="0"/>
  </r>
  <r>
    <x v="193"/>
    <x v="882"/>
    <x v="2"/>
    <d v="1950-03-21T00:00:00"/>
    <x v="3"/>
    <n v="481"/>
    <s v="Pro03"/>
    <x v="3"/>
    <x v="0"/>
    <n v="0.1"/>
    <x v="10"/>
    <n v="3"/>
    <n v="5"/>
    <n v="74"/>
    <n v="1443"/>
    <n v="2164.5"/>
    <n v="721.5"/>
    <d v="1900-01-02T00:00:00"/>
    <x v="0"/>
  </r>
  <r>
    <x v="193"/>
    <x v="883"/>
    <x v="7"/>
    <d v="1993-06-03T00:00:00"/>
    <x v="1"/>
    <n v="145"/>
    <s v="Pro01"/>
    <x v="1"/>
    <x v="0"/>
    <n v="0.1"/>
    <x v="9"/>
    <n v="10"/>
    <n v="11"/>
    <n v="31"/>
    <n v="1450"/>
    <n v="1435.5"/>
    <n v="-14.5"/>
    <d v="1900-01-02T00:00:00"/>
    <x v="0"/>
  </r>
  <r>
    <x v="193"/>
    <x v="884"/>
    <x v="6"/>
    <d v="1988-12-12T00:00:00"/>
    <x v="0"/>
    <n v="23"/>
    <s v="Pro08"/>
    <x v="0"/>
    <x v="0"/>
    <n v="0.1"/>
    <x v="6"/>
    <n v="5"/>
    <n v="7"/>
    <n v="35"/>
    <n v="115"/>
    <n v="144.9"/>
    <n v="29.900000000000006"/>
    <d v="1900-01-02T00:00:00"/>
    <x v="0"/>
  </r>
  <r>
    <x v="194"/>
    <x v="885"/>
    <x v="6"/>
    <d v="2000-08-29T00:00:00"/>
    <x v="0"/>
    <n v="216"/>
    <s v="Pro02"/>
    <x v="3"/>
    <x v="0"/>
    <n v="0.1"/>
    <x v="8"/>
    <n v="18"/>
    <n v="22"/>
    <n v="23"/>
    <n v="3888"/>
    <n v="4276.8"/>
    <n v="388.80000000000018"/>
    <d v="1900-01-03T00:00:00"/>
    <x v="0"/>
  </r>
  <r>
    <x v="194"/>
    <x v="886"/>
    <x v="4"/>
    <d v="1983-07-08T00:00:00"/>
    <x v="2"/>
    <n v="188"/>
    <s v="Pro04"/>
    <x v="2"/>
    <x v="0"/>
    <n v="0.1"/>
    <x v="1"/>
    <n v="10"/>
    <n v="14"/>
    <n v="41"/>
    <n v="1880"/>
    <n v="2368.8000000000002"/>
    <n v="488.80000000000018"/>
    <d v="1900-01-03T00:00:00"/>
    <x v="0"/>
  </r>
  <r>
    <x v="194"/>
    <x v="887"/>
    <x v="4"/>
    <d v="1959-12-25T00:00:00"/>
    <x v="0"/>
    <n v="343"/>
    <s v="Pro08"/>
    <x v="1"/>
    <x v="2"/>
    <n v="0.1"/>
    <x v="6"/>
    <n v="5"/>
    <n v="7"/>
    <n v="64"/>
    <n v="1715"/>
    <n v="2160.9"/>
    <n v="445.90000000000009"/>
    <d v="1900-01-03T00:00:00"/>
    <x v="0"/>
  </r>
  <r>
    <x v="194"/>
    <x v="888"/>
    <x v="1"/>
    <d v="1953-12-20T00:00:00"/>
    <x v="0"/>
    <n v="75"/>
    <s v="Pro03"/>
    <x v="3"/>
    <x v="0"/>
    <n v="0.1"/>
    <x v="10"/>
    <n v="3"/>
    <n v="5"/>
    <n v="70"/>
    <n v="225"/>
    <n v="337.5"/>
    <n v="112.5"/>
    <d v="1900-01-03T00:00:00"/>
    <x v="0"/>
  </r>
  <r>
    <x v="194"/>
    <x v="889"/>
    <x v="6"/>
    <d v="1976-07-22T00:00:00"/>
    <x v="0"/>
    <n v="310"/>
    <s v="Pro02"/>
    <x v="2"/>
    <x v="0"/>
    <n v="0.1"/>
    <x v="8"/>
    <n v="18"/>
    <n v="22"/>
    <n v="47"/>
    <n v="5580"/>
    <n v="6138"/>
    <n v="558"/>
    <d v="1900-01-03T00:00:00"/>
    <x v="0"/>
  </r>
  <r>
    <x v="194"/>
    <x v="890"/>
    <x v="7"/>
    <d v="1967-03-22T00:00:00"/>
    <x v="0"/>
    <n v="435"/>
    <s v="Pro02"/>
    <x v="1"/>
    <x v="0"/>
    <n v="0.1"/>
    <x v="8"/>
    <n v="18"/>
    <n v="22"/>
    <n v="57"/>
    <n v="7830"/>
    <n v="8613"/>
    <n v="783"/>
    <d v="1900-01-03T00:00:00"/>
    <x v="0"/>
  </r>
  <r>
    <x v="195"/>
    <x v="891"/>
    <x v="0"/>
    <d v="1971-10-28T00:00:00"/>
    <x v="3"/>
    <n v="412"/>
    <s v="Pro08"/>
    <x v="2"/>
    <x v="0"/>
    <n v="0.1"/>
    <x v="6"/>
    <n v="5"/>
    <n v="7"/>
    <n v="52"/>
    <n v="2060"/>
    <n v="2595.6"/>
    <n v="535.59999999999991"/>
    <d v="1900-01-04T00:00:00"/>
    <x v="0"/>
  </r>
  <r>
    <x v="195"/>
    <x v="892"/>
    <x v="2"/>
    <d v="2005-02-17T00:00:00"/>
    <x v="0"/>
    <n v="125"/>
    <s v="Pro06"/>
    <x v="3"/>
    <x v="1"/>
    <n v="0.1"/>
    <x v="4"/>
    <n v="7"/>
    <n v="9"/>
    <n v="19"/>
    <n v="875"/>
    <n v="1012.5"/>
    <n v="137.5"/>
    <d v="1900-01-04T00:00:00"/>
    <x v="0"/>
  </r>
  <r>
    <x v="195"/>
    <x v="893"/>
    <x v="3"/>
    <d v="1962-06-18T00:00:00"/>
    <x v="1"/>
    <n v="316"/>
    <s v="Pro06"/>
    <x v="2"/>
    <x v="0"/>
    <n v="0.1"/>
    <x v="4"/>
    <n v="7"/>
    <n v="9"/>
    <n v="62"/>
    <n v="2212"/>
    <n v="2559.6"/>
    <n v="347.59999999999991"/>
    <d v="1900-01-04T00:00:00"/>
    <x v="0"/>
  </r>
  <r>
    <x v="195"/>
    <x v="894"/>
    <x v="0"/>
    <d v="1993-02-03T00:00:00"/>
    <x v="2"/>
    <n v="371"/>
    <s v="Pro05"/>
    <x v="3"/>
    <x v="0"/>
    <n v="0.1"/>
    <x v="5"/>
    <n v="14"/>
    <n v="28"/>
    <n v="31"/>
    <n v="5194"/>
    <n v="9349.2000000000007"/>
    <n v="4155.2000000000007"/>
    <d v="1900-01-04T00:00:00"/>
    <x v="0"/>
  </r>
  <r>
    <x v="195"/>
    <x v="895"/>
    <x v="10"/>
    <s v="Unknown"/>
    <x v="1"/>
    <n v="162"/>
    <s v="Pro01"/>
    <x v="0"/>
    <x v="0"/>
    <n v="0.1"/>
    <x v="9"/>
    <n v="10"/>
    <n v="11"/>
    <e v="#VALUE!"/>
    <n v="1620"/>
    <n v="1603.8"/>
    <n v="-16.200000000000045"/>
    <d v="1900-01-04T00:00:00"/>
    <x v="0"/>
  </r>
  <r>
    <x v="195"/>
    <x v="896"/>
    <x v="9"/>
    <d v="1989-03-18T00:00:00"/>
    <x v="2"/>
    <n v="86"/>
    <s v="Pro02"/>
    <x v="5"/>
    <x v="0"/>
    <n v="0.1"/>
    <x v="8"/>
    <n v="18"/>
    <n v="22"/>
    <n v="35"/>
    <n v="1548"/>
    <n v="1702.8"/>
    <n v="154.79999999999995"/>
    <d v="1900-01-04T00:00:00"/>
    <x v="0"/>
  </r>
  <r>
    <x v="195"/>
    <x v="897"/>
    <x v="5"/>
    <d v="2005-06-05T00:00:00"/>
    <x v="3"/>
    <n v="478"/>
    <s v="Pro09"/>
    <x v="2"/>
    <x v="0"/>
    <n v="0.1"/>
    <x v="3"/>
    <n v="10"/>
    <n v="45"/>
    <n v="19"/>
    <n v="4780"/>
    <n v="19359"/>
    <n v="14579"/>
    <d v="1900-01-04T00:00:00"/>
    <x v="0"/>
  </r>
  <r>
    <x v="196"/>
    <x v="2"/>
    <x v="2"/>
    <d v="1993-01-06T00:00:00"/>
    <x v="0"/>
    <n v="177"/>
    <s v="Pro10"/>
    <x v="1"/>
    <x v="1"/>
    <n v="0.1"/>
    <x v="7"/>
    <n v="18"/>
    <n v="36"/>
    <n v="31"/>
    <n v="3186"/>
    <n v="5734.8"/>
    <n v="2548.8000000000002"/>
    <d v="1900-01-05T00:00:00"/>
    <x v="0"/>
  </r>
  <r>
    <x v="196"/>
    <x v="898"/>
    <x v="8"/>
    <d v="1995-06-03T00:00:00"/>
    <x v="1"/>
    <n v="78"/>
    <s v="Pro09"/>
    <x v="1"/>
    <x v="0"/>
    <n v="0.1"/>
    <x v="3"/>
    <n v="10"/>
    <n v="45"/>
    <n v="29"/>
    <n v="780"/>
    <n v="3159"/>
    <n v="2379"/>
    <d v="1900-01-05T00:00:00"/>
    <x v="0"/>
  </r>
  <r>
    <x v="196"/>
    <x v="899"/>
    <x v="10"/>
    <d v="1951-11-26T00:00:00"/>
    <x v="0"/>
    <n v="109"/>
    <s v="Pro06"/>
    <x v="3"/>
    <x v="0"/>
    <n v="0.1"/>
    <x v="4"/>
    <n v="7"/>
    <n v="9"/>
    <n v="72"/>
    <n v="763"/>
    <n v="882.9"/>
    <n v="119.89999999999998"/>
    <d v="1900-01-05T00:00:00"/>
    <x v="0"/>
  </r>
  <r>
    <x v="197"/>
    <x v="900"/>
    <x v="6"/>
    <d v="2005-02-12T00:00:00"/>
    <x v="2"/>
    <n v="13"/>
    <s v="Pro03"/>
    <x v="4"/>
    <x v="0"/>
    <n v="0.1"/>
    <x v="10"/>
    <n v="3"/>
    <n v="5"/>
    <n v="19"/>
    <n v="39"/>
    <n v="58.5"/>
    <n v="19.5"/>
    <d v="1900-01-06T00:00:00"/>
    <x v="1"/>
  </r>
  <r>
    <x v="197"/>
    <x v="901"/>
    <x v="1"/>
    <d v="1963-07-16T00:00:00"/>
    <x v="2"/>
    <n v="265"/>
    <s v="Pro02"/>
    <x v="2"/>
    <x v="0"/>
    <n v="0.1"/>
    <x v="8"/>
    <n v="18"/>
    <n v="22"/>
    <n v="61"/>
    <n v="4770"/>
    <n v="5247"/>
    <n v="477"/>
    <d v="1900-01-06T00:00:00"/>
    <x v="1"/>
  </r>
  <r>
    <x v="197"/>
    <x v="902"/>
    <x v="2"/>
    <d v="1971-12-08T00:00:00"/>
    <x v="1"/>
    <n v="183"/>
    <s v="Pro05"/>
    <x v="4"/>
    <x v="0"/>
    <n v="0.1"/>
    <x v="5"/>
    <n v="14"/>
    <n v="28"/>
    <n v="52"/>
    <n v="2562"/>
    <n v="4611.6000000000004"/>
    <n v="2049.6000000000004"/>
    <d v="1900-01-06T00:00:00"/>
    <x v="1"/>
  </r>
  <r>
    <x v="198"/>
    <x v="903"/>
    <x v="4"/>
    <d v="1964-05-16T00:00:00"/>
    <x v="2"/>
    <n v="129"/>
    <s v="Pro05"/>
    <x v="2"/>
    <x v="0"/>
    <n v="0.1"/>
    <x v="5"/>
    <n v="14"/>
    <n v="28"/>
    <n v="60"/>
    <n v="1806"/>
    <n v="3250.8"/>
    <n v="1444.8000000000002"/>
    <d v="1899-12-31T00:00:00"/>
    <x v="1"/>
  </r>
  <r>
    <x v="198"/>
    <x v="904"/>
    <x v="0"/>
    <d v="2005-02-19T00:00:00"/>
    <x v="1"/>
    <n v="485"/>
    <s v="Pro01"/>
    <x v="5"/>
    <x v="0"/>
    <n v="0.1"/>
    <x v="9"/>
    <n v="10"/>
    <n v="11"/>
    <n v="19"/>
    <n v="4850"/>
    <n v="4801.5"/>
    <n v="-48.5"/>
    <d v="1899-12-31T00:00:00"/>
    <x v="1"/>
  </r>
  <r>
    <x v="198"/>
    <x v="905"/>
    <x v="9"/>
    <d v="2000-11-23T00:00:00"/>
    <x v="3"/>
    <n v="317"/>
    <s v="Pro05"/>
    <x v="3"/>
    <x v="0"/>
    <n v="0.1"/>
    <x v="5"/>
    <n v="14"/>
    <n v="28"/>
    <n v="23"/>
    <n v="4438"/>
    <n v="7988.4000000000005"/>
    <n v="3550.4000000000005"/>
    <d v="1899-12-31T00:00:00"/>
    <x v="1"/>
  </r>
  <r>
    <x v="198"/>
    <x v="906"/>
    <x v="7"/>
    <d v="1971-11-13T00:00:00"/>
    <x v="0"/>
    <n v="457"/>
    <s v="Pro08"/>
    <x v="1"/>
    <x v="2"/>
    <n v="0.1"/>
    <x v="6"/>
    <n v="5"/>
    <n v="7"/>
    <n v="52"/>
    <n v="2285"/>
    <n v="2879.1"/>
    <n v="594.09999999999991"/>
    <d v="1899-12-31T00:00:00"/>
    <x v="1"/>
  </r>
  <r>
    <x v="198"/>
    <x v="907"/>
    <x v="5"/>
    <d v="1947-07-15T00:00:00"/>
    <x v="3"/>
    <n v="387"/>
    <s v="Pro07"/>
    <x v="4"/>
    <x v="0"/>
    <n v="0.1"/>
    <x v="0"/>
    <n v="19"/>
    <n v="23"/>
    <n v="77"/>
    <n v="7353"/>
    <n v="8010.9000000000005"/>
    <n v="657.90000000000055"/>
    <d v="1899-12-31T00:00:00"/>
    <x v="1"/>
  </r>
  <r>
    <x v="198"/>
    <x v="908"/>
    <x v="10"/>
    <d v="1952-01-29T00:00:00"/>
    <x v="2"/>
    <n v="231"/>
    <s v="Pro02"/>
    <x v="1"/>
    <x v="0"/>
    <n v="0.1"/>
    <x v="8"/>
    <n v="18"/>
    <n v="22"/>
    <n v="72"/>
    <n v="4158"/>
    <n v="4573.8"/>
    <n v="415.80000000000018"/>
    <d v="1899-12-31T00:00:00"/>
    <x v="1"/>
  </r>
  <r>
    <x v="198"/>
    <x v="909"/>
    <x v="10"/>
    <d v="1987-11-24T00:00:00"/>
    <x v="1"/>
    <n v="291"/>
    <s v="Pro04"/>
    <x v="4"/>
    <x v="0"/>
    <n v="0.1"/>
    <x v="1"/>
    <n v="10"/>
    <n v="14"/>
    <n v="36"/>
    <n v="2910"/>
    <n v="3666.6"/>
    <n v="756.59999999999991"/>
    <d v="1899-12-31T00:00:00"/>
    <x v="1"/>
  </r>
  <r>
    <x v="198"/>
    <x v="910"/>
    <x v="0"/>
    <d v="1971-10-15T00:00:00"/>
    <x v="1"/>
    <n v="321"/>
    <s v="Pro09"/>
    <x v="1"/>
    <x v="0"/>
    <n v="0.1"/>
    <x v="3"/>
    <n v="10"/>
    <n v="45"/>
    <n v="52"/>
    <n v="3210"/>
    <n v="13000.5"/>
    <n v="9790.5"/>
    <d v="1899-12-31T00:00:00"/>
    <x v="1"/>
  </r>
  <r>
    <x v="199"/>
    <x v="911"/>
    <x v="7"/>
    <d v="1994-02-07T00:00:00"/>
    <x v="0"/>
    <n v="197"/>
    <s v="Pro03"/>
    <x v="5"/>
    <x v="0"/>
    <n v="0.1"/>
    <x v="10"/>
    <n v="3"/>
    <n v="5"/>
    <n v="30"/>
    <n v="591"/>
    <n v="886.5"/>
    <n v="295.5"/>
    <d v="1900-01-01T00:00:00"/>
    <x v="0"/>
  </r>
  <r>
    <x v="199"/>
    <x v="912"/>
    <x v="10"/>
    <d v="1968-04-25T00:00:00"/>
    <x v="3"/>
    <n v="270"/>
    <s v="Pro07"/>
    <x v="1"/>
    <x v="0"/>
    <n v="0.1"/>
    <x v="0"/>
    <n v="19"/>
    <n v="23"/>
    <n v="56"/>
    <n v="5130"/>
    <n v="5589"/>
    <n v="459"/>
    <d v="1900-01-01T00:00:00"/>
    <x v="0"/>
  </r>
  <r>
    <x v="199"/>
    <x v="913"/>
    <x v="6"/>
    <d v="1985-12-16T00:00:00"/>
    <x v="0"/>
    <n v="286"/>
    <s v="Pro01"/>
    <x v="0"/>
    <x v="0"/>
    <n v="0.1"/>
    <x v="9"/>
    <n v="10"/>
    <n v="11"/>
    <n v="38"/>
    <n v="2860"/>
    <n v="2831.4"/>
    <n v="-28.599999999999909"/>
    <d v="1900-01-01T00:00:00"/>
    <x v="0"/>
  </r>
  <r>
    <x v="199"/>
    <x v="914"/>
    <x v="9"/>
    <d v="1990-03-07T00:00:00"/>
    <x v="2"/>
    <n v="108"/>
    <s v="Pro06"/>
    <x v="8"/>
    <x v="2"/>
    <n v="0.1"/>
    <x v="4"/>
    <n v="7"/>
    <n v="9"/>
    <n v="34"/>
    <n v="756"/>
    <n v="874.80000000000007"/>
    <n v="118.80000000000007"/>
    <d v="1900-01-01T00:00:00"/>
    <x v="0"/>
  </r>
  <r>
    <x v="199"/>
    <x v="915"/>
    <x v="1"/>
    <d v="1983-12-02T00:00:00"/>
    <x v="2"/>
    <n v="79"/>
    <s v="Pro01"/>
    <x v="2"/>
    <x v="0"/>
    <n v="0.1"/>
    <x v="9"/>
    <n v="10"/>
    <n v="11"/>
    <n v="40"/>
    <n v="790"/>
    <n v="782.1"/>
    <n v="-7.8999999999999773"/>
    <d v="1900-01-01T00:00:00"/>
    <x v="0"/>
  </r>
  <r>
    <x v="199"/>
    <x v="916"/>
    <x v="9"/>
    <d v="1971-10-18T00:00:00"/>
    <x v="0"/>
    <n v="191"/>
    <s v="Pro10"/>
    <x v="1"/>
    <x v="0"/>
    <n v="0.1"/>
    <x v="7"/>
    <n v="18"/>
    <n v="36"/>
    <n v="52"/>
    <n v="3438"/>
    <n v="6188.4000000000005"/>
    <n v="2750.4000000000005"/>
    <d v="1900-01-01T00:00:00"/>
    <x v="0"/>
  </r>
  <r>
    <x v="199"/>
    <x v="917"/>
    <x v="4"/>
    <d v="1979-03-13T00:00:00"/>
    <x v="0"/>
    <n v="235"/>
    <s v="Pro05"/>
    <x v="1"/>
    <x v="0"/>
    <n v="0.1"/>
    <x v="5"/>
    <n v="14"/>
    <n v="28"/>
    <n v="45"/>
    <n v="3290"/>
    <n v="5922"/>
    <n v="2632"/>
    <d v="1900-01-01T00:00:00"/>
    <x v="0"/>
  </r>
  <r>
    <x v="200"/>
    <x v="918"/>
    <x v="0"/>
    <d v="1977-04-25T00:00:00"/>
    <x v="3"/>
    <n v="268"/>
    <s v="Pro01"/>
    <x v="1"/>
    <x v="0"/>
    <n v="0.1"/>
    <x v="9"/>
    <n v="10"/>
    <n v="11"/>
    <n v="47"/>
    <n v="2680"/>
    <n v="2653.2000000000003"/>
    <n v="-26.799999999999727"/>
    <d v="1900-01-02T00:00:00"/>
    <x v="0"/>
  </r>
  <r>
    <x v="200"/>
    <x v="919"/>
    <x v="6"/>
    <d v="1963-03-01T00:00:00"/>
    <x v="0"/>
    <n v="127"/>
    <s v="Pro08"/>
    <x v="4"/>
    <x v="0"/>
    <n v="0.1"/>
    <x v="6"/>
    <n v="5"/>
    <n v="7"/>
    <n v="61"/>
    <n v="635"/>
    <n v="800.1"/>
    <n v="165.10000000000002"/>
    <d v="1900-01-02T00:00:00"/>
    <x v="0"/>
  </r>
  <r>
    <x v="200"/>
    <x v="920"/>
    <x v="8"/>
    <d v="1985-12-09T00:00:00"/>
    <x v="3"/>
    <n v="324"/>
    <s v="Pro03"/>
    <x v="8"/>
    <x v="0"/>
    <n v="0.1"/>
    <x v="10"/>
    <n v="3"/>
    <n v="5"/>
    <n v="38"/>
    <n v="972"/>
    <n v="1458"/>
    <n v="486"/>
    <d v="1900-01-02T00:00:00"/>
    <x v="0"/>
  </r>
  <r>
    <x v="201"/>
    <x v="921"/>
    <x v="9"/>
    <d v="1980-05-07T00:00:00"/>
    <x v="2"/>
    <n v="345"/>
    <s v="Pro03"/>
    <x v="2"/>
    <x v="0"/>
    <n v="0.1"/>
    <x v="10"/>
    <n v="3"/>
    <n v="5"/>
    <n v="44"/>
    <n v="1035"/>
    <n v="1552.5"/>
    <n v="517.5"/>
    <d v="1900-01-03T00:00:00"/>
    <x v="0"/>
  </r>
  <r>
    <x v="201"/>
    <x v="922"/>
    <x v="3"/>
    <d v="2006-07-16T00:00:00"/>
    <x v="3"/>
    <n v="98"/>
    <s v="Pro03"/>
    <x v="5"/>
    <x v="0"/>
    <n v="0.1"/>
    <x v="10"/>
    <n v="3"/>
    <n v="5"/>
    <n v="18"/>
    <n v="294"/>
    <n v="441"/>
    <n v="147"/>
    <d v="1900-01-03T00:00:00"/>
    <x v="0"/>
  </r>
  <r>
    <x v="201"/>
    <x v="923"/>
    <x v="1"/>
    <d v="1999-06-05T00:00:00"/>
    <x v="3"/>
    <n v="407"/>
    <s v="Pro07"/>
    <x v="0"/>
    <x v="0"/>
    <n v="0.1"/>
    <x v="0"/>
    <n v="19"/>
    <n v="23"/>
    <n v="25"/>
    <n v="7733"/>
    <n v="8424.9"/>
    <n v="691.89999999999964"/>
    <d v="1900-01-03T00:00:00"/>
    <x v="0"/>
  </r>
  <r>
    <x v="201"/>
    <x v="924"/>
    <x v="10"/>
    <d v="1956-01-24T00:00:00"/>
    <x v="1"/>
    <n v="402"/>
    <s v="Pro05"/>
    <x v="3"/>
    <x v="0"/>
    <n v="0.1"/>
    <x v="5"/>
    <n v="14"/>
    <n v="28"/>
    <n v="68"/>
    <n v="5628"/>
    <n v="10130.4"/>
    <n v="4502.3999999999996"/>
    <d v="1900-01-03T00:00:00"/>
    <x v="0"/>
  </r>
  <r>
    <x v="201"/>
    <x v="925"/>
    <x v="1"/>
    <d v="1968-04-18T00:00:00"/>
    <x v="1"/>
    <n v="48"/>
    <s v="Pro09"/>
    <x v="1"/>
    <x v="0"/>
    <n v="0.1"/>
    <x v="3"/>
    <n v="10"/>
    <n v="45"/>
    <n v="56"/>
    <n v="480"/>
    <n v="1944"/>
    <n v="1464"/>
    <d v="1900-01-03T00:00:00"/>
    <x v="0"/>
  </r>
  <r>
    <x v="202"/>
    <x v="926"/>
    <x v="9"/>
    <d v="1976-11-12T00:00:00"/>
    <x v="2"/>
    <n v="82"/>
    <s v="Pro10"/>
    <x v="2"/>
    <x v="0"/>
    <n v="0.1"/>
    <x v="7"/>
    <n v="18"/>
    <n v="36"/>
    <n v="47"/>
    <n v="1476"/>
    <n v="2656.8"/>
    <n v="1180.8000000000002"/>
    <d v="1900-01-04T00:00:00"/>
    <x v="0"/>
  </r>
  <r>
    <x v="202"/>
    <x v="927"/>
    <x v="1"/>
    <d v="1989-10-12T00:00:00"/>
    <x v="0"/>
    <n v="69"/>
    <s v="Pro04"/>
    <x v="1"/>
    <x v="2"/>
    <n v="0.1"/>
    <x v="1"/>
    <n v="10"/>
    <n v="14"/>
    <n v="34"/>
    <n v="690"/>
    <n v="869.4"/>
    <n v="179.39999999999998"/>
    <d v="1900-01-04T00:00:00"/>
    <x v="0"/>
  </r>
  <r>
    <x v="203"/>
    <x v="928"/>
    <x v="10"/>
    <d v="1969-08-10T00:00:00"/>
    <x v="1"/>
    <n v="400"/>
    <s v="Pro08"/>
    <x v="0"/>
    <x v="2"/>
    <n v="0.1"/>
    <x v="6"/>
    <n v="5"/>
    <n v="7"/>
    <n v="54"/>
    <n v="2000"/>
    <n v="2520"/>
    <n v="520"/>
    <d v="1900-01-05T00:00:00"/>
    <x v="0"/>
  </r>
  <r>
    <x v="203"/>
    <x v="929"/>
    <x v="9"/>
    <d v="1960-08-12T00:00:00"/>
    <x v="1"/>
    <n v="156"/>
    <s v="Pro05"/>
    <x v="1"/>
    <x v="0"/>
    <n v="0.1"/>
    <x v="5"/>
    <n v="14"/>
    <n v="28"/>
    <n v="63"/>
    <n v="2184"/>
    <n v="3931.2000000000003"/>
    <n v="1747.2000000000003"/>
    <d v="1900-01-05T00:00:00"/>
    <x v="0"/>
  </r>
  <r>
    <x v="203"/>
    <x v="930"/>
    <x v="1"/>
    <d v="1988-10-09T00:00:00"/>
    <x v="1"/>
    <n v="383"/>
    <s v="Pro03"/>
    <x v="4"/>
    <x v="0"/>
    <n v="0.1"/>
    <x v="10"/>
    <n v="3"/>
    <n v="5"/>
    <n v="35"/>
    <n v="1149"/>
    <n v="1723.5"/>
    <n v="574.5"/>
    <d v="1900-01-05T00:00:00"/>
    <x v="0"/>
  </r>
  <r>
    <x v="203"/>
    <x v="931"/>
    <x v="9"/>
    <d v="1999-10-05T00:00:00"/>
    <x v="0"/>
    <n v="414"/>
    <s v="Pro04"/>
    <x v="2"/>
    <x v="0"/>
    <n v="0.1"/>
    <x v="1"/>
    <n v="10"/>
    <n v="14"/>
    <n v="24"/>
    <n v="4140"/>
    <n v="5216.4000000000005"/>
    <n v="1076.4000000000005"/>
    <d v="1900-01-05T00:00:00"/>
    <x v="0"/>
  </r>
  <r>
    <x v="203"/>
    <x v="932"/>
    <x v="5"/>
    <d v="1952-04-25T00:00:00"/>
    <x v="3"/>
    <n v="130"/>
    <s v="Pro07"/>
    <x v="2"/>
    <x v="0"/>
    <n v="0.1"/>
    <x v="0"/>
    <n v="19"/>
    <n v="23"/>
    <n v="72"/>
    <n v="2470"/>
    <n v="2691"/>
    <n v="221"/>
    <d v="1900-01-05T00:00:00"/>
    <x v="0"/>
  </r>
  <r>
    <x v="203"/>
    <x v="933"/>
    <x v="3"/>
    <d v="1999-03-07T00:00:00"/>
    <x v="3"/>
    <n v="159"/>
    <s v="Pro07"/>
    <x v="1"/>
    <x v="0"/>
    <n v="0.1"/>
    <x v="0"/>
    <n v="19"/>
    <n v="23"/>
    <n v="25"/>
    <n v="3021"/>
    <n v="3291.3"/>
    <n v="270.30000000000018"/>
    <d v="1900-01-05T00:00:00"/>
    <x v="0"/>
  </r>
  <r>
    <x v="203"/>
    <x v="934"/>
    <x v="2"/>
    <d v="1964-07-08T00:00:00"/>
    <x v="0"/>
    <n v="259"/>
    <s v="Pro10"/>
    <x v="4"/>
    <x v="0"/>
    <n v="0.1"/>
    <x v="7"/>
    <n v="18"/>
    <n v="36"/>
    <n v="60"/>
    <n v="4662"/>
    <n v="8391.6"/>
    <n v="3729.6000000000004"/>
    <d v="1900-01-05T00:00:00"/>
    <x v="0"/>
  </r>
  <r>
    <x v="204"/>
    <x v="2"/>
    <x v="2"/>
    <d v="1958-04-10T00:00:00"/>
    <x v="2"/>
    <n v="270"/>
    <s v="Pro10"/>
    <x v="0"/>
    <x v="0"/>
    <n v="0.1"/>
    <x v="7"/>
    <n v="18"/>
    <n v="36"/>
    <n v="66"/>
    <n v="4860"/>
    <n v="8748"/>
    <n v="3888"/>
    <d v="1900-01-06T00:00:00"/>
    <x v="1"/>
  </r>
  <r>
    <x v="204"/>
    <x v="935"/>
    <x v="9"/>
    <d v="1973-01-31T00:00:00"/>
    <x v="1"/>
    <n v="410"/>
    <s v="Pro07"/>
    <x v="2"/>
    <x v="0"/>
    <n v="0.1"/>
    <x v="0"/>
    <n v="19"/>
    <n v="23"/>
    <n v="51"/>
    <n v="7790"/>
    <n v="8487"/>
    <n v="697"/>
    <d v="1900-01-06T00:00:00"/>
    <x v="1"/>
  </r>
  <r>
    <x v="204"/>
    <x v="936"/>
    <x v="2"/>
    <d v="1948-09-10T00:00:00"/>
    <x v="1"/>
    <n v="297"/>
    <s v="Pro02"/>
    <x v="1"/>
    <x v="0"/>
    <n v="0.1"/>
    <x v="8"/>
    <n v="18"/>
    <n v="22"/>
    <n v="75"/>
    <n v="5346"/>
    <n v="5880.6"/>
    <n v="534.60000000000036"/>
    <d v="1900-01-06T00:00:00"/>
    <x v="1"/>
  </r>
  <r>
    <x v="204"/>
    <x v="937"/>
    <x v="7"/>
    <d v="1946-11-17T00:00:00"/>
    <x v="3"/>
    <n v="66"/>
    <s v="Pro06"/>
    <x v="1"/>
    <x v="0"/>
    <n v="0.1"/>
    <x v="4"/>
    <n v="7"/>
    <n v="9"/>
    <n v="77"/>
    <n v="462"/>
    <n v="534.6"/>
    <n v="72.600000000000023"/>
    <d v="1900-01-06T00:00:00"/>
    <x v="1"/>
  </r>
  <r>
    <x v="205"/>
    <x v="938"/>
    <x v="3"/>
    <d v="1972-12-26T00:00:00"/>
    <x v="0"/>
    <n v="60"/>
    <s v="Pro10"/>
    <x v="4"/>
    <x v="1"/>
    <n v="0.1"/>
    <x v="7"/>
    <n v="18"/>
    <n v="36"/>
    <n v="51"/>
    <n v="1080"/>
    <n v="1944"/>
    <n v="864"/>
    <d v="1899-12-31T00:00:00"/>
    <x v="1"/>
  </r>
  <r>
    <x v="205"/>
    <x v="939"/>
    <x v="0"/>
    <d v="1956-10-11T00:00:00"/>
    <x v="3"/>
    <n v="153"/>
    <s v="Pro05"/>
    <x v="1"/>
    <x v="0"/>
    <n v="0.1"/>
    <x v="5"/>
    <n v="14"/>
    <n v="28"/>
    <n v="67"/>
    <n v="2142"/>
    <n v="3855.6"/>
    <n v="1713.6"/>
    <d v="1899-12-31T00:00:00"/>
    <x v="1"/>
  </r>
  <r>
    <x v="205"/>
    <x v="940"/>
    <x v="10"/>
    <d v="1971-11-19T00:00:00"/>
    <x v="0"/>
    <n v="78"/>
    <s v="Pro07"/>
    <x v="2"/>
    <x v="0"/>
    <n v="0.1"/>
    <x v="0"/>
    <n v="19"/>
    <n v="23"/>
    <n v="52"/>
    <n v="1482"/>
    <n v="1614.6000000000001"/>
    <n v="132.60000000000014"/>
    <d v="1899-12-31T00:00:00"/>
    <x v="1"/>
  </r>
  <r>
    <x v="205"/>
    <x v="941"/>
    <x v="2"/>
    <d v="1955-05-26T00:00:00"/>
    <x v="3"/>
    <n v="450"/>
    <s v="Pro05"/>
    <x v="1"/>
    <x v="0"/>
    <n v="0.1"/>
    <x v="5"/>
    <n v="14"/>
    <n v="28"/>
    <n v="69"/>
    <n v="6300"/>
    <n v="11340"/>
    <n v="5040"/>
    <d v="1899-12-31T00:00:00"/>
    <x v="1"/>
  </r>
  <r>
    <x v="205"/>
    <x v="942"/>
    <x v="10"/>
    <d v="1955-11-27T00:00:00"/>
    <x v="0"/>
    <n v="405"/>
    <s v="Pro02"/>
    <x v="2"/>
    <x v="0"/>
    <n v="0.1"/>
    <x v="8"/>
    <n v="18"/>
    <n v="22"/>
    <n v="68"/>
    <n v="7290"/>
    <n v="8019"/>
    <n v="729"/>
    <d v="1899-12-31T00:00:00"/>
    <x v="1"/>
  </r>
  <r>
    <x v="205"/>
    <x v="943"/>
    <x v="9"/>
    <d v="1997-05-21T00:00:00"/>
    <x v="3"/>
    <n v="53"/>
    <s v="Pro08"/>
    <x v="1"/>
    <x v="0"/>
    <n v="0.1"/>
    <x v="6"/>
    <n v="5"/>
    <n v="7"/>
    <n v="27"/>
    <n v="265"/>
    <n v="333.90000000000003"/>
    <n v="68.900000000000034"/>
    <d v="1899-12-31T00:00:00"/>
    <x v="1"/>
  </r>
  <r>
    <x v="206"/>
    <x v="944"/>
    <x v="10"/>
    <d v="1951-01-29T00:00:00"/>
    <x v="3"/>
    <n v="431"/>
    <s v="Pro10"/>
    <x v="0"/>
    <x v="0"/>
    <n v="0.1"/>
    <x v="7"/>
    <n v="18"/>
    <n v="36"/>
    <n v="73"/>
    <n v="7758"/>
    <n v="13964.4"/>
    <n v="6206.4"/>
    <d v="1900-01-01T00:00:00"/>
    <x v="0"/>
  </r>
  <r>
    <x v="206"/>
    <x v="945"/>
    <x v="5"/>
    <d v="1959-09-26T00:00:00"/>
    <x v="0"/>
    <n v="376"/>
    <s v="Pro03"/>
    <x v="3"/>
    <x v="0"/>
    <n v="0.1"/>
    <x v="10"/>
    <n v="3"/>
    <n v="5"/>
    <n v="64"/>
    <n v="1128"/>
    <n v="1692"/>
    <n v="564"/>
    <d v="1900-01-01T00:00:00"/>
    <x v="0"/>
  </r>
  <r>
    <x v="206"/>
    <x v="946"/>
    <x v="4"/>
    <d v="1965-11-01T00:00:00"/>
    <x v="2"/>
    <n v="334"/>
    <s v="Pro09"/>
    <x v="2"/>
    <x v="0"/>
    <n v="0.1"/>
    <x v="3"/>
    <n v="10"/>
    <n v="45"/>
    <n v="58"/>
    <n v="3340"/>
    <n v="13527"/>
    <n v="10187"/>
    <d v="1900-01-01T00:00:00"/>
    <x v="0"/>
  </r>
  <r>
    <x v="206"/>
    <x v="947"/>
    <x v="9"/>
    <d v="1967-05-31T00:00:00"/>
    <x v="2"/>
    <n v="83"/>
    <s v="Pro02"/>
    <x v="2"/>
    <x v="0"/>
    <n v="0.1"/>
    <x v="8"/>
    <n v="18"/>
    <n v="22"/>
    <n v="57"/>
    <n v="1494"/>
    <n v="1643.4"/>
    <n v="149.40000000000009"/>
    <d v="1900-01-01T00:00:00"/>
    <x v="0"/>
  </r>
  <r>
    <x v="206"/>
    <x v="948"/>
    <x v="7"/>
    <d v="1977-10-13T00:00:00"/>
    <x v="2"/>
    <n v="266"/>
    <s v="Pro06"/>
    <x v="2"/>
    <x v="0"/>
    <n v="0.1"/>
    <x v="4"/>
    <n v="7"/>
    <n v="9"/>
    <n v="46"/>
    <n v="1862"/>
    <n v="2154.6"/>
    <n v="292.59999999999991"/>
    <d v="1900-01-01T00:00:00"/>
    <x v="0"/>
  </r>
  <r>
    <x v="207"/>
    <x v="949"/>
    <x v="4"/>
    <d v="1965-08-28T00:00:00"/>
    <x v="3"/>
    <n v="395"/>
    <s v="Pro02"/>
    <x v="2"/>
    <x v="1"/>
    <n v="0.1"/>
    <x v="8"/>
    <n v="18"/>
    <n v="22"/>
    <n v="58"/>
    <n v="7110"/>
    <n v="7821"/>
    <n v="711"/>
    <d v="1900-01-02T00:00:00"/>
    <x v="0"/>
  </r>
  <r>
    <x v="207"/>
    <x v="950"/>
    <x v="7"/>
    <d v="1991-07-11T00:00:00"/>
    <x v="0"/>
    <n v="444"/>
    <s v="Pro07"/>
    <x v="2"/>
    <x v="1"/>
    <n v="0.1"/>
    <x v="0"/>
    <n v="19"/>
    <n v="23"/>
    <n v="33"/>
    <n v="8436"/>
    <n v="9190.8000000000011"/>
    <n v="754.80000000000109"/>
    <d v="1900-01-02T00:00:00"/>
    <x v="0"/>
  </r>
  <r>
    <x v="207"/>
    <x v="951"/>
    <x v="4"/>
    <d v="1979-04-25T00:00:00"/>
    <x v="0"/>
    <n v="500"/>
    <s v="Pro09"/>
    <x v="0"/>
    <x v="0"/>
    <n v="0.1"/>
    <x v="3"/>
    <n v="10"/>
    <n v="45"/>
    <n v="45"/>
    <n v="5000"/>
    <n v="20250"/>
    <n v="15250"/>
    <d v="1900-01-02T00:00:00"/>
    <x v="0"/>
  </r>
  <r>
    <x v="207"/>
    <x v="952"/>
    <x v="6"/>
    <d v="1994-08-03T00:00:00"/>
    <x v="3"/>
    <n v="196"/>
    <s v="Pro10"/>
    <x v="2"/>
    <x v="0"/>
    <n v="0.1"/>
    <x v="7"/>
    <n v="18"/>
    <n v="36"/>
    <n v="29"/>
    <n v="3528"/>
    <n v="6350.4000000000005"/>
    <n v="2822.4000000000005"/>
    <d v="1900-01-02T00:00:00"/>
    <x v="0"/>
  </r>
  <r>
    <x v="208"/>
    <x v="953"/>
    <x v="8"/>
    <d v="1989-04-06T00:00:00"/>
    <x v="1"/>
    <n v="212"/>
    <s v="Pro03"/>
    <x v="1"/>
    <x v="0"/>
    <n v="0.1"/>
    <x v="10"/>
    <n v="3"/>
    <n v="5"/>
    <n v="35"/>
    <n v="636"/>
    <n v="954"/>
    <n v="318"/>
    <d v="1900-01-03T00:00:00"/>
    <x v="0"/>
  </r>
  <r>
    <x v="208"/>
    <x v="954"/>
    <x v="4"/>
    <d v="1974-12-27T00:00:00"/>
    <x v="0"/>
    <n v="261"/>
    <s v="Pro04"/>
    <x v="2"/>
    <x v="1"/>
    <n v="0.1"/>
    <x v="1"/>
    <n v="10"/>
    <n v="14"/>
    <n v="49"/>
    <n v="2610"/>
    <n v="3288.6"/>
    <n v="678.59999999999991"/>
    <d v="1900-01-03T00:00:00"/>
    <x v="0"/>
  </r>
  <r>
    <x v="208"/>
    <x v="955"/>
    <x v="9"/>
    <d v="1943-11-17T00:00:00"/>
    <x v="0"/>
    <n v="343"/>
    <s v="Pro09"/>
    <x v="1"/>
    <x v="0"/>
    <n v="0.1"/>
    <x v="3"/>
    <n v="10"/>
    <n v="45"/>
    <n v="80"/>
    <n v="3430"/>
    <n v="13891.5"/>
    <n v="10461.5"/>
    <d v="1900-01-03T00:00:00"/>
    <x v="0"/>
  </r>
  <r>
    <x v="208"/>
    <x v="956"/>
    <x v="5"/>
    <d v="1999-09-12T00:00:00"/>
    <x v="1"/>
    <n v="164"/>
    <s v="Pro02"/>
    <x v="1"/>
    <x v="0"/>
    <n v="0.1"/>
    <x v="8"/>
    <n v="18"/>
    <n v="22"/>
    <n v="24"/>
    <n v="2952"/>
    <n v="3247.2000000000003"/>
    <n v="295.20000000000027"/>
    <d v="1900-01-03T00:00:00"/>
    <x v="0"/>
  </r>
  <r>
    <x v="208"/>
    <x v="957"/>
    <x v="5"/>
    <d v="2000-06-21T00:00:00"/>
    <x v="3"/>
    <n v="158"/>
    <s v="Pro06"/>
    <x v="0"/>
    <x v="0"/>
    <n v="0.1"/>
    <x v="4"/>
    <n v="7"/>
    <n v="9"/>
    <n v="24"/>
    <n v="1106"/>
    <n v="1279.8"/>
    <n v="173.79999999999995"/>
    <d v="1900-01-03T00:00:00"/>
    <x v="0"/>
  </r>
  <r>
    <x v="208"/>
    <x v="958"/>
    <x v="8"/>
    <d v="1970-10-23T00:00:00"/>
    <x v="2"/>
    <n v="41"/>
    <s v="Pro09"/>
    <x v="3"/>
    <x v="0"/>
    <n v="0.1"/>
    <x v="3"/>
    <n v="10"/>
    <n v="45"/>
    <n v="53"/>
    <n v="410"/>
    <n v="1660.5"/>
    <n v="1250.5"/>
    <d v="1900-01-03T00:00:00"/>
    <x v="0"/>
  </r>
  <r>
    <x v="208"/>
    <x v="959"/>
    <x v="4"/>
    <d v="1987-11-24T00:00:00"/>
    <x v="2"/>
    <n v="486"/>
    <s v="Pro10"/>
    <x v="8"/>
    <x v="0"/>
    <n v="0.1"/>
    <x v="7"/>
    <n v="18"/>
    <n v="36"/>
    <n v="36"/>
    <n v="8748"/>
    <n v="15746.4"/>
    <n v="6998.4"/>
    <d v="1900-01-03T00:00:00"/>
    <x v="0"/>
  </r>
  <r>
    <x v="208"/>
    <x v="960"/>
    <x v="3"/>
    <s v="Unknown"/>
    <x v="2"/>
    <n v="284"/>
    <s v="Pro07"/>
    <x v="4"/>
    <x v="0"/>
    <n v="0.1"/>
    <x v="0"/>
    <n v="19"/>
    <n v="23"/>
    <e v="#VALUE!"/>
    <n v="5396"/>
    <n v="5878.8"/>
    <n v="482.80000000000018"/>
    <d v="1900-01-03T00:00:00"/>
    <x v="0"/>
  </r>
  <r>
    <x v="208"/>
    <x v="961"/>
    <x v="3"/>
    <d v="1952-02-21T00:00:00"/>
    <x v="2"/>
    <n v="186"/>
    <s v="Pro10"/>
    <x v="1"/>
    <x v="0"/>
    <n v="0.1"/>
    <x v="7"/>
    <n v="18"/>
    <n v="36"/>
    <n v="72"/>
    <n v="3348"/>
    <n v="6026.4000000000005"/>
    <n v="2678.4000000000005"/>
    <d v="1900-01-03T00:00:00"/>
    <x v="0"/>
  </r>
  <r>
    <x v="208"/>
    <x v="962"/>
    <x v="10"/>
    <d v="1995-04-26T00:00:00"/>
    <x v="3"/>
    <n v="357"/>
    <s v="Pro01"/>
    <x v="3"/>
    <x v="0"/>
    <n v="0.1"/>
    <x v="9"/>
    <n v="10"/>
    <n v="11"/>
    <n v="29"/>
    <n v="3570"/>
    <n v="3534.3"/>
    <n v="-35.699999999999818"/>
    <d v="1900-01-03T00:00:00"/>
    <x v="0"/>
  </r>
  <r>
    <x v="208"/>
    <x v="963"/>
    <x v="3"/>
    <d v="2004-01-30T00:00:00"/>
    <x v="3"/>
    <n v="409"/>
    <s v="Pro01"/>
    <x v="0"/>
    <x v="0"/>
    <n v="0.1"/>
    <x v="9"/>
    <n v="10"/>
    <n v="11"/>
    <n v="20"/>
    <n v="4090"/>
    <n v="4049.1"/>
    <n v="-40.900000000000091"/>
    <d v="1900-01-03T00:00:00"/>
    <x v="0"/>
  </r>
  <r>
    <x v="208"/>
    <x v="964"/>
    <x v="2"/>
    <d v="1980-09-25T00:00:00"/>
    <x v="3"/>
    <n v="60"/>
    <s v="Pro04"/>
    <x v="3"/>
    <x v="0"/>
    <n v="0.1"/>
    <x v="1"/>
    <n v="10"/>
    <n v="14"/>
    <n v="43"/>
    <n v="600"/>
    <n v="756"/>
    <n v="156"/>
    <d v="1900-01-03T00:00:00"/>
    <x v="0"/>
  </r>
  <r>
    <x v="208"/>
    <x v="965"/>
    <x v="1"/>
    <s v="Unknown"/>
    <x v="2"/>
    <n v="332"/>
    <s v="Pro10"/>
    <x v="3"/>
    <x v="0"/>
    <n v="0.1"/>
    <x v="7"/>
    <n v="18"/>
    <n v="36"/>
    <e v="#VALUE!"/>
    <n v="5976"/>
    <n v="10756.800000000001"/>
    <n v="4780.8000000000011"/>
    <d v="1900-01-03T00:00:00"/>
    <x v="0"/>
  </r>
  <r>
    <x v="208"/>
    <x v="966"/>
    <x v="4"/>
    <d v="1945-02-28T00:00:00"/>
    <x v="1"/>
    <n v="485"/>
    <s v="Pro04"/>
    <x v="3"/>
    <x v="0"/>
    <n v="0.1"/>
    <x v="1"/>
    <n v="10"/>
    <n v="14"/>
    <n v="79"/>
    <n v="4850"/>
    <n v="6111"/>
    <n v="1261"/>
    <d v="1900-01-03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1376D-4300-41E0-9440-AF68818578D4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3:J4" firstHeaderRow="1" firstDataRow="1" firstDataCol="1"/>
  <pivotFields count="21">
    <pivotField compact="0" numFmtId="165" outline="0" subtotalTop="0" showAll="0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measureFilter="1">
      <items count="12">
        <item x="9"/>
        <item x="8"/>
        <item x="10"/>
        <item x="1"/>
        <item x="5"/>
        <item x="4"/>
        <item x="0"/>
        <item x="6"/>
        <item x="3"/>
        <item x="2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8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8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7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1">
    <i>
      <x v="8"/>
    </i>
  </rowItems>
  <colItems count="1">
    <i/>
  </colItems>
  <dataFields count="1">
    <dataField name="  Profit" fld="16" baseField="0" baseItem="0" numFmtId="167"/>
  </dataFields>
  <formats count="2">
    <format dxfId="44">
      <pivotArea field="10" type="button" dataOnly="0" labelOnly="1" outline="0" axis="axisRow" fieldPosition="0"/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FB07B-6110-4428-A017-DBF34E3E233A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N3:P6" firstHeaderRow="0" firstDataRow="1" firstDataCol="1"/>
  <pivotFields count="21">
    <pivotField compact="0" numFmtId="165" outline="0" showAll="0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numFmtId="9" outline="0" showAll="0"/>
    <pivotField compact="0" outline="0" showAll="0"/>
    <pivotField compact="0" numFmtId="168" outline="0" showAll="0"/>
    <pivotField compact="0" numFmtId="168" outline="0" showAll="0"/>
    <pivotField compact="0" outline="0" showAll="0"/>
    <pivotField compact="0" numFmtId="167" outline="0" showAll="0"/>
    <pivotField dataField="1" compact="0" numFmtId="167" outline="0" showAll="0"/>
    <pivotField compact="0" numFmtId="167" outline="0" showAll="0"/>
    <pivotField compact="0" numFmtId="169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   Revenue" fld="15" baseField="0" baseItem="0" numFmtId="167"/>
    <dataField name="     Revenue" fld="15" showDataAs="percentOfTotal" baseField="0" baseItem="0" numFmtId="10"/>
  </dataFields>
  <formats count="3">
    <format dxfId="47">
      <pivotArea field="8" type="button" dataOnly="0" labelOnly="1" outline="0" axis="axisRow" fieldPosition="0"/>
    </format>
    <format dxfId="46">
      <pivotArea dataOnly="0" labelOnly="1" outline="0" axis="axisValues" fieldPosition="0"/>
    </format>
    <format dxfId="45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76FAB-C501-400C-A6D9-7B1A96AC54AA}" name="PivotTable1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F26:G28" firstHeaderRow="1" firstDataRow="1" firstDataCol="1"/>
  <pivotFields count="21">
    <pivotField compact="0" numFmtId="165" outline="0" showAll="0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compact="0" outline="0" showAll="0">
      <items count="968">
        <item x="571"/>
        <item x="752"/>
        <item x="693"/>
        <item x="56"/>
        <item x="490"/>
        <item x="172"/>
        <item x="160"/>
        <item x="487"/>
        <item x="836"/>
        <item x="773"/>
        <item x="724"/>
        <item x="488"/>
        <item x="566"/>
        <item x="942"/>
        <item x="34"/>
        <item x="2"/>
        <item x="198"/>
        <item x="907"/>
        <item x="542"/>
        <item x="261"/>
        <item x="346"/>
        <item x="112"/>
        <item x="806"/>
        <item x="485"/>
        <item x="503"/>
        <item x="870"/>
        <item x="860"/>
        <item x="80"/>
        <item x="639"/>
        <item x="864"/>
        <item x="384"/>
        <item x="957"/>
        <item x="85"/>
        <item x="349"/>
        <item x="432"/>
        <item x="348"/>
        <item x="63"/>
        <item x="601"/>
        <item x="347"/>
        <item x="568"/>
        <item x="562"/>
        <item x="745"/>
        <item x="522"/>
        <item x="872"/>
        <item x="881"/>
        <item x="686"/>
        <item x="592"/>
        <item x="267"/>
        <item x="297"/>
        <item x="937"/>
        <item x="475"/>
        <item x="302"/>
        <item x="694"/>
        <item x="498"/>
        <item x="638"/>
        <item x="387"/>
        <item x="506"/>
        <item x="260"/>
        <item x="471"/>
        <item x="925"/>
        <item x="317"/>
        <item x="35"/>
        <item x="551"/>
        <item x="371"/>
        <item x="508"/>
        <item x="838"/>
        <item x="781"/>
        <item x="630"/>
        <item x="225"/>
        <item x="295"/>
        <item x="102"/>
        <item x="352"/>
        <item x="167"/>
        <item x="4"/>
        <item x="79"/>
        <item x="902"/>
        <item x="146"/>
        <item x="473"/>
        <item x="513"/>
        <item x="481"/>
        <item x="682"/>
        <item x="120"/>
        <item x="234"/>
        <item x="910"/>
        <item x="862"/>
        <item x="194"/>
        <item x="581"/>
        <item x="354"/>
        <item x="803"/>
        <item x="739"/>
        <item x="187"/>
        <item x="887"/>
        <item x="763"/>
        <item x="375"/>
        <item x="378"/>
        <item x="119"/>
        <item x="437"/>
        <item x="913"/>
        <item x="554"/>
        <item x="207"/>
        <item x="567"/>
        <item x="17"/>
        <item x="662"/>
        <item x="929"/>
        <item x="220"/>
        <item x="457"/>
        <item x="75"/>
        <item x="238"/>
        <item x="87"/>
        <item x="714"/>
        <item x="434"/>
        <item x="359"/>
        <item x="916"/>
        <item x="266"/>
        <item x="465"/>
        <item x="900"/>
        <item x="360"/>
        <item x="906"/>
        <item x="685"/>
        <item x="157"/>
        <item x="644"/>
        <item x="965"/>
        <item x="27"/>
        <item x="556"/>
        <item x="57"/>
        <item x="564"/>
        <item x="964"/>
        <item x="647"/>
        <item x="653"/>
        <item x="305"/>
        <item x="8"/>
        <item x="497"/>
        <item x="563"/>
        <item x="839"/>
        <item x="560"/>
        <item x="628"/>
        <item x="646"/>
        <item x="251"/>
        <item x="147"/>
        <item x="402"/>
        <item x="226"/>
        <item x="199"/>
        <item x="143"/>
        <item x="507"/>
        <item x="132"/>
        <item x="776"/>
        <item x="309"/>
        <item x="518"/>
        <item x="54"/>
        <item x="314"/>
        <item x="722"/>
        <item x="629"/>
        <item x="395"/>
        <item x="797"/>
        <item x="185"/>
        <item x="420"/>
        <item x="95"/>
        <item x="330"/>
        <item x="654"/>
        <item x="924"/>
        <item x="548"/>
        <item x="122"/>
        <item x="139"/>
        <item x="712"/>
        <item x="626"/>
        <item x="521"/>
        <item x="723"/>
        <item x="602"/>
        <item x="254"/>
        <item x="852"/>
        <item x="717"/>
        <item x="500"/>
        <item x="489"/>
        <item x="532"/>
        <item x="92"/>
        <item x="703"/>
        <item x="209"/>
        <item x="124"/>
        <item x="363"/>
        <item x="5"/>
        <item x="842"/>
        <item x="537"/>
        <item x="252"/>
        <item x="453"/>
        <item x="255"/>
        <item x="760"/>
        <item x="216"/>
        <item x="136"/>
        <item x="674"/>
        <item x="631"/>
        <item x="152"/>
        <item x="768"/>
        <item x="424"/>
        <item x="452"/>
        <item x="72"/>
        <item x="264"/>
        <item x="544"/>
        <item x="891"/>
        <item x="939"/>
        <item x="230"/>
        <item x="625"/>
        <item x="329"/>
        <item x="589"/>
        <item x="301"/>
        <item x="25"/>
        <item x="125"/>
        <item x="278"/>
        <item x="621"/>
        <item x="871"/>
        <item x="366"/>
        <item x="294"/>
        <item x="193"/>
        <item x="393"/>
        <item x="128"/>
        <item x="276"/>
        <item x="514"/>
        <item x="126"/>
        <item x="93"/>
        <item x="444"/>
        <item x="449"/>
        <item x="620"/>
        <item x="690"/>
        <item x="58"/>
        <item x="947"/>
        <item x="365"/>
        <item x="550"/>
        <item x="201"/>
        <item x="403"/>
        <item x="205"/>
        <item x="313"/>
        <item x="153"/>
        <item x="683"/>
        <item x="538"/>
        <item x="174"/>
        <item x="857"/>
        <item x="154"/>
        <item x="10"/>
        <item x="293"/>
        <item x="539"/>
        <item x="607"/>
        <item x="898"/>
        <item x="414"/>
        <item x="784"/>
        <item x="656"/>
        <item x="919"/>
        <item x="197"/>
        <item x="340"/>
        <item x="21"/>
        <item x="774"/>
        <item x="692"/>
        <item x="291"/>
        <item x="390"/>
        <item x="159"/>
        <item x="241"/>
        <item x="476"/>
        <item x="634"/>
        <item x="678"/>
        <item x="743"/>
        <item x="40"/>
        <item x="810"/>
        <item x="435"/>
        <item x="728"/>
        <item x="98"/>
        <item x="895"/>
        <item x="827"/>
        <item x="43"/>
        <item x="580"/>
        <item x="445"/>
        <item x="675"/>
        <item x="794"/>
        <item x="144"/>
        <item x="890"/>
        <item x="777"/>
        <item x="224"/>
        <item x="250"/>
        <item x="168"/>
        <item x="920"/>
        <item x="151"/>
        <item x="53"/>
        <item x="935"/>
        <item x="60"/>
        <item x="446"/>
        <item x="738"/>
        <item x="353"/>
        <item x="470"/>
        <item x="584"/>
        <item x="833"/>
        <item x="765"/>
        <item x="867"/>
        <item x="117"/>
        <item x="701"/>
        <item x="624"/>
        <item x="423"/>
        <item x="845"/>
        <item x="737"/>
        <item x="961"/>
        <item x="477"/>
        <item x="28"/>
        <item x="510"/>
        <item x="229"/>
        <item x="257"/>
        <item x="949"/>
        <item x="223"/>
        <item x="200"/>
        <item x="543"/>
        <item x="755"/>
        <item x="397"/>
        <item x="928"/>
        <item x="272"/>
        <item x="37"/>
        <item x="515"/>
        <item x="850"/>
        <item x="91"/>
        <item x="219"/>
        <item x="552"/>
        <item x="50"/>
        <item x="279"/>
        <item x="572"/>
        <item x="587"/>
        <item x="800"/>
        <item x="370"/>
        <item x="82"/>
        <item x="879"/>
        <item x="615"/>
        <item x="830"/>
        <item x="720"/>
        <item x="133"/>
        <item x="421"/>
        <item x="633"/>
        <item x="394"/>
        <item x="195"/>
        <item x="427"/>
        <item x="22"/>
        <item x="847"/>
        <item x="163"/>
        <item x="695"/>
        <item x="672"/>
        <item x="555"/>
        <item x="711"/>
        <item x="175"/>
        <item x="13"/>
        <item x="90"/>
        <item x="282"/>
        <item x="635"/>
        <item x="296"/>
        <item x="155"/>
        <item x="12"/>
        <item x="101"/>
        <item x="109"/>
        <item x="899"/>
        <item x="422"/>
        <item x="440"/>
        <item x="954"/>
        <item x="181"/>
        <item x="308"/>
        <item x="358"/>
        <item x="496"/>
        <item x="869"/>
        <item x="416"/>
        <item x="593"/>
        <item x="44"/>
        <item x="15"/>
        <item x="735"/>
        <item x="494"/>
        <item x="418"/>
        <item x="594"/>
        <item x="180"/>
        <item x="780"/>
        <item x="812"/>
        <item x="285"/>
        <item x="788"/>
        <item x="882"/>
        <item x="31"/>
        <item x="469"/>
        <item x="495"/>
        <item x="388"/>
        <item x="69"/>
        <item x="116"/>
        <item x="886"/>
        <item x="955"/>
        <item x="59"/>
        <item x="381"/>
        <item x="356"/>
        <item x="671"/>
        <item x="585"/>
        <item x="374"/>
        <item x="222"/>
        <item x="7"/>
        <item x="528"/>
        <item x="321"/>
        <item x="247"/>
        <item x="750"/>
        <item x="577"/>
        <item x="856"/>
        <item x="534"/>
        <item x="212"/>
        <item x="48"/>
        <item x="462"/>
        <item x="813"/>
        <item x="336"/>
        <item x="426"/>
        <item x="793"/>
        <item x="808"/>
        <item x="391"/>
        <item x="149"/>
        <item x="809"/>
        <item x="729"/>
        <item x="343"/>
        <item x="398"/>
        <item x="431"/>
        <item x="355"/>
        <item x="324"/>
        <item x="135"/>
        <item x="88"/>
        <item x="410"/>
        <item x="142"/>
        <item x="689"/>
        <item x="361"/>
        <item x="158"/>
        <item x="789"/>
        <item x="901"/>
        <item x="826"/>
        <item x="790"/>
        <item x="186"/>
        <item x="896"/>
        <item x="342"/>
        <item x="148"/>
        <item x="288"/>
        <item x="289"/>
        <item x="570"/>
        <item x="253"/>
        <item x="192"/>
        <item x="734"/>
        <item x="741"/>
        <item x="83"/>
        <item x="377"/>
        <item x="858"/>
        <item x="861"/>
        <item x="512"/>
        <item x="742"/>
        <item x="921"/>
        <item x="658"/>
        <item x="68"/>
        <item x="642"/>
        <item x="923"/>
        <item x="380"/>
        <item x="799"/>
        <item x="754"/>
        <item x="617"/>
        <item x="549"/>
        <item x="622"/>
        <item x="190"/>
        <item x="603"/>
        <item x="441"/>
        <item x="327"/>
        <item x="576"/>
        <item x="335"/>
        <item x="304"/>
        <item x="245"/>
        <item x="875"/>
        <item x="873"/>
        <item x="849"/>
        <item x="782"/>
        <item x="814"/>
        <item x="259"/>
        <item x="165"/>
        <item x="767"/>
        <item x="613"/>
        <item x="859"/>
        <item x="334"/>
        <item x="344"/>
        <item x="840"/>
        <item x="283"/>
        <item x="196"/>
        <item x="846"/>
        <item x="943"/>
        <item x="713"/>
        <item x="648"/>
        <item x="951"/>
        <item x="170"/>
        <item x="447"/>
        <item x="479"/>
        <item x="1"/>
        <item x="586"/>
        <item x="540"/>
        <item x="74"/>
        <item x="676"/>
        <item x="680"/>
        <item x="107"/>
        <item x="727"/>
        <item x="162"/>
        <item x="519"/>
        <item x="287"/>
        <item x="249"/>
        <item x="52"/>
        <item x="173"/>
        <item x="918"/>
        <item x="786"/>
        <item x="926"/>
        <item x="831"/>
        <item x="262"/>
        <item x="32"/>
        <item x="211"/>
        <item x="783"/>
        <item x="645"/>
        <item x="134"/>
        <item x="614"/>
        <item x="843"/>
        <item x="46"/>
        <item x="81"/>
        <item x="807"/>
        <item x="677"/>
        <item x="115"/>
        <item x="161"/>
        <item x="764"/>
        <item x="841"/>
        <item x="504"/>
        <item x="210"/>
        <item x="214"/>
        <item x="930"/>
        <item x="145"/>
        <item x="787"/>
        <item x="792"/>
        <item x="855"/>
        <item x="45"/>
        <item x="663"/>
        <item x="364"/>
        <item x="11"/>
        <item x="652"/>
        <item x="523"/>
        <item x="113"/>
        <item x="466"/>
        <item x="834"/>
        <item x="275"/>
        <item x="443"/>
        <item x="744"/>
        <item x="39"/>
        <item x="65"/>
        <item x="779"/>
        <item x="558"/>
        <item x="687"/>
        <item x="270"/>
        <item x="401"/>
        <item x="747"/>
        <item x="182"/>
        <item x="208"/>
        <item x="33"/>
        <item x="130"/>
        <item x="331"/>
        <item x="940"/>
        <item x="649"/>
        <item x="240"/>
        <item x="844"/>
        <item x="64"/>
        <item x="236"/>
        <item x="239"/>
        <item x="9"/>
        <item x="893"/>
        <item x="817"/>
        <item x="328"/>
        <item x="762"/>
        <item x="274"/>
        <item x="176"/>
        <item x="409"/>
        <item x="637"/>
        <item x="412"/>
        <item x="863"/>
        <item x="927"/>
        <item x="579"/>
        <item x="525"/>
        <item x="627"/>
        <item x="76"/>
        <item x="892"/>
        <item x="611"/>
        <item x="796"/>
        <item x="606"/>
        <item x="948"/>
        <item x="660"/>
        <item x="936"/>
        <item x="578"/>
        <item x="917"/>
        <item x="318"/>
        <item x="345"/>
        <item x="835"/>
        <item x="474"/>
        <item x="429"/>
        <item x="889"/>
        <item x="705"/>
        <item x="320"/>
        <item x="802"/>
        <item x="643"/>
        <item x="819"/>
        <item x="150"/>
        <item x="256"/>
        <item x="286"/>
        <item x="430"/>
        <item x="183"/>
        <item x="459"/>
        <item x="533"/>
        <item x="458"/>
        <item x="228"/>
        <item x="785"/>
        <item x="312"/>
        <item x="218"/>
        <item x="491"/>
        <item x="938"/>
        <item x="670"/>
        <item x="55"/>
        <item x="319"/>
        <item x="20"/>
        <item x="707"/>
        <item x="137"/>
        <item x="86"/>
        <item x="704"/>
        <item x="18"/>
        <item x="179"/>
        <item x="828"/>
        <item x="94"/>
        <item x="914"/>
        <item x="169"/>
        <item x="706"/>
        <item x="362"/>
        <item x="655"/>
        <item x="932"/>
        <item x="854"/>
        <item x="878"/>
        <item x="657"/>
        <item x="351"/>
        <item x="561"/>
        <item x="67"/>
        <item x="104"/>
        <item x="749"/>
        <item x="618"/>
        <item x="405"/>
        <item x="746"/>
        <item x="188"/>
        <item x="493"/>
        <item x="127"/>
        <item x="482"/>
        <item x="885"/>
        <item x="960"/>
        <item x="232"/>
        <item x="300"/>
        <item x="438"/>
        <item x="612"/>
        <item x="237"/>
        <item x="894"/>
        <item x="367"/>
        <item x="70"/>
        <item x="623"/>
        <item x="815"/>
        <item x="775"/>
        <item x="732"/>
        <item x="865"/>
        <item x="922"/>
        <item x="292"/>
        <item x="880"/>
        <item x="837"/>
        <item x="372"/>
        <item x="382"/>
        <item x="244"/>
        <item x="897"/>
        <item x="600"/>
        <item x="448"/>
        <item x="455"/>
        <item x="731"/>
        <item x="950"/>
        <item x="958"/>
        <item x="166"/>
        <item x="29"/>
        <item x="6"/>
        <item x="608"/>
        <item x="138"/>
        <item x="306"/>
        <item x="73"/>
        <item x="697"/>
        <item x="310"/>
        <item x="953"/>
        <item x="231"/>
        <item x="357"/>
        <item x="97"/>
        <item x="206"/>
        <item x="100"/>
        <item x="610"/>
        <item x="748"/>
        <item x="433"/>
        <item x="573"/>
        <item x="751"/>
        <item x="659"/>
        <item x="769"/>
        <item x="702"/>
        <item x="708"/>
        <item x="436"/>
        <item x="118"/>
        <item x="30"/>
        <item x="825"/>
        <item x="23"/>
        <item x="369"/>
        <item x="350"/>
        <item x="721"/>
        <item x="322"/>
        <item x="811"/>
        <item x="400"/>
        <item x="770"/>
        <item x="524"/>
        <item x="640"/>
        <item x="535"/>
        <item x="171"/>
        <item x="709"/>
        <item x="772"/>
        <item x="404"/>
        <item x="715"/>
        <item x="326"/>
        <item x="290"/>
        <item x="605"/>
        <item x="140"/>
        <item x="667"/>
        <item x="761"/>
        <item x="303"/>
        <item x="511"/>
        <item x="131"/>
        <item x="103"/>
        <item x="740"/>
        <item x="853"/>
        <item x="604"/>
        <item x="945"/>
        <item x="666"/>
        <item x="952"/>
        <item x="759"/>
        <item x="591"/>
        <item x="233"/>
        <item x="795"/>
        <item x="818"/>
        <item x="114"/>
        <item x="307"/>
        <item x="574"/>
        <item x="16"/>
        <item x="546"/>
        <item x="664"/>
        <item x="246"/>
        <item x="619"/>
        <item x="407"/>
        <item x="710"/>
        <item x="3"/>
        <item x="700"/>
        <item x="877"/>
        <item x="71"/>
        <item x="483"/>
        <item x="202"/>
        <item x="559"/>
        <item x="299"/>
        <item x="284"/>
        <item x="884"/>
        <item x="848"/>
        <item x="529"/>
        <item x="632"/>
        <item x="456"/>
        <item x="598"/>
        <item x="650"/>
        <item x="946"/>
        <item x="851"/>
        <item x="61"/>
        <item x="804"/>
        <item x="553"/>
        <item x="99"/>
        <item x="89"/>
        <item x="480"/>
        <item x="912"/>
        <item x="956"/>
        <item x="816"/>
        <item x="791"/>
        <item x="280"/>
        <item x="425"/>
        <item x="730"/>
        <item x="698"/>
        <item x="265"/>
        <item x="408"/>
        <item x="333"/>
        <item x="411"/>
        <item x="876"/>
        <item x="339"/>
        <item x="106"/>
        <item x="217"/>
        <item x="679"/>
        <item x="557"/>
        <item x="248"/>
        <item x="406"/>
        <item x="191"/>
        <item x="824"/>
        <item x="243"/>
        <item x="756"/>
        <item x="888"/>
        <item x="725"/>
        <item x="823"/>
        <item x="684"/>
        <item x="463"/>
        <item x="269"/>
        <item x="778"/>
        <item x="277"/>
        <item x="215"/>
        <item x="316"/>
        <item x="688"/>
        <item x="641"/>
        <item x="691"/>
        <item x="41"/>
        <item x="719"/>
        <item x="399"/>
        <item x="941"/>
        <item x="909"/>
        <item x="832"/>
        <item x="84"/>
        <item x="931"/>
        <item x="505"/>
        <item x="868"/>
        <item x="439"/>
        <item x="24"/>
        <item x="376"/>
        <item x="467"/>
        <item x="129"/>
        <item x="105"/>
        <item x="499"/>
        <item x="569"/>
        <item x="681"/>
        <item x="536"/>
        <item x="547"/>
        <item x="520"/>
        <item x="959"/>
        <item x="736"/>
        <item x="530"/>
        <item x="442"/>
        <item x="716"/>
        <item x="733"/>
        <item x="177"/>
        <item x="338"/>
        <item x="325"/>
        <item x="341"/>
        <item x="597"/>
        <item x="599"/>
        <item x="517"/>
        <item x="616"/>
        <item x="315"/>
        <item x="583"/>
        <item x="696"/>
        <item x="758"/>
        <item x="156"/>
        <item x="178"/>
        <item x="821"/>
        <item x="502"/>
        <item x="726"/>
        <item x="516"/>
        <item x="798"/>
        <item x="392"/>
        <item x="62"/>
        <item x="461"/>
        <item x="668"/>
        <item x="874"/>
        <item x="509"/>
        <item x="66"/>
        <item x="221"/>
        <item x="904"/>
        <item x="96"/>
        <item x="464"/>
        <item x="636"/>
        <item x="757"/>
        <item x="108"/>
        <item x="121"/>
        <item x="413"/>
        <item x="805"/>
        <item x="905"/>
        <item x="582"/>
        <item x="595"/>
        <item x="468"/>
        <item x="268"/>
        <item x="903"/>
        <item x="110"/>
        <item x="771"/>
        <item x="227"/>
        <item x="472"/>
        <item x="258"/>
        <item x="963"/>
        <item x="42"/>
        <item x="766"/>
        <item x="486"/>
        <item x="718"/>
        <item x="323"/>
        <item x="962"/>
        <item x="77"/>
        <item x="822"/>
        <item x="184"/>
        <item x="753"/>
        <item x="531"/>
        <item x="661"/>
        <item x="883"/>
        <item x="565"/>
        <item x="47"/>
        <item x="454"/>
        <item x="526"/>
        <item x="651"/>
        <item x="389"/>
        <item x="189"/>
        <item x="19"/>
        <item x="609"/>
        <item x="14"/>
        <item x="379"/>
        <item x="415"/>
        <item x="911"/>
        <item x="699"/>
        <item x="484"/>
        <item x="428"/>
        <item x="203"/>
        <item x="383"/>
        <item x="273"/>
        <item x="820"/>
        <item x="141"/>
        <item x="451"/>
        <item x="575"/>
        <item x="36"/>
        <item x="204"/>
        <item x="966"/>
        <item x="669"/>
        <item x="527"/>
        <item x="419"/>
        <item x="38"/>
        <item x="263"/>
        <item x="915"/>
        <item x="242"/>
        <item x="235"/>
        <item x="908"/>
        <item x="829"/>
        <item x="385"/>
        <item x="933"/>
        <item x="281"/>
        <item x="26"/>
        <item x="501"/>
        <item x="866"/>
        <item x="541"/>
        <item x="460"/>
        <item x="78"/>
        <item x="944"/>
        <item x="545"/>
        <item x="298"/>
        <item x="450"/>
        <item x="368"/>
        <item x="111"/>
        <item x="801"/>
        <item x="373"/>
        <item x="337"/>
        <item x="492"/>
        <item x="588"/>
        <item x="673"/>
        <item x="271"/>
        <item x="417"/>
        <item x="311"/>
        <item x="0"/>
        <item x="590"/>
        <item x="332"/>
        <item x="478"/>
        <item x="386"/>
        <item x="49"/>
        <item x="213"/>
        <item x="51"/>
        <item x="396"/>
        <item x="596"/>
        <item x="665"/>
        <item x="934"/>
        <item x="164"/>
        <item x="123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numFmtId="168" outline="0" showAll="0"/>
    <pivotField compact="0" numFmtId="168" outline="0" showAll="0"/>
    <pivotField compact="0" outline="0" showAll="0"/>
    <pivotField compact="0" numFmtId="167" outline="0" showAll="0"/>
    <pivotField compact="0" numFmtId="167" outline="0" showAll="0"/>
    <pivotField dataField="1" compact="0" numFmtId="167" outline="0" showAll="0"/>
    <pivotField compact="0" numFmtId="169" outline="0" showAll="0"/>
    <pivotField axis="axisRow" compact="0" outline="0" showAll="0">
      <items count="3">
        <item x="0"/>
        <item x="1"/>
        <item t="default"/>
      </items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2">
    <i>
      <x/>
    </i>
    <i>
      <x v="1"/>
    </i>
  </rowItems>
  <colItems count="1">
    <i/>
  </colItems>
  <dataFields count="1">
    <dataField name="         Profit" fld="16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AAAD8-6A5E-4F09-8FBC-2819B145761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21">
    <pivotField numFmtId="165" showAll="0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showAll="0"/>
    <pivotField showAll="0"/>
    <pivotField showAll="0"/>
    <pivotField showAll="0"/>
    <pivotField dataField="1" numFmtId="1" showAll="0"/>
    <pivotField showAll="0"/>
    <pivotField showAll="0"/>
    <pivotField showAll="0"/>
    <pivotField numFmtId="9" showAll="0"/>
    <pivotField showAll="0"/>
    <pivotField numFmtId="168" showAll="0"/>
    <pivotField numFmtId="168" showAll="0"/>
    <pivotField showAll="0"/>
    <pivotField dataField="1" numFmtId="167" showAll="0"/>
    <pivotField dataField="1" numFmtId="167" showAll="0"/>
    <pivotField dataField="1" numFmtId="167" showAll="0"/>
    <pivotField numFmtId="169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 Quantity Purchased" fld="5" baseField="0" baseItem="0" numFmtId="170"/>
    <dataField name="  COGS" fld="14" baseField="0" baseItem="0" numFmtId="167"/>
    <dataField name="  Revenue" fld="15" baseField="0" baseItem="0" numFmtId="167"/>
    <dataField name="  Profit" fld="16" baseField="0" baseItem="0" numFmtId="167"/>
  </dataFields>
  <formats count="1">
    <format dxfId="4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13971-10C2-4A9C-8B60-01C9313A4B8C}" name="PivotTable1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19:J20" firstHeaderRow="1" firstDataRow="1" firstDataCol="1"/>
  <pivotFields count="2">
    <pivotField axis="axisRow" compact="0" allDrilled="1" outline="0" subtotalTop="0" showAll="0" measureFilter="1" dataSourceSort="1" defaultSubtotal="0" defaultAttributeDrillState="1">
      <items count="1">
        <item x="0"/>
      </items>
    </pivotField>
    <pivotField dataField="1" compact="0" outline="0" subtotalTop="0" showAll="0" defaultSubtotal="0"/>
  </pivotFields>
  <rowFields count="1">
    <field x="0"/>
  </rowFields>
  <rowItems count="1">
    <i>
      <x/>
    </i>
  </rowItems>
  <colItems count="1">
    <i/>
  </colItems>
  <dataFields count="1">
    <dataField name="      Profit" fld="1" baseField="0" baseItem="0" numFmtId="167"/>
  </dataFields>
  <formats count="3">
    <format dxfId="51">
      <pivotArea outline="0" collapsedLevelsAreSubtotals="1" fieldPosition="0"/>
    </format>
    <format dxfId="50">
      <pivotArea field="0" type="button" dataOnly="0" labelOnly="1" outline="0" axis="axisRow" fieldPosition="0"/>
    </format>
    <format dxfId="49">
      <pivotArea dataOnly="0" labelOnly="1" outline="0" axis="axisValues" fieldPosition="0"/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      Profit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1" filterVal="1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OKIES_Sales _Report.xlsx!Table2_1">
        <x15:activeTabTopLevelEntity name="[Table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B4D3E-3F4C-4652-998B-978C1D0E2E0B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15:J16" firstHeaderRow="1" firstDataRow="1" firstDataCol="1"/>
  <pivotFields count="21">
    <pivotField compact="0" numFmtId="165" outline="0" subtotalTop="0" showAll="0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measureFilter="1">
      <items count="968">
        <item x="571"/>
        <item x="752"/>
        <item x="693"/>
        <item x="56"/>
        <item x="490"/>
        <item x="172"/>
        <item x="160"/>
        <item x="487"/>
        <item x="836"/>
        <item x="773"/>
        <item x="724"/>
        <item x="488"/>
        <item x="566"/>
        <item x="942"/>
        <item x="34"/>
        <item x="2"/>
        <item x="198"/>
        <item x="907"/>
        <item x="542"/>
        <item x="261"/>
        <item x="346"/>
        <item x="112"/>
        <item x="806"/>
        <item x="485"/>
        <item x="503"/>
        <item x="870"/>
        <item x="860"/>
        <item x="80"/>
        <item x="639"/>
        <item x="864"/>
        <item x="384"/>
        <item x="957"/>
        <item x="85"/>
        <item x="349"/>
        <item x="432"/>
        <item x="348"/>
        <item x="63"/>
        <item x="601"/>
        <item x="347"/>
        <item x="568"/>
        <item x="562"/>
        <item x="745"/>
        <item x="522"/>
        <item x="872"/>
        <item x="881"/>
        <item x="686"/>
        <item x="592"/>
        <item x="267"/>
        <item x="297"/>
        <item x="937"/>
        <item x="475"/>
        <item x="302"/>
        <item x="694"/>
        <item x="498"/>
        <item x="638"/>
        <item x="387"/>
        <item x="506"/>
        <item x="260"/>
        <item x="471"/>
        <item x="925"/>
        <item x="317"/>
        <item x="35"/>
        <item x="551"/>
        <item x="371"/>
        <item x="508"/>
        <item x="838"/>
        <item x="781"/>
        <item x="630"/>
        <item x="225"/>
        <item x="295"/>
        <item x="102"/>
        <item x="352"/>
        <item x="167"/>
        <item x="4"/>
        <item x="79"/>
        <item x="902"/>
        <item x="146"/>
        <item x="473"/>
        <item x="513"/>
        <item x="481"/>
        <item x="682"/>
        <item x="120"/>
        <item x="234"/>
        <item x="910"/>
        <item x="862"/>
        <item x="194"/>
        <item x="581"/>
        <item x="354"/>
        <item x="803"/>
        <item x="739"/>
        <item x="187"/>
        <item x="887"/>
        <item x="763"/>
        <item x="375"/>
        <item x="378"/>
        <item x="119"/>
        <item x="437"/>
        <item x="913"/>
        <item x="554"/>
        <item x="207"/>
        <item x="567"/>
        <item x="17"/>
        <item x="662"/>
        <item x="929"/>
        <item x="220"/>
        <item x="457"/>
        <item x="75"/>
        <item x="238"/>
        <item x="87"/>
        <item x="714"/>
        <item x="434"/>
        <item x="359"/>
        <item x="916"/>
        <item x="266"/>
        <item x="465"/>
        <item x="900"/>
        <item x="360"/>
        <item x="906"/>
        <item x="685"/>
        <item x="157"/>
        <item x="644"/>
        <item x="965"/>
        <item x="27"/>
        <item x="556"/>
        <item x="57"/>
        <item x="564"/>
        <item x="964"/>
        <item x="647"/>
        <item x="653"/>
        <item x="305"/>
        <item x="8"/>
        <item x="497"/>
        <item x="563"/>
        <item x="839"/>
        <item x="560"/>
        <item x="628"/>
        <item x="646"/>
        <item x="251"/>
        <item x="147"/>
        <item x="402"/>
        <item x="226"/>
        <item x="199"/>
        <item x="143"/>
        <item x="507"/>
        <item x="132"/>
        <item x="776"/>
        <item x="309"/>
        <item x="518"/>
        <item x="54"/>
        <item x="314"/>
        <item x="722"/>
        <item x="629"/>
        <item x="395"/>
        <item x="797"/>
        <item x="185"/>
        <item x="420"/>
        <item x="95"/>
        <item x="330"/>
        <item x="654"/>
        <item x="924"/>
        <item x="548"/>
        <item x="122"/>
        <item x="139"/>
        <item x="712"/>
        <item x="626"/>
        <item x="521"/>
        <item x="723"/>
        <item x="602"/>
        <item x="254"/>
        <item x="852"/>
        <item x="717"/>
        <item x="500"/>
        <item x="489"/>
        <item x="532"/>
        <item x="92"/>
        <item x="703"/>
        <item x="209"/>
        <item x="124"/>
        <item x="363"/>
        <item x="5"/>
        <item x="842"/>
        <item x="537"/>
        <item x="252"/>
        <item x="453"/>
        <item x="255"/>
        <item x="760"/>
        <item x="216"/>
        <item x="136"/>
        <item x="674"/>
        <item x="631"/>
        <item x="152"/>
        <item x="768"/>
        <item x="424"/>
        <item x="452"/>
        <item x="72"/>
        <item x="264"/>
        <item x="544"/>
        <item x="891"/>
        <item x="939"/>
        <item x="230"/>
        <item x="625"/>
        <item x="329"/>
        <item x="589"/>
        <item x="301"/>
        <item x="25"/>
        <item x="125"/>
        <item x="278"/>
        <item x="621"/>
        <item x="871"/>
        <item x="366"/>
        <item x="294"/>
        <item x="193"/>
        <item x="393"/>
        <item x="128"/>
        <item x="276"/>
        <item x="514"/>
        <item x="126"/>
        <item x="93"/>
        <item x="444"/>
        <item x="449"/>
        <item x="620"/>
        <item x="690"/>
        <item x="58"/>
        <item x="947"/>
        <item x="365"/>
        <item x="550"/>
        <item x="201"/>
        <item x="403"/>
        <item x="205"/>
        <item x="313"/>
        <item x="153"/>
        <item x="683"/>
        <item x="538"/>
        <item x="174"/>
        <item x="857"/>
        <item x="154"/>
        <item x="10"/>
        <item x="293"/>
        <item x="539"/>
        <item x="607"/>
        <item x="898"/>
        <item x="414"/>
        <item x="784"/>
        <item x="656"/>
        <item x="919"/>
        <item x="197"/>
        <item x="340"/>
        <item x="21"/>
        <item x="774"/>
        <item x="692"/>
        <item x="291"/>
        <item x="390"/>
        <item x="159"/>
        <item x="241"/>
        <item x="476"/>
        <item x="634"/>
        <item x="678"/>
        <item x="743"/>
        <item x="40"/>
        <item x="810"/>
        <item x="435"/>
        <item x="728"/>
        <item x="98"/>
        <item x="895"/>
        <item x="827"/>
        <item x="43"/>
        <item x="580"/>
        <item x="445"/>
        <item x="675"/>
        <item x="794"/>
        <item x="144"/>
        <item x="890"/>
        <item x="777"/>
        <item x="224"/>
        <item x="250"/>
        <item x="168"/>
        <item x="920"/>
        <item x="151"/>
        <item x="53"/>
        <item x="935"/>
        <item x="60"/>
        <item x="446"/>
        <item x="738"/>
        <item x="353"/>
        <item x="470"/>
        <item x="584"/>
        <item x="833"/>
        <item x="765"/>
        <item x="867"/>
        <item x="117"/>
        <item x="701"/>
        <item x="624"/>
        <item x="423"/>
        <item x="845"/>
        <item x="737"/>
        <item x="961"/>
        <item x="477"/>
        <item x="28"/>
        <item x="510"/>
        <item x="229"/>
        <item x="257"/>
        <item x="949"/>
        <item x="223"/>
        <item x="200"/>
        <item x="543"/>
        <item x="755"/>
        <item x="397"/>
        <item x="928"/>
        <item x="272"/>
        <item x="37"/>
        <item x="515"/>
        <item x="850"/>
        <item x="91"/>
        <item x="219"/>
        <item x="552"/>
        <item x="50"/>
        <item x="279"/>
        <item x="572"/>
        <item x="587"/>
        <item x="800"/>
        <item x="370"/>
        <item x="82"/>
        <item x="879"/>
        <item x="615"/>
        <item x="830"/>
        <item x="720"/>
        <item x="133"/>
        <item x="421"/>
        <item x="633"/>
        <item x="394"/>
        <item x="195"/>
        <item x="427"/>
        <item x="22"/>
        <item x="847"/>
        <item x="163"/>
        <item x="695"/>
        <item x="672"/>
        <item x="555"/>
        <item x="711"/>
        <item x="175"/>
        <item x="13"/>
        <item x="90"/>
        <item x="282"/>
        <item x="635"/>
        <item x="296"/>
        <item x="155"/>
        <item x="12"/>
        <item x="101"/>
        <item x="109"/>
        <item x="899"/>
        <item x="422"/>
        <item x="440"/>
        <item x="954"/>
        <item x="181"/>
        <item x="308"/>
        <item x="358"/>
        <item x="496"/>
        <item x="869"/>
        <item x="416"/>
        <item x="593"/>
        <item x="44"/>
        <item x="15"/>
        <item x="735"/>
        <item x="494"/>
        <item x="418"/>
        <item x="594"/>
        <item x="180"/>
        <item x="780"/>
        <item x="812"/>
        <item x="285"/>
        <item x="788"/>
        <item x="882"/>
        <item x="31"/>
        <item x="469"/>
        <item x="495"/>
        <item x="388"/>
        <item x="69"/>
        <item x="116"/>
        <item x="886"/>
        <item x="955"/>
        <item x="59"/>
        <item x="381"/>
        <item x="356"/>
        <item x="671"/>
        <item x="585"/>
        <item x="374"/>
        <item x="222"/>
        <item x="7"/>
        <item x="528"/>
        <item x="321"/>
        <item x="247"/>
        <item x="750"/>
        <item x="577"/>
        <item x="856"/>
        <item x="534"/>
        <item x="212"/>
        <item x="48"/>
        <item x="462"/>
        <item x="813"/>
        <item x="336"/>
        <item x="426"/>
        <item x="793"/>
        <item x="808"/>
        <item x="391"/>
        <item x="149"/>
        <item x="809"/>
        <item x="729"/>
        <item x="343"/>
        <item x="398"/>
        <item x="431"/>
        <item x="355"/>
        <item x="324"/>
        <item x="135"/>
        <item x="88"/>
        <item x="410"/>
        <item x="142"/>
        <item x="689"/>
        <item x="361"/>
        <item x="158"/>
        <item x="789"/>
        <item x="901"/>
        <item x="826"/>
        <item x="790"/>
        <item x="186"/>
        <item x="896"/>
        <item x="342"/>
        <item x="148"/>
        <item x="288"/>
        <item x="289"/>
        <item x="570"/>
        <item x="253"/>
        <item x="192"/>
        <item x="734"/>
        <item x="741"/>
        <item x="83"/>
        <item x="377"/>
        <item x="858"/>
        <item x="861"/>
        <item x="512"/>
        <item x="742"/>
        <item x="921"/>
        <item x="658"/>
        <item x="68"/>
        <item x="642"/>
        <item x="923"/>
        <item x="380"/>
        <item x="799"/>
        <item x="754"/>
        <item x="617"/>
        <item x="549"/>
        <item x="622"/>
        <item x="190"/>
        <item x="603"/>
        <item x="441"/>
        <item x="327"/>
        <item x="576"/>
        <item x="335"/>
        <item x="304"/>
        <item x="245"/>
        <item x="875"/>
        <item x="873"/>
        <item x="849"/>
        <item x="782"/>
        <item x="814"/>
        <item x="259"/>
        <item x="165"/>
        <item x="767"/>
        <item x="613"/>
        <item x="859"/>
        <item x="334"/>
        <item x="344"/>
        <item x="840"/>
        <item x="283"/>
        <item x="196"/>
        <item x="846"/>
        <item x="943"/>
        <item x="713"/>
        <item x="648"/>
        <item x="951"/>
        <item x="170"/>
        <item x="447"/>
        <item x="479"/>
        <item x="1"/>
        <item x="586"/>
        <item x="540"/>
        <item x="74"/>
        <item x="676"/>
        <item x="680"/>
        <item x="107"/>
        <item x="727"/>
        <item x="162"/>
        <item x="519"/>
        <item x="287"/>
        <item x="249"/>
        <item x="52"/>
        <item x="173"/>
        <item x="918"/>
        <item x="786"/>
        <item x="926"/>
        <item x="831"/>
        <item x="262"/>
        <item x="32"/>
        <item x="211"/>
        <item x="783"/>
        <item x="645"/>
        <item x="134"/>
        <item x="614"/>
        <item x="843"/>
        <item x="46"/>
        <item x="81"/>
        <item x="807"/>
        <item x="677"/>
        <item x="115"/>
        <item x="161"/>
        <item x="764"/>
        <item x="841"/>
        <item x="504"/>
        <item x="210"/>
        <item x="214"/>
        <item x="930"/>
        <item x="145"/>
        <item x="787"/>
        <item x="792"/>
        <item x="855"/>
        <item x="45"/>
        <item x="663"/>
        <item x="364"/>
        <item x="11"/>
        <item x="652"/>
        <item x="523"/>
        <item x="113"/>
        <item x="466"/>
        <item x="834"/>
        <item x="275"/>
        <item x="443"/>
        <item x="744"/>
        <item x="39"/>
        <item x="65"/>
        <item x="779"/>
        <item x="558"/>
        <item x="687"/>
        <item x="270"/>
        <item x="401"/>
        <item x="747"/>
        <item x="182"/>
        <item x="208"/>
        <item x="33"/>
        <item x="130"/>
        <item x="331"/>
        <item x="940"/>
        <item x="649"/>
        <item x="240"/>
        <item x="844"/>
        <item x="64"/>
        <item x="236"/>
        <item x="239"/>
        <item x="9"/>
        <item x="893"/>
        <item x="817"/>
        <item x="328"/>
        <item x="762"/>
        <item x="274"/>
        <item x="176"/>
        <item x="409"/>
        <item x="637"/>
        <item x="412"/>
        <item x="863"/>
        <item x="927"/>
        <item x="579"/>
        <item x="525"/>
        <item x="627"/>
        <item x="76"/>
        <item x="892"/>
        <item x="611"/>
        <item x="796"/>
        <item x="606"/>
        <item x="948"/>
        <item x="660"/>
        <item x="936"/>
        <item x="578"/>
        <item x="917"/>
        <item x="318"/>
        <item x="345"/>
        <item x="835"/>
        <item x="474"/>
        <item x="429"/>
        <item x="889"/>
        <item x="705"/>
        <item x="320"/>
        <item x="802"/>
        <item x="643"/>
        <item x="819"/>
        <item x="150"/>
        <item x="256"/>
        <item x="286"/>
        <item x="430"/>
        <item x="183"/>
        <item x="459"/>
        <item x="533"/>
        <item x="458"/>
        <item x="228"/>
        <item x="785"/>
        <item x="312"/>
        <item x="218"/>
        <item x="491"/>
        <item x="938"/>
        <item x="670"/>
        <item x="55"/>
        <item x="319"/>
        <item x="20"/>
        <item x="707"/>
        <item x="137"/>
        <item x="86"/>
        <item x="704"/>
        <item x="18"/>
        <item x="179"/>
        <item x="828"/>
        <item x="94"/>
        <item x="914"/>
        <item x="169"/>
        <item x="706"/>
        <item x="362"/>
        <item x="655"/>
        <item x="932"/>
        <item x="854"/>
        <item x="878"/>
        <item x="657"/>
        <item x="351"/>
        <item x="561"/>
        <item x="67"/>
        <item x="104"/>
        <item x="749"/>
        <item x="618"/>
        <item x="405"/>
        <item x="746"/>
        <item x="188"/>
        <item x="493"/>
        <item x="127"/>
        <item x="482"/>
        <item x="885"/>
        <item x="960"/>
        <item x="232"/>
        <item x="300"/>
        <item x="438"/>
        <item x="612"/>
        <item x="237"/>
        <item x="894"/>
        <item x="367"/>
        <item x="70"/>
        <item x="623"/>
        <item x="815"/>
        <item x="775"/>
        <item x="732"/>
        <item x="865"/>
        <item x="922"/>
        <item x="292"/>
        <item x="880"/>
        <item x="837"/>
        <item x="372"/>
        <item x="382"/>
        <item x="244"/>
        <item x="897"/>
        <item x="600"/>
        <item x="448"/>
        <item x="455"/>
        <item x="731"/>
        <item x="950"/>
        <item x="958"/>
        <item x="166"/>
        <item x="29"/>
        <item x="6"/>
        <item x="608"/>
        <item x="138"/>
        <item x="306"/>
        <item x="73"/>
        <item x="697"/>
        <item x="310"/>
        <item x="953"/>
        <item x="231"/>
        <item x="357"/>
        <item x="97"/>
        <item x="206"/>
        <item x="100"/>
        <item x="610"/>
        <item x="748"/>
        <item x="433"/>
        <item x="573"/>
        <item x="751"/>
        <item x="659"/>
        <item x="769"/>
        <item x="702"/>
        <item x="708"/>
        <item x="436"/>
        <item x="118"/>
        <item x="30"/>
        <item x="825"/>
        <item x="23"/>
        <item x="369"/>
        <item x="350"/>
        <item x="721"/>
        <item x="322"/>
        <item x="811"/>
        <item x="400"/>
        <item x="770"/>
        <item x="524"/>
        <item x="640"/>
        <item x="535"/>
        <item x="171"/>
        <item x="709"/>
        <item x="772"/>
        <item x="404"/>
        <item x="715"/>
        <item x="326"/>
        <item x="290"/>
        <item x="605"/>
        <item x="140"/>
        <item x="667"/>
        <item x="761"/>
        <item x="303"/>
        <item x="511"/>
        <item x="131"/>
        <item x="103"/>
        <item x="740"/>
        <item x="853"/>
        <item x="604"/>
        <item x="945"/>
        <item x="666"/>
        <item x="952"/>
        <item x="759"/>
        <item x="591"/>
        <item x="233"/>
        <item x="795"/>
        <item x="818"/>
        <item x="114"/>
        <item x="307"/>
        <item x="574"/>
        <item x="16"/>
        <item x="546"/>
        <item x="664"/>
        <item x="246"/>
        <item x="619"/>
        <item x="407"/>
        <item x="710"/>
        <item x="3"/>
        <item x="700"/>
        <item x="877"/>
        <item x="71"/>
        <item x="483"/>
        <item x="202"/>
        <item x="559"/>
        <item x="299"/>
        <item x="284"/>
        <item x="884"/>
        <item x="848"/>
        <item x="529"/>
        <item x="632"/>
        <item x="456"/>
        <item x="598"/>
        <item x="650"/>
        <item x="946"/>
        <item x="851"/>
        <item x="61"/>
        <item x="804"/>
        <item x="553"/>
        <item x="99"/>
        <item x="89"/>
        <item x="480"/>
        <item x="912"/>
        <item x="956"/>
        <item x="816"/>
        <item x="791"/>
        <item x="280"/>
        <item x="425"/>
        <item x="730"/>
        <item x="698"/>
        <item x="265"/>
        <item x="408"/>
        <item x="333"/>
        <item x="411"/>
        <item x="876"/>
        <item x="339"/>
        <item x="106"/>
        <item x="217"/>
        <item x="679"/>
        <item x="557"/>
        <item x="248"/>
        <item x="406"/>
        <item x="191"/>
        <item x="824"/>
        <item x="243"/>
        <item x="756"/>
        <item x="888"/>
        <item x="725"/>
        <item x="823"/>
        <item x="684"/>
        <item x="463"/>
        <item x="269"/>
        <item x="778"/>
        <item x="277"/>
        <item x="215"/>
        <item x="316"/>
        <item x="688"/>
        <item x="641"/>
        <item x="691"/>
        <item x="41"/>
        <item x="719"/>
        <item x="399"/>
        <item x="941"/>
        <item x="909"/>
        <item x="832"/>
        <item x="84"/>
        <item x="931"/>
        <item x="505"/>
        <item x="868"/>
        <item x="439"/>
        <item x="24"/>
        <item x="376"/>
        <item x="467"/>
        <item x="129"/>
        <item x="105"/>
        <item x="499"/>
        <item x="569"/>
        <item x="681"/>
        <item x="536"/>
        <item x="547"/>
        <item x="520"/>
        <item x="959"/>
        <item x="736"/>
        <item x="530"/>
        <item x="442"/>
        <item x="716"/>
        <item x="733"/>
        <item x="177"/>
        <item x="338"/>
        <item x="325"/>
        <item x="341"/>
        <item x="597"/>
        <item x="599"/>
        <item x="517"/>
        <item x="616"/>
        <item x="315"/>
        <item x="583"/>
        <item x="696"/>
        <item x="758"/>
        <item x="156"/>
        <item x="178"/>
        <item x="821"/>
        <item x="502"/>
        <item x="726"/>
        <item x="516"/>
        <item x="798"/>
        <item x="392"/>
        <item x="62"/>
        <item x="461"/>
        <item x="668"/>
        <item x="874"/>
        <item x="509"/>
        <item x="66"/>
        <item x="221"/>
        <item x="904"/>
        <item x="96"/>
        <item x="464"/>
        <item x="636"/>
        <item x="757"/>
        <item x="108"/>
        <item x="121"/>
        <item x="413"/>
        <item x="805"/>
        <item x="905"/>
        <item x="582"/>
        <item x="595"/>
        <item x="468"/>
        <item x="268"/>
        <item x="903"/>
        <item x="110"/>
        <item x="771"/>
        <item x="227"/>
        <item x="472"/>
        <item x="258"/>
        <item x="963"/>
        <item x="42"/>
        <item x="766"/>
        <item x="486"/>
        <item x="718"/>
        <item x="323"/>
        <item x="962"/>
        <item x="77"/>
        <item x="822"/>
        <item x="184"/>
        <item x="753"/>
        <item x="531"/>
        <item x="661"/>
        <item x="883"/>
        <item x="565"/>
        <item x="47"/>
        <item x="454"/>
        <item x="526"/>
        <item x="651"/>
        <item x="389"/>
        <item x="189"/>
        <item x="19"/>
        <item x="609"/>
        <item x="14"/>
        <item x="379"/>
        <item x="415"/>
        <item x="911"/>
        <item x="699"/>
        <item x="484"/>
        <item x="428"/>
        <item x="203"/>
        <item x="383"/>
        <item x="273"/>
        <item x="820"/>
        <item x="141"/>
        <item x="451"/>
        <item x="575"/>
        <item x="36"/>
        <item x="204"/>
        <item x="966"/>
        <item x="669"/>
        <item x="527"/>
        <item x="419"/>
        <item x="38"/>
        <item x="263"/>
        <item x="915"/>
        <item x="242"/>
        <item x="235"/>
        <item x="908"/>
        <item x="829"/>
        <item x="385"/>
        <item x="933"/>
        <item x="281"/>
        <item x="26"/>
        <item x="501"/>
        <item x="866"/>
        <item x="541"/>
        <item x="460"/>
        <item x="78"/>
        <item x="944"/>
        <item x="545"/>
        <item x="298"/>
        <item x="450"/>
        <item x="368"/>
        <item x="111"/>
        <item x="801"/>
        <item x="373"/>
        <item x="337"/>
        <item x="492"/>
        <item x="588"/>
        <item x="673"/>
        <item x="271"/>
        <item x="417"/>
        <item x="311"/>
        <item x="0"/>
        <item x="590"/>
        <item x="332"/>
        <item x="478"/>
        <item x="386"/>
        <item x="49"/>
        <item x="213"/>
        <item x="51"/>
        <item x="396"/>
        <item x="596"/>
        <item x="665"/>
        <item x="934"/>
        <item x="164"/>
        <item x="12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measureFilter="1">
      <items count="12">
        <item x="8"/>
        <item x="1"/>
        <item x="10"/>
        <item x="7"/>
        <item x="9"/>
        <item x="4"/>
        <item x="0"/>
        <item x="5"/>
        <item x="6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measureFilter="1">
      <items count="10">
        <item x="3"/>
        <item x="5"/>
        <item x="6"/>
        <item x="2"/>
        <item x="0"/>
        <item x="1"/>
        <item x="4"/>
        <item x="7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measureFilter="1">
      <items count="12">
        <item x="9"/>
        <item x="8"/>
        <item x="10"/>
        <item x="1"/>
        <item x="5"/>
        <item x="4"/>
        <item x="0"/>
        <item x="6"/>
        <item x="3"/>
        <item x="2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8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8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7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1">
    <i>
      <x v="5"/>
    </i>
  </rowItems>
  <colItems count="1">
    <i/>
  </colItems>
  <dataFields count="1">
    <dataField name="  Profit" fld="16" baseField="0" baseItem="0" numFmtId="167"/>
  </dataFields>
  <formats count="2">
    <format dxfId="53">
      <pivotArea field="7" type="button" dataOnly="0" labelOnly="1" outline="0" axis="axisRow" fieldPosition="0"/>
    </format>
    <format dxfId="52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4">
    <filter fld="10" type="count" evalOrder="-1" id="1" iMeasureFld="0">
      <autoFilter ref="A1">
        <filterColumn colId="0">
          <top10 val="1" filterVal="1"/>
        </filterColumn>
      </autoFilter>
    </filter>
    <filter fld="2" type="count" evalOrder="-1" id="2" iMeasureFld="0">
      <autoFilter ref="A1">
        <filterColumn colId="0">
          <top10 val="1" filterVal="1"/>
        </filterColumn>
      </autoFilter>
    </filter>
    <filter fld="1" type="count" evalOrder="-1" id="3" iMeasureFld="0">
      <autoFilter ref="A1">
        <filterColumn colId="0">
          <top10 val="1" filterVal="1"/>
        </filterColumn>
      </autoFilter>
    </filter>
    <filter fld="7" type="count" evalOrder="-1" id="4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97176-BACD-41D3-BE77-DD007A9C16C7}" name="PivotTable1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N19:O30" firstHeaderRow="1" firstDataRow="1" firstDataCol="1"/>
  <pivotFields count="21">
    <pivotField compact="0" numFmtId="165" outline="0" showAll="0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compact="0" outline="0" showAll="0"/>
    <pivotField axis="axisRow" compact="0" outline="0" showAll="0">
      <items count="12">
        <item x="8"/>
        <item x="1"/>
        <item x="10"/>
        <item x="7"/>
        <item x="9"/>
        <item x="4"/>
        <item x="0"/>
        <item x="5"/>
        <item x="6"/>
        <item x="2"/>
        <item x="3"/>
        <item t="default"/>
      </items>
    </pivotField>
    <pivotField compact="0" outline="0" showAll="0"/>
    <pivotField compact="0" outline="0" showAll="0">
      <items count="5">
        <item x="1"/>
        <item x="2"/>
        <item x="0"/>
        <item x="3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numFmtId="168" outline="0" showAll="0"/>
    <pivotField compact="0" numFmtId="168" outline="0" showAll="0"/>
    <pivotField compact="0" outline="0" showAll="0"/>
    <pivotField compact="0" numFmtId="167" outline="0" showAll="0"/>
    <pivotField dataField="1" compact="0" numFmtId="167" outline="0" showAll="0"/>
    <pivotField compact="0" numFmtId="167" outline="0" showAll="0"/>
    <pivotField compact="0" numFmtId="169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    Revenue" fld="15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88D1E-629E-4557-A553-5968652ED162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11:J12" firstHeaderRow="1" firstDataRow="1" firstDataCol="1"/>
  <pivotFields count="21">
    <pivotField compact="0" numFmtId="165" outline="0" subtotalTop="0" showAll="0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measureFilter="1">
      <items count="968">
        <item x="571"/>
        <item x="752"/>
        <item x="693"/>
        <item x="56"/>
        <item x="490"/>
        <item x="172"/>
        <item x="160"/>
        <item x="487"/>
        <item x="836"/>
        <item x="773"/>
        <item x="724"/>
        <item x="488"/>
        <item x="566"/>
        <item x="942"/>
        <item x="34"/>
        <item x="2"/>
        <item x="198"/>
        <item x="907"/>
        <item x="542"/>
        <item x="261"/>
        <item x="346"/>
        <item x="112"/>
        <item x="806"/>
        <item x="485"/>
        <item x="503"/>
        <item x="870"/>
        <item x="860"/>
        <item x="80"/>
        <item x="639"/>
        <item x="864"/>
        <item x="384"/>
        <item x="957"/>
        <item x="85"/>
        <item x="349"/>
        <item x="432"/>
        <item x="348"/>
        <item x="63"/>
        <item x="601"/>
        <item x="347"/>
        <item x="568"/>
        <item x="562"/>
        <item x="745"/>
        <item x="522"/>
        <item x="872"/>
        <item x="881"/>
        <item x="686"/>
        <item x="592"/>
        <item x="267"/>
        <item x="297"/>
        <item x="937"/>
        <item x="475"/>
        <item x="302"/>
        <item x="694"/>
        <item x="498"/>
        <item x="638"/>
        <item x="387"/>
        <item x="506"/>
        <item x="260"/>
        <item x="471"/>
        <item x="925"/>
        <item x="317"/>
        <item x="35"/>
        <item x="551"/>
        <item x="371"/>
        <item x="508"/>
        <item x="838"/>
        <item x="781"/>
        <item x="630"/>
        <item x="225"/>
        <item x="295"/>
        <item x="102"/>
        <item x="352"/>
        <item x="167"/>
        <item x="4"/>
        <item x="79"/>
        <item x="902"/>
        <item x="146"/>
        <item x="473"/>
        <item x="513"/>
        <item x="481"/>
        <item x="682"/>
        <item x="120"/>
        <item x="234"/>
        <item x="910"/>
        <item x="862"/>
        <item x="194"/>
        <item x="581"/>
        <item x="354"/>
        <item x="803"/>
        <item x="739"/>
        <item x="187"/>
        <item x="887"/>
        <item x="763"/>
        <item x="375"/>
        <item x="378"/>
        <item x="119"/>
        <item x="437"/>
        <item x="913"/>
        <item x="554"/>
        <item x="207"/>
        <item x="567"/>
        <item x="17"/>
        <item x="662"/>
        <item x="929"/>
        <item x="220"/>
        <item x="457"/>
        <item x="75"/>
        <item x="238"/>
        <item x="87"/>
        <item x="714"/>
        <item x="434"/>
        <item x="359"/>
        <item x="916"/>
        <item x="266"/>
        <item x="465"/>
        <item x="900"/>
        <item x="360"/>
        <item x="906"/>
        <item x="685"/>
        <item x="157"/>
        <item x="644"/>
        <item x="965"/>
        <item x="27"/>
        <item x="556"/>
        <item x="57"/>
        <item x="564"/>
        <item x="964"/>
        <item x="647"/>
        <item x="653"/>
        <item x="305"/>
        <item x="8"/>
        <item x="497"/>
        <item x="563"/>
        <item x="839"/>
        <item x="560"/>
        <item x="628"/>
        <item x="646"/>
        <item x="251"/>
        <item x="147"/>
        <item x="402"/>
        <item x="226"/>
        <item x="199"/>
        <item x="143"/>
        <item x="507"/>
        <item x="132"/>
        <item x="776"/>
        <item x="309"/>
        <item x="518"/>
        <item x="54"/>
        <item x="314"/>
        <item x="722"/>
        <item x="629"/>
        <item x="395"/>
        <item x="797"/>
        <item x="185"/>
        <item x="420"/>
        <item x="95"/>
        <item x="330"/>
        <item x="654"/>
        <item x="924"/>
        <item x="548"/>
        <item x="122"/>
        <item x="139"/>
        <item x="712"/>
        <item x="626"/>
        <item x="521"/>
        <item x="723"/>
        <item x="602"/>
        <item x="254"/>
        <item x="852"/>
        <item x="717"/>
        <item x="500"/>
        <item x="489"/>
        <item x="532"/>
        <item x="92"/>
        <item x="703"/>
        <item x="209"/>
        <item x="124"/>
        <item x="363"/>
        <item x="5"/>
        <item x="842"/>
        <item x="537"/>
        <item x="252"/>
        <item x="453"/>
        <item x="255"/>
        <item x="760"/>
        <item x="216"/>
        <item x="136"/>
        <item x="674"/>
        <item x="631"/>
        <item x="152"/>
        <item x="768"/>
        <item x="424"/>
        <item x="452"/>
        <item x="72"/>
        <item x="264"/>
        <item x="544"/>
        <item x="891"/>
        <item x="939"/>
        <item x="230"/>
        <item x="625"/>
        <item x="329"/>
        <item x="589"/>
        <item x="301"/>
        <item x="25"/>
        <item x="125"/>
        <item x="278"/>
        <item x="621"/>
        <item x="871"/>
        <item x="366"/>
        <item x="294"/>
        <item x="193"/>
        <item x="393"/>
        <item x="128"/>
        <item x="276"/>
        <item x="514"/>
        <item x="126"/>
        <item x="93"/>
        <item x="444"/>
        <item x="449"/>
        <item x="620"/>
        <item x="690"/>
        <item x="58"/>
        <item x="947"/>
        <item x="365"/>
        <item x="550"/>
        <item x="201"/>
        <item x="403"/>
        <item x="205"/>
        <item x="313"/>
        <item x="153"/>
        <item x="683"/>
        <item x="538"/>
        <item x="174"/>
        <item x="857"/>
        <item x="154"/>
        <item x="10"/>
        <item x="293"/>
        <item x="539"/>
        <item x="607"/>
        <item x="898"/>
        <item x="414"/>
        <item x="784"/>
        <item x="656"/>
        <item x="919"/>
        <item x="197"/>
        <item x="340"/>
        <item x="21"/>
        <item x="774"/>
        <item x="692"/>
        <item x="291"/>
        <item x="390"/>
        <item x="159"/>
        <item x="241"/>
        <item x="476"/>
        <item x="634"/>
        <item x="678"/>
        <item x="743"/>
        <item x="40"/>
        <item x="810"/>
        <item x="435"/>
        <item x="728"/>
        <item x="98"/>
        <item x="895"/>
        <item x="827"/>
        <item x="43"/>
        <item x="580"/>
        <item x="445"/>
        <item x="675"/>
        <item x="794"/>
        <item x="144"/>
        <item x="890"/>
        <item x="777"/>
        <item x="224"/>
        <item x="250"/>
        <item x="168"/>
        <item x="920"/>
        <item x="151"/>
        <item x="53"/>
        <item x="935"/>
        <item x="60"/>
        <item x="446"/>
        <item x="738"/>
        <item x="353"/>
        <item x="470"/>
        <item x="584"/>
        <item x="833"/>
        <item x="765"/>
        <item x="867"/>
        <item x="117"/>
        <item x="701"/>
        <item x="624"/>
        <item x="423"/>
        <item x="845"/>
        <item x="737"/>
        <item x="961"/>
        <item x="477"/>
        <item x="28"/>
        <item x="510"/>
        <item x="229"/>
        <item x="257"/>
        <item x="949"/>
        <item x="223"/>
        <item x="200"/>
        <item x="543"/>
        <item x="755"/>
        <item x="397"/>
        <item x="928"/>
        <item x="272"/>
        <item x="37"/>
        <item x="515"/>
        <item x="850"/>
        <item x="91"/>
        <item x="219"/>
        <item x="552"/>
        <item x="50"/>
        <item x="279"/>
        <item x="572"/>
        <item x="587"/>
        <item x="800"/>
        <item x="370"/>
        <item x="82"/>
        <item x="879"/>
        <item x="615"/>
        <item x="830"/>
        <item x="720"/>
        <item x="133"/>
        <item x="421"/>
        <item x="633"/>
        <item x="394"/>
        <item x="195"/>
        <item x="427"/>
        <item x="22"/>
        <item x="847"/>
        <item x="163"/>
        <item x="695"/>
        <item x="672"/>
        <item x="555"/>
        <item x="711"/>
        <item x="175"/>
        <item x="13"/>
        <item x="90"/>
        <item x="282"/>
        <item x="635"/>
        <item x="296"/>
        <item x="155"/>
        <item x="12"/>
        <item x="101"/>
        <item x="109"/>
        <item x="899"/>
        <item x="422"/>
        <item x="440"/>
        <item x="954"/>
        <item x="181"/>
        <item x="308"/>
        <item x="358"/>
        <item x="496"/>
        <item x="869"/>
        <item x="416"/>
        <item x="593"/>
        <item x="44"/>
        <item x="15"/>
        <item x="735"/>
        <item x="494"/>
        <item x="418"/>
        <item x="594"/>
        <item x="180"/>
        <item x="780"/>
        <item x="812"/>
        <item x="285"/>
        <item x="788"/>
        <item x="882"/>
        <item x="31"/>
        <item x="469"/>
        <item x="495"/>
        <item x="388"/>
        <item x="69"/>
        <item x="116"/>
        <item x="886"/>
        <item x="955"/>
        <item x="59"/>
        <item x="381"/>
        <item x="356"/>
        <item x="671"/>
        <item x="585"/>
        <item x="374"/>
        <item x="222"/>
        <item x="7"/>
        <item x="528"/>
        <item x="321"/>
        <item x="247"/>
        <item x="750"/>
        <item x="577"/>
        <item x="856"/>
        <item x="534"/>
        <item x="212"/>
        <item x="48"/>
        <item x="462"/>
        <item x="813"/>
        <item x="336"/>
        <item x="426"/>
        <item x="793"/>
        <item x="808"/>
        <item x="391"/>
        <item x="149"/>
        <item x="809"/>
        <item x="729"/>
        <item x="343"/>
        <item x="398"/>
        <item x="431"/>
        <item x="355"/>
        <item x="324"/>
        <item x="135"/>
        <item x="88"/>
        <item x="410"/>
        <item x="142"/>
        <item x="689"/>
        <item x="361"/>
        <item x="158"/>
        <item x="789"/>
        <item x="901"/>
        <item x="826"/>
        <item x="790"/>
        <item x="186"/>
        <item x="896"/>
        <item x="342"/>
        <item x="148"/>
        <item x="288"/>
        <item x="289"/>
        <item x="570"/>
        <item x="253"/>
        <item x="192"/>
        <item x="734"/>
        <item x="741"/>
        <item x="83"/>
        <item x="377"/>
        <item x="858"/>
        <item x="861"/>
        <item x="512"/>
        <item x="742"/>
        <item x="921"/>
        <item x="658"/>
        <item x="68"/>
        <item x="642"/>
        <item x="923"/>
        <item x="380"/>
        <item x="799"/>
        <item x="754"/>
        <item x="617"/>
        <item x="549"/>
        <item x="622"/>
        <item x="190"/>
        <item x="603"/>
        <item x="441"/>
        <item x="327"/>
        <item x="576"/>
        <item x="335"/>
        <item x="304"/>
        <item x="245"/>
        <item x="875"/>
        <item x="873"/>
        <item x="849"/>
        <item x="782"/>
        <item x="814"/>
        <item x="259"/>
        <item x="165"/>
        <item x="767"/>
        <item x="613"/>
        <item x="859"/>
        <item x="334"/>
        <item x="344"/>
        <item x="840"/>
        <item x="283"/>
        <item x="196"/>
        <item x="846"/>
        <item x="943"/>
        <item x="713"/>
        <item x="648"/>
        <item x="951"/>
        <item x="170"/>
        <item x="447"/>
        <item x="479"/>
        <item x="1"/>
        <item x="586"/>
        <item x="540"/>
        <item x="74"/>
        <item x="676"/>
        <item x="680"/>
        <item x="107"/>
        <item x="727"/>
        <item x="162"/>
        <item x="519"/>
        <item x="287"/>
        <item x="249"/>
        <item x="52"/>
        <item x="173"/>
        <item x="918"/>
        <item x="786"/>
        <item x="926"/>
        <item x="831"/>
        <item x="262"/>
        <item x="32"/>
        <item x="211"/>
        <item x="783"/>
        <item x="645"/>
        <item x="134"/>
        <item x="614"/>
        <item x="843"/>
        <item x="46"/>
        <item x="81"/>
        <item x="807"/>
        <item x="677"/>
        <item x="115"/>
        <item x="161"/>
        <item x="764"/>
        <item x="841"/>
        <item x="504"/>
        <item x="210"/>
        <item x="214"/>
        <item x="930"/>
        <item x="145"/>
        <item x="787"/>
        <item x="792"/>
        <item x="855"/>
        <item x="45"/>
        <item x="663"/>
        <item x="364"/>
        <item x="11"/>
        <item x="652"/>
        <item x="523"/>
        <item x="113"/>
        <item x="466"/>
        <item x="834"/>
        <item x="275"/>
        <item x="443"/>
        <item x="744"/>
        <item x="39"/>
        <item x="65"/>
        <item x="779"/>
        <item x="558"/>
        <item x="687"/>
        <item x="270"/>
        <item x="401"/>
        <item x="747"/>
        <item x="182"/>
        <item x="208"/>
        <item x="33"/>
        <item x="130"/>
        <item x="331"/>
        <item x="940"/>
        <item x="649"/>
        <item x="240"/>
        <item x="844"/>
        <item x="64"/>
        <item x="236"/>
        <item x="239"/>
        <item x="9"/>
        <item x="893"/>
        <item x="817"/>
        <item x="328"/>
        <item x="762"/>
        <item x="274"/>
        <item x="176"/>
        <item x="409"/>
        <item x="637"/>
        <item x="412"/>
        <item x="863"/>
        <item x="927"/>
        <item x="579"/>
        <item x="525"/>
        <item x="627"/>
        <item x="76"/>
        <item x="892"/>
        <item x="611"/>
        <item x="796"/>
        <item x="606"/>
        <item x="948"/>
        <item x="660"/>
        <item x="936"/>
        <item x="578"/>
        <item x="917"/>
        <item x="318"/>
        <item x="345"/>
        <item x="835"/>
        <item x="474"/>
        <item x="429"/>
        <item x="889"/>
        <item x="705"/>
        <item x="320"/>
        <item x="802"/>
        <item x="643"/>
        <item x="819"/>
        <item x="150"/>
        <item x="256"/>
        <item x="286"/>
        <item x="430"/>
        <item x="183"/>
        <item x="459"/>
        <item x="533"/>
        <item x="458"/>
        <item x="228"/>
        <item x="785"/>
        <item x="312"/>
        <item x="218"/>
        <item x="491"/>
        <item x="938"/>
        <item x="670"/>
        <item x="55"/>
        <item x="319"/>
        <item x="20"/>
        <item x="707"/>
        <item x="137"/>
        <item x="86"/>
        <item x="704"/>
        <item x="18"/>
        <item x="179"/>
        <item x="828"/>
        <item x="94"/>
        <item x="914"/>
        <item x="169"/>
        <item x="706"/>
        <item x="362"/>
        <item x="655"/>
        <item x="932"/>
        <item x="854"/>
        <item x="878"/>
        <item x="657"/>
        <item x="351"/>
        <item x="561"/>
        <item x="67"/>
        <item x="104"/>
        <item x="749"/>
        <item x="618"/>
        <item x="405"/>
        <item x="746"/>
        <item x="188"/>
        <item x="493"/>
        <item x="127"/>
        <item x="482"/>
        <item x="885"/>
        <item x="960"/>
        <item x="232"/>
        <item x="300"/>
        <item x="438"/>
        <item x="612"/>
        <item x="237"/>
        <item x="894"/>
        <item x="367"/>
        <item x="70"/>
        <item x="623"/>
        <item x="815"/>
        <item x="775"/>
        <item x="732"/>
        <item x="865"/>
        <item x="922"/>
        <item x="292"/>
        <item x="880"/>
        <item x="837"/>
        <item x="372"/>
        <item x="382"/>
        <item x="244"/>
        <item x="897"/>
        <item x="600"/>
        <item x="448"/>
        <item x="455"/>
        <item x="731"/>
        <item x="950"/>
        <item x="958"/>
        <item x="166"/>
        <item x="29"/>
        <item x="6"/>
        <item x="608"/>
        <item x="138"/>
        <item x="306"/>
        <item x="73"/>
        <item x="697"/>
        <item x="310"/>
        <item x="953"/>
        <item x="231"/>
        <item x="357"/>
        <item x="97"/>
        <item x="206"/>
        <item x="100"/>
        <item x="610"/>
        <item x="748"/>
        <item x="433"/>
        <item x="573"/>
        <item x="751"/>
        <item x="659"/>
        <item x="769"/>
        <item x="702"/>
        <item x="708"/>
        <item x="436"/>
        <item x="118"/>
        <item x="30"/>
        <item x="825"/>
        <item x="23"/>
        <item x="369"/>
        <item x="350"/>
        <item x="721"/>
        <item x="322"/>
        <item x="811"/>
        <item x="400"/>
        <item x="770"/>
        <item x="524"/>
        <item x="640"/>
        <item x="535"/>
        <item x="171"/>
        <item x="709"/>
        <item x="772"/>
        <item x="404"/>
        <item x="715"/>
        <item x="326"/>
        <item x="290"/>
        <item x="605"/>
        <item x="140"/>
        <item x="667"/>
        <item x="761"/>
        <item x="303"/>
        <item x="511"/>
        <item x="131"/>
        <item x="103"/>
        <item x="740"/>
        <item x="853"/>
        <item x="604"/>
        <item x="945"/>
        <item x="666"/>
        <item x="952"/>
        <item x="759"/>
        <item x="591"/>
        <item x="233"/>
        <item x="795"/>
        <item x="818"/>
        <item x="114"/>
        <item x="307"/>
        <item x="574"/>
        <item x="16"/>
        <item x="546"/>
        <item x="664"/>
        <item x="246"/>
        <item x="619"/>
        <item x="407"/>
        <item x="710"/>
        <item x="3"/>
        <item x="700"/>
        <item x="877"/>
        <item x="71"/>
        <item x="483"/>
        <item x="202"/>
        <item x="559"/>
        <item x="299"/>
        <item x="284"/>
        <item x="884"/>
        <item x="848"/>
        <item x="529"/>
        <item x="632"/>
        <item x="456"/>
        <item x="598"/>
        <item x="650"/>
        <item x="946"/>
        <item x="851"/>
        <item x="61"/>
        <item x="804"/>
        <item x="553"/>
        <item x="99"/>
        <item x="89"/>
        <item x="480"/>
        <item x="912"/>
        <item x="956"/>
        <item x="816"/>
        <item x="791"/>
        <item x="280"/>
        <item x="425"/>
        <item x="730"/>
        <item x="698"/>
        <item x="265"/>
        <item x="408"/>
        <item x="333"/>
        <item x="411"/>
        <item x="876"/>
        <item x="339"/>
        <item x="106"/>
        <item x="217"/>
        <item x="679"/>
        <item x="557"/>
        <item x="248"/>
        <item x="406"/>
        <item x="191"/>
        <item x="824"/>
        <item x="243"/>
        <item x="756"/>
        <item x="888"/>
        <item x="725"/>
        <item x="823"/>
        <item x="684"/>
        <item x="463"/>
        <item x="269"/>
        <item x="778"/>
        <item x="277"/>
        <item x="215"/>
        <item x="316"/>
        <item x="688"/>
        <item x="641"/>
        <item x="691"/>
        <item x="41"/>
        <item x="719"/>
        <item x="399"/>
        <item x="941"/>
        <item x="909"/>
        <item x="832"/>
        <item x="84"/>
        <item x="931"/>
        <item x="505"/>
        <item x="868"/>
        <item x="439"/>
        <item x="24"/>
        <item x="376"/>
        <item x="467"/>
        <item x="129"/>
        <item x="105"/>
        <item x="499"/>
        <item x="569"/>
        <item x="681"/>
        <item x="536"/>
        <item x="547"/>
        <item x="520"/>
        <item x="959"/>
        <item x="736"/>
        <item x="530"/>
        <item x="442"/>
        <item x="716"/>
        <item x="733"/>
        <item x="177"/>
        <item x="338"/>
        <item x="325"/>
        <item x="341"/>
        <item x="597"/>
        <item x="599"/>
        <item x="517"/>
        <item x="616"/>
        <item x="315"/>
        <item x="583"/>
        <item x="696"/>
        <item x="758"/>
        <item x="156"/>
        <item x="178"/>
        <item x="821"/>
        <item x="502"/>
        <item x="726"/>
        <item x="516"/>
        <item x="798"/>
        <item x="392"/>
        <item x="62"/>
        <item x="461"/>
        <item x="668"/>
        <item x="874"/>
        <item x="509"/>
        <item x="66"/>
        <item x="221"/>
        <item x="904"/>
        <item x="96"/>
        <item x="464"/>
        <item x="636"/>
        <item x="757"/>
        <item x="108"/>
        <item x="121"/>
        <item x="413"/>
        <item x="805"/>
        <item x="905"/>
        <item x="582"/>
        <item x="595"/>
        <item x="468"/>
        <item x="268"/>
        <item x="903"/>
        <item x="110"/>
        <item x="771"/>
        <item x="227"/>
        <item x="472"/>
        <item x="258"/>
        <item x="963"/>
        <item x="42"/>
        <item x="766"/>
        <item x="486"/>
        <item x="718"/>
        <item x="323"/>
        <item x="962"/>
        <item x="77"/>
        <item x="822"/>
        <item x="184"/>
        <item x="753"/>
        <item x="531"/>
        <item x="661"/>
        <item x="883"/>
        <item x="565"/>
        <item x="47"/>
        <item x="454"/>
        <item x="526"/>
        <item x="651"/>
        <item x="389"/>
        <item x="189"/>
        <item x="19"/>
        <item x="609"/>
        <item x="14"/>
        <item x="379"/>
        <item x="415"/>
        <item x="911"/>
        <item x="699"/>
        <item x="484"/>
        <item x="428"/>
        <item x="203"/>
        <item x="383"/>
        <item x="273"/>
        <item x="820"/>
        <item x="141"/>
        <item x="451"/>
        <item x="575"/>
        <item x="36"/>
        <item x="204"/>
        <item x="966"/>
        <item x="669"/>
        <item x="527"/>
        <item x="419"/>
        <item x="38"/>
        <item x="263"/>
        <item x="915"/>
        <item x="242"/>
        <item x="235"/>
        <item x="908"/>
        <item x="829"/>
        <item x="385"/>
        <item x="933"/>
        <item x="281"/>
        <item x="26"/>
        <item x="501"/>
        <item x="866"/>
        <item x="541"/>
        <item x="460"/>
        <item x="78"/>
        <item x="944"/>
        <item x="545"/>
        <item x="298"/>
        <item x="450"/>
        <item x="368"/>
        <item x="111"/>
        <item x="801"/>
        <item x="373"/>
        <item x="337"/>
        <item x="492"/>
        <item x="588"/>
        <item x="673"/>
        <item x="271"/>
        <item x="417"/>
        <item x="311"/>
        <item x="0"/>
        <item x="590"/>
        <item x="332"/>
        <item x="478"/>
        <item x="386"/>
        <item x="49"/>
        <item x="213"/>
        <item x="51"/>
        <item x="396"/>
        <item x="596"/>
        <item x="665"/>
        <item x="934"/>
        <item x="164"/>
        <item x="12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measureFilter="1">
      <items count="12">
        <item x="8"/>
        <item x="1"/>
        <item x="10"/>
        <item x="7"/>
        <item x="9"/>
        <item x="4"/>
        <item x="0"/>
        <item x="5"/>
        <item x="6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measureFilter="1">
      <items count="12">
        <item x="9"/>
        <item x="8"/>
        <item x="10"/>
        <item x="1"/>
        <item x="5"/>
        <item x="4"/>
        <item x="0"/>
        <item x="6"/>
        <item x="3"/>
        <item x="2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8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8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7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">
    <i>
      <x v="15"/>
    </i>
  </rowItems>
  <colItems count="1">
    <i/>
  </colItems>
  <dataFields count="1">
    <dataField name="  Profit" fld="16" baseField="0" baseItem="0" numFmtId="167"/>
  </dataFields>
  <formats count="2">
    <format dxfId="55">
      <pivotArea field="1" type="button" dataOnly="0" labelOnly="1" outline="0" axis="axisRow" fieldPosition="0"/>
    </format>
    <format dxfId="5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3">
    <filter fld="10" type="count" evalOrder="-1" id="1" iMeasureFld="0">
      <autoFilter ref="A1">
        <filterColumn colId="0">
          <top10 val="1" filterVal="1"/>
        </filterColumn>
      </autoFilter>
    </filter>
    <filter fld="2" type="count" evalOrder="-1" id="2" iMeasureFld="0">
      <autoFilter ref="A1">
        <filterColumn colId="0">
          <top10 val="1" filterVal="1"/>
        </filterColumn>
      </autoFilter>
    </filter>
    <filter fld="1" type="count" evalOrder="-1" id="3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C5EEB-89DC-4C0B-93CF-DD2896ABAD0E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S3:T8" firstHeaderRow="1" firstDataRow="1" firstDataCol="1"/>
  <pivotFields count="21">
    <pivotField compact="0" numFmtId="165" outline="0" showAll="0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axis="axisRow" compact="0" outline="0" showAll="0" measureFilter="1">
      <items count="968">
        <item x="571"/>
        <item x="752"/>
        <item x="693"/>
        <item x="56"/>
        <item x="490"/>
        <item x="172"/>
        <item x="160"/>
        <item x="487"/>
        <item x="836"/>
        <item x="773"/>
        <item x="724"/>
        <item x="488"/>
        <item x="566"/>
        <item x="942"/>
        <item x="34"/>
        <item x="2"/>
        <item x="198"/>
        <item x="907"/>
        <item x="542"/>
        <item x="261"/>
        <item x="346"/>
        <item x="112"/>
        <item x="806"/>
        <item x="485"/>
        <item x="503"/>
        <item x="870"/>
        <item x="860"/>
        <item x="80"/>
        <item x="639"/>
        <item x="864"/>
        <item x="384"/>
        <item x="957"/>
        <item x="85"/>
        <item x="349"/>
        <item x="432"/>
        <item x="348"/>
        <item x="63"/>
        <item x="601"/>
        <item x="347"/>
        <item x="568"/>
        <item x="562"/>
        <item x="745"/>
        <item x="522"/>
        <item x="872"/>
        <item x="881"/>
        <item x="686"/>
        <item x="592"/>
        <item x="267"/>
        <item x="297"/>
        <item x="937"/>
        <item x="475"/>
        <item x="302"/>
        <item x="694"/>
        <item x="498"/>
        <item x="638"/>
        <item x="387"/>
        <item x="506"/>
        <item x="260"/>
        <item x="471"/>
        <item x="925"/>
        <item x="317"/>
        <item x="35"/>
        <item x="551"/>
        <item x="371"/>
        <item x="508"/>
        <item x="838"/>
        <item x="781"/>
        <item x="630"/>
        <item x="225"/>
        <item x="295"/>
        <item x="102"/>
        <item x="352"/>
        <item x="167"/>
        <item x="4"/>
        <item x="79"/>
        <item x="902"/>
        <item x="146"/>
        <item x="473"/>
        <item x="513"/>
        <item x="481"/>
        <item x="682"/>
        <item x="120"/>
        <item x="234"/>
        <item x="910"/>
        <item x="862"/>
        <item x="194"/>
        <item x="581"/>
        <item x="354"/>
        <item x="803"/>
        <item x="739"/>
        <item x="187"/>
        <item x="887"/>
        <item x="763"/>
        <item x="375"/>
        <item x="378"/>
        <item x="119"/>
        <item x="437"/>
        <item x="913"/>
        <item x="554"/>
        <item x="207"/>
        <item x="567"/>
        <item x="17"/>
        <item x="662"/>
        <item x="929"/>
        <item x="220"/>
        <item x="457"/>
        <item x="75"/>
        <item x="238"/>
        <item x="87"/>
        <item x="714"/>
        <item x="434"/>
        <item x="359"/>
        <item x="916"/>
        <item x="266"/>
        <item x="465"/>
        <item x="900"/>
        <item x="360"/>
        <item x="906"/>
        <item x="685"/>
        <item x="157"/>
        <item x="644"/>
        <item x="965"/>
        <item x="27"/>
        <item x="556"/>
        <item x="57"/>
        <item x="564"/>
        <item x="964"/>
        <item x="647"/>
        <item x="653"/>
        <item x="305"/>
        <item x="8"/>
        <item x="497"/>
        <item x="563"/>
        <item x="839"/>
        <item x="560"/>
        <item x="628"/>
        <item x="646"/>
        <item x="251"/>
        <item x="147"/>
        <item x="402"/>
        <item x="226"/>
        <item x="199"/>
        <item x="143"/>
        <item x="507"/>
        <item x="132"/>
        <item x="776"/>
        <item x="309"/>
        <item x="518"/>
        <item x="54"/>
        <item x="314"/>
        <item x="722"/>
        <item x="629"/>
        <item x="395"/>
        <item x="797"/>
        <item x="185"/>
        <item x="420"/>
        <item x="95"/>
        <item x="330"/>
        <item x="654"/>
        <item x="924"/>
        <item x="548"/>
        <item x="122"/>
        <item x="139"/>
        <item x="712"/>
        <item x="626"/>
        <item x="521"/>
        <item x="723"/>
        <item x="602"/>
        <item x="254"/>
        <item x="852"/>
        <item x="717"/>
        <item x="500"/>
        <item x="489"/>
        <item x="532"/>
        <item x="92"/>
        <item x="703"/>
        <item x="209"/>
        <item x="124"/>
        <item x="363"/>
        <item x="5"/>
        <item x="842"/>
        <item x="537"/>
        <item x="252"/>
        <item x="453"/>
        <item x="255"/>
        <item x="760"/>
        <item x="216"/>
        <item x="136"/>
        <item x="674"/>
        <item x="631"/>
        <item x="152"/>
        <item x="768"/>
        <item x="424"/>
        <item x="452"/>
        <item x="72"/>
        <item x="264"/>
        <item x="544"/>
        <item x="891"/>
        <item x="939"/>
        <item x="230"/>
        <item x="625"/>
        <item x="329"/>
        <item x="589"/>
        <item x="301"/>
        <item x="25"/>
        <item x="125"/>
        <item x="278"/>
        <item x="621"/>
        <item x="871"/>
        <item x="366"/>
        <item x="294"/>
        <item x="193"/>
        <item x="393"/>
        <item x="128"/>
        <item x="276"/>
        <item x="514"/>
        <item x="126"/>
        <item x="93"/>
        <item x="444"/>
        <item x="449"/>
        <item x="620"/>
        <item x="690"/>
        <item x="58"/>
        <item x="947"/>
        <item x="365"/>
        <item x="550"/>
        <item x="201"/>
        <item x="403"/>
        <item x="205"/>
        <item x="313"/>
        <item x="153"/>
        <item x="683"/>
        <item x="538"/>
        <item x="174"/>
        <item x="857"/>
        <item x="154"/>
        <item x="10"/>
        <item x="293"/>
        <item x="539"/>
        <item x="607"/>
        <item x="898"/>
        <item x="414"/>
        <item x="784"/>
        <item x="656"/>
        <item x="919"/>
        <item x="197"/>
        <item x="340"/>
        <item x="21"/>
        <item x="774"/>
        <item x="692"/>
        <item x="291"/>
        <item x="390"/>
        <item x="159"/>
        <item x="241"/>
        <item x="476"/>
        <item x="634"/>
        <item x="678"/>
        <item x="743"/>
        <item x="40"/>
        <item x="810"/>
        <item x="435"/>
        <item x="728"/>
        <item x="98"/>
        <item x="895"/>
        <item x="827"/>
        <item x="43"/>
        <item x="580"/>
        <item x="445"/>
        <item x="675"/>
        <item x="794"/>
        <item x="144"/>
        <item x="890"/>
        <item x="777"/>
        <item x="224"/>
        <item x="250"/>
        <item x="168"/>
        <item x="920"/>
        <item x="151"/>
        <item x="53"/>
        <item x="935"/>
        <item x="60"/>
        <item x="446"/>
        <item x="738"/>
        <item x="353"/>
        <item x="470"/>
        <item x="584"/>
        <item x="833"/>
        <item x="765"/>
        <item x="867"/>
        <item x="117"/>
        <item x="701"/>
        <item x="624"/>
        <item x="423"/>
        <item x="845"/>
        <item x="737"/>
        <item x="961"/>
        <item x="477"/>
        <item x="28"/>
        <item x="510"/>
        <item x="229"/>
        <item x="257"/>
        <item x="949"/>
        <item x="223"/>
        <item x="200"/>
        <item x="543"/>
        <item x="755"/>
        <item x="397"/>
        <item x="928"/>
        <item x="272"/>
        <item x="37"/>
        <item x="515"/>
        <item x="850"/>
        <item x="91"/>
        <item x="219"/>
        <item x="552"/>
        <item x="50"/>
        <item x="279"/>
        <item x="572"/>
        <item x="587"/>
        <item x="800"/>
        <item x="370"/>
        <item x="82"/>
        <item x="879"/>
        <item x="615"/>
        <item x="830"/>
        <item x="720"/>
        <item x="133"/>
        <item x="421"/>
        <item x="633"/>
        <item x="394"/>
        <item x="195"/>
        <item x="427"/>
        <item x="22"/>
        <item x="847"/>
        <item x="163"/>
        <item x="695"/>
        <item x="672"/>
        <item x="555"/>
        <item x="711"/>
        <item x="175"/>
        <item x="13"/>
        <item x="90"/>
        <item x="282"/>
        <item x="635"/>
        <item x="296"/>
        <item x="155"/>
        <item x="12"/>
        <item x="101"/>
        <item x="109"/>
        <item x="899"/>
        <item x="422"/>
        <item x="440"/>
        <item x="954"/>
        <item x="181"/>
        <item x="308"/>
        <item x="358"/>
        <item x="496"/>
        <item x="869"/>
        <item x="416"/>
        <item x="593"/>
        <item x="44"/>
        <item x="15"/>
        <item x="735"/>
        <item x="494"/>
        <item x="418"/>
        <item x="594"/>
        <item x="180"/>
        <item x="780"/>
        <item x="812"/>
        <item x="285"/>
        <item x="788"/>
        <item x="882"/>
        <item x="31"/>
        <item x="469"/>
        <item x="495"/>
        <item x="388"/>
        <item x="69"/>
        <item x="116"/>
        <item x="886"/>
        <item x="955"/>
        <item x="59"/>
        <item x="381"/>
        <item x="356"/>
        <item x="671"/>
        <item x="585"/>
        <item x="374"/>
        <item x="222"/>
        <item x="7"/>
        <item x="528"/>
        <item x="321"/>
        <item x="247"/>
        <item x="750"/>
        <item x="577"/>
        <item x="856"/>
        <item x="534"/>
        <item x="212"/>
        <item x="48"/>
        <item x="462"/>
        <item x="813"/>
        <item x="336"/>
        <item x="426"/>
        <item x="793"/>
        <item x="808"/>
        <item x="391"/>
        <item x="149"/>
        <item x="809"/>
        <item x="729"/>
        <item x="343"/>
        <item x="398"/>
        <item x="431"/>
        <item x="355"/>
        <item x="324"/>
        <item x="135"/>
        <item x="88"/>
        <item x="410"/>
        <item x="142"/>
        <item x="689"/>
        <item x="361"/>
        <item x="158"/>
        <item x="789"/>
        <item x="901"/>
        <item x="826"/>
        <item x="790"/>
        <item x="186"/>
        <item x="896"/>
        <item x="342"/>
        <item x="148"/>
        <item x="288"/>
        <item x="289"/>
        <item x="570"/>
        <item x="253"/>
        <item x="192"/>
        <item x="734"/>
        <item x="741"/>
        <item x="83"/>
        <item x="377"/>
        <item x="858"/>
        <item x="861"/>
        <item x="512"/>
        <item x="742"/>
        <item x="921"/>
        <item x="658"/>
        <item x="68"/>
        <item x="642"/>
        <item x="923"/>
        <item x="380"/>
        <item x="799"/>
        <item x="754"/>
        <item x="617"/>
        <item x="549"/>
        <item x="622"/>
        <item x="190"/>
        <item x="603"/>
        <item x="441"/>
        <item x="327"/>
        <item x="576"/>
        <item x="335"/>
        <item x="304"/>
        <item x="245"/>
        <item x="875"/>
        <item x="873"/>
        <item x="849"/>
        <item x="782"/>
        <item x="814"/>
        <item x="259"/>
        <item x="165"/>
        <item x="767"/>
        <item x="613"/>
        <item x="859"/>
        <item x="334"/>
        <item x="344"/>
        <item x="840"/>
        <item x="283"/>
        <item x="196"/>
        <item x="846"/>
        <item x="943"/>
        <item x="713"/>
        <item x="648"/>
        <item x="951"/>
        <item x="170"/>
        <item x="447"/>
        <item x="479"/>
        <item x="1"/>
        <item x="586"/>
        <item x="540"/>
        <item x="74"/>
        <item x="676"/>
        <item x="680"/>
        <item x="107"/>
        <item x="727"/>
        <item x="162"/>
        <item x="519"/>
        <item x="287"/>
        <item x="249"/>
        <item x="52"/>
        <item x="173"/>
        <item x="918"/>
        <item x="786"/>
        <item x="926"/>
        <item x="831"/>
        <item x="262"/>
        <item x="32"/>
        <item x="211"/>
        <item x="783"/>
        <item x="645"/>
        <item x="134"/>
        <item x="614"/>
        <item x="843"/>
        <item x="46"/>
        <item x="81"/>
        <item x="807"/>
        <item x="677"/>
        <item x="115"/>
        <item x="161"/>
        <item x="764"/>
        <item x="841"/>
        <item x="504"/>
        <item x="210"/>
        <item x="214"/>
        <item x="930"/>
        <item x="145"/>
        <item x="787"/>
        <item x="792"/>
        <item x="855"/>
        <item x="45"/>
        <item x="663"/>
        <item x="364"/>
        <item x="11"/>
        <item x="652"/>
        <item x="523"/>
        <item x="113"/>
        <item x="466"/>
        <item x="834"/>
        <item x="275"/>
        <item x="443"/>
        <item x="744"/>
        <item x="39"/>
        <item x="65"/>
        <item x="779"/>
        <item x="558"/>
        <item x="687"/>
        <item x="270"/>
        <item x="401"/>
        <item x="747"/>
        <item x="182"/>
        <item x="208"/>
        <item x="33"/>
        <item x="130"/>
        <item x="331"/>
        <item x="940"/>
        <item x="649"/>
        <item x="240"/>
        <item x="844"/>
        <item x="64"/>
        <item x="236"/>
        <item x="239"/>
        <item x="9"/>
        <item x="893"/>
        <item x="817"/>
        <item x="328"/>
        <item x="762"/>
        <item x="274"/>
        <item x="176"/>
        <item x="409"/>
        <item x="637"/>
        <item x="412"/>
        <item x="863"/>
        <item x="927"/>
        <item x="579"/>
        <item x="525"/>
        <item x="627"/>
        <item x="76"/>
        <item x="892"/>
        <item x="611"/>
        <item x="796"/>
        <item x="606"/>
        <item x="948"/>
        <item x="660"/>
        <item x="936"/>
        <item x="578"/>
        <item x="917"/>
        <item x="318"/>
        <item x="345"/>
        <item x="835"/>
        <item x="474"/>
        <item x="429"/>
        <item x="889"/>
        <item x="705"/>
        <item x="320"/>
        <item x="802"/>
        <item x="643"/>
        <item x="819"/>
        <item x="150"/>
        <item x="256"/>
        <item x="286"/>
        <item x="430"/>
        <item x="183"/>
        <item x="459"/>
        <item x="533"/>
        <item x="458"/>
        <item x="228"/>
        <item x="785"/>
        <item x="312"/>
        <item x="218"/>
        <item x="491"/>
        <item x="938"/>
        <item x="670"/>
        <item x="55"/>
        <item x="319"/>
        <item x="20"/>
        <item x="707"/>
        <item x="137"/>
        <item x="86"/>
        <item x="704"/>
        <item x="18"/>
        <item x="179"/>
        <item x="828"/>
        <item x="94"/>
        <item x="914"/>
        <item x="169"/>
        <item x="706"/>
        <item x="362"/>
        <item x="655"/>
        <item x="932"/>
        <item x="854"/>
        <item x="878"/>
        <item x="657"/>
        <item x="351"/>
        <item x="561"/>
        <item x="67"/>
        <item x="104"/>
        <item x="749"/>
        <item x="618"/>
        <item x="405"/>
        <item x="746"/>
        <item x="188"/>
        <item x="493"/>
        <item x="127"/>
        <item x="482"/>
        <item x="885"/>
        <item x="960"/>
        <item x="232"/>
        <item x="300"/>
        <item x="438"/>
        <item x="612"/>
        <item x="237"/>
        <item x="894"/>
        <item x="367"/>
        <item x="70"/>
        <item x="623"/>
        <item x="815"/>
        <item x="775"/>
        <item x="732"/>
        <item x="865"/>
        <item x="922"/>
        <item x="292"/>
        <item x="880"/>
        <item x="837"/>
        <item x="372"/>
        <item x="382"/>
        <item x="244"/>
        <item x="897"/>
        <item x="600"/>
        <item x="448"/>
        <item x="455"/>
        <item x="731"/>
        <item x="950"/>
        <item x="958"/>
        <item x="166"/>
        <item x="29"/>
        <item x="6"/>
        <item x="608"/>
        <item x="138"/>
        <item x="306"/>
        <item x="73"/>
        <item x="697"/>
        <item x="310"/>
        <item x="953"/>
        <item x="231"/>
        <item x="357"/>
        <item x="97"/>
        <item x="206"/>
        <item x="100"/>
        <item x="610"/>
        <item x="748"/>
        <item x="433"/>
        <item x="573"/>
        <item x="751"/>
        <item x="659"/>
        <item x="769"/>
        <item x="702"/>
        <item x="708"/>
        <item x="436"/>
        <item x="118"/>
        <item x="30"/>
        <item x="825"/>
        <item x="23"/>
        <item x="369"/>
        <item x="350"/>
        <item x="721"/>
        <item x="322"/>
        <item x="811"/>
        <item x="400"/>
        <item x="770"/>
        <item x="524"/>
        <item x="640"/>
        <item x="535"/>
        <item x="171"/>
        <item x="709"/>
        <item x="772"/>
        <item x="404"/>
        <item x="715"/>
        <item x="326"/>
        <item x="290"/>
        <item x="605"/>
        <item x="140"/>
        <item x="667"/>
        <item x="761"/>
        <item x="303"/>
        <item x="511"/>
        <item x="131"/>
        <item x="103"/>
        <item x="740"/>
        <item x="853"/>
        <item x="604"/>
        <item x="945"/>
        <item x="666"/>
        <item x="952"/>
        <item x="759"/>
        <item x="591"/>
        <item x="233"/>
        <item x="795"/>
        <item x="818"/>
        <item x="114"/>
        <item x="307"/>
        <item x="574"/>
        <item x="16"/>
        <item x="546"/>
        <item x="664"/>
        <item x="246"/>
        <item x="619"/>
        <item x="407"/>
        <item x="710"/>
        <item x="3"/>
        <item x="700"/>
        <item x="877"/>
        <item x="71"/>
        <item x="483"/>
        <item x="202"/>
        <item x="559"/>
        <item x="299"/>
        <item x="284"/>
        <item x="884"/>
        <item x="848"/>
        <item x="529"/>
        <item x="632"/>
        <item x="456"/>
        <item x="598"/>
        <item x="650"/>
        <item x="946"/>
        <item x="851"/>
        <item x="61"/>
        <item x="804"/>
        <item x="553"/>
        <item x="99"/>
        <item x="89"/>
        <item x="480"/>
        <item x="912"/>
        <item x="956"/>
        <item x="816"/>
        <item x="791"/>
        <item x="280"/>
        <item x="425"/>
        <item x="730"/>
        <item x="698"/>
        <item x="265"/>
        <item x="408"/>
        <item x="333"/>
        <item x="411"/>
        <item x="876"/>
        <item x="339"/>
        <item x="106"/>
        <item x="217"/>
        <item x="679"/>
        <item x="557"/>
        <item x="248"/>
        <item x="406"/>
        <item x="191"/>
        <item x="824"/>
        <item x="243"/>
        <item x="756"/>
        <item x="888"/>
        <item x="725"/>
        <item x="823"/>
        <item x="684"/>
        <item x="463"/>
        <item x="269"/>
        <item x="778"/>
        <item x="277"/>
        <item x="215"/>
        <item x="316"/>
        <item x="688"/>
        <item x="641"/>
        <item x="691"/>
        <item x="41"/>
        <item x="719"/>
        <item x="399"/>
        <item x="941"/>
        <item x="909"/>
        <item x="832"/>
        <item x="84"/>
        <item x="931"/>
        <item x="505"/>
        <item x="868"/>
        <item x="439"/>
        <item x="24"/>
        <item x="376"/>
        <item x="467"/>
        <item x="129"/>
        <item x="105"/>
        <item x="499"/>
        <item x="569"/>
        <item x="681"/>
        <item x="536"/>
        <item x="547"/>
        <item x="520"/>
        <item x="959"/>
        <item x="736"/>
        <item x="530"/>
        <item x="442"/>
        <item x="716"/>
        <item x="733"/>
        <item x="177"/>
        <item x="338"/>
        <item x="325"/>
        <item x="341"/>
        <item x="597"/>
        <item x="599"/>
        <item x="517"/>
        <item x="616"/>
        <item x="315"/>
        <item x="583"/>
        <item x="696"/>
        <item x="758"/>
        <item x="156"/>
        <item x="178"/>
        <item x="821"/>
        <item x="502"/>
        <item x="726"/>
        <item x="516"/>
        <item x="798"/>
        <item x="392"/>
        <item x="62"/>
        <item x="461"/>
        <item x="668"/>
        <item x="874"/>
        <item x="509"/>
        <item x="66"/>
        <item x="221"/>
        <item x="904"/>
        <item x="96"/>
        <item x="464"/>
        <item x="636"/>
        <item x="757"/>
        <item x="108"/>
        <item x="121"/>
        <item x="413"/>
        <item x="805"/>
        <item x="905"/>
        <item x="582"/>
        <item x="595"/>
        <item x="468"/>
        <item x="268"/>
        <item x="903"/>
        <item x="110"/>
        <item x="771"/>
        <item x="227"/>
        <item x="472"/>
        <item x="258"/>
        <item x="963"/>
        <item x="42"/>
        <item x="766"/>
        <item x="486"/>
        <item x="718"/>
        <item x="323"/>
        <item x="962"/>
        <item x="77"/>
        <item x="822"/>
        <item x="184"/>
        <item x="753"/>
        <item x="531"/>
        <item x="661"/>
        <item x="883"/>
        <item x="565"/>
        <item x="47"/>
        <item x="454"/>
        <item x="526"/>
        <item x="651"/>
        <item x="389"/>
        <item x="189"/>
        <item x="19"/>
        <item x="609"/>
        <item x="14"/>
        <item x="379"/>
        <item x="415"/>
        <item x="911"/>
        <item x="699"/>
        <item x="484"/>
        <item x="428"/>
        <item x="203"/>
        <item x="383"/>
        <item x="273"/>
        <item x="820"/>
        <item x="141"/>
        <item x="451"/>
        <item x="575"/>
        <item x="36"/>
        <item x="204"/>
        <item x="966"/>
        <item x="669"/>
        <item x="527"/>
        <item x="419"/>
        <item x="38"/>
        <item x="263"/>
        <item x="915"/>
        <item x="242"/>
        <item x="235"/>
        <item x="908"/>
        <item x="829"/>
        <item x="385"/>
        <item x="933"/>
        <item x="281"/>
        <item x="26"/>
        <item x="501"/>
        <item x="866"/>
        <item x="541"/>
        <item x="460"/>
        <item x="78"/>
        <item x="944"/>
        <item x="545"/>
        <item x="298"/>
        <item x="450"/>
        <item x="368"/>
        <item x="111"/>
        <item x="801"/>
        <item x="373"/>
        <item x="337"/>
        <item x="492"/>
        <item x="588"/>
        <item x="673"/>
        <item x="271"/>
        <item x="417"/>
        <item x="311"/>
        <item x="0"/>
        <item x="590"/>
        <item x="332"/>
        <item x="478"/>
        <item x="386"/>
        <item x="49"/>
        <item x="213"/>
        <item x="51"/>
        <item x="396"/>
        <item x="596"/>
        <item x="665"/>
        <item x="934"/>
        <item x="164"/>
        <item x="123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numFmtId="168" outline="0" showAll="0"/>
    <pivotField compact="0" numFmtId="168" outline="0" showAll="0"/>
    <pivotField compact="0" outline="0" showAll="0"/>
    <pivotField compact="0" numFmtId="167" outline="0" showAll="0"/>
    <pivotField dataField="1" compact="0" numFmtId="167" outline="0" showAll="0"/>
    <pivotField compact="0" numFmtId="167" outline="0" showAll="0"/>
    <pivotField compact="0" numFmtId="169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 v="15"/>
    </i>
    <i>
      <x v="319"/>
    </i>
    <i>
      <x v="478"/>
    </i>
    <i>
      <x v="617"/>
    </i>
    <i>
      <x v="761"/>
    </i>
  </rowItems>
  <colItems count="1">
    <i/>
  </colItems>
  <dataFields count="1">
    <dataField name="       Revenue" fld="15" baseField="0" baseItem="0" numFmtId="167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91EF3-CE55-4108-8B1D-F309BF2F2488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7:J8" firstHeaderRow="1" firstDataRow="1" firstDataCol="1"/>
  <pivotFields count="21">
    <pivotField compact="0" numFmtId="165" outline="0" subtotalTop="0" showAll="0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measureFilter="1">
      <items count="12">
        <item x="8"/>
        <item x="1"/>
        <item x="10"/>
        <item x="7"/>
        <item x="9"/>
        <item x="4"/>
        <item x="0"/>
        <item x="5"/>
        <item x="6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measureFilter="1">
      <items count="12">
        <item x="9"/>
        <item x="8"/>
        <item x="10"/>
        <item x="1"/>
        <item x="5"/>
        <item x="4"/>
        <item x="0"/>
        <item x="6"/>
        <item x="3"/>
        <item x="2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8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8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7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">
    <i>
      <x v="2"/>
    </i>
  </rowItems>
  <colItems count="1">
    <i/>
  </colItems>
  <dataFields count="1">
    <dataField name="  Profit" fld="16" baseField="0" baseItem="0" numFmtId="167"/>
  </dataFields>
  <formats count="2">
    <format dxfId="57">
      <pivotArea field="2" type="button" dataOnly="0" labelOnly="1" outline="0" axis="axisRow" fieldPosition="0"/>
    </format>
    <format dxfId="56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2">
    <filter fld="10" type="count" evalOrder="-1" id="1" iMeasureFld="0">
      <autoFilter ref="A1">
        <filterColumn colId="0">
          <top10 val="1" filterVal="1"/>
        </filterColumn>
      </autoFilter>
    </filter>
    <filter fld="2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02FC5-980C-42D3-B113-E00C0A13414C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N10:O14" firstHeaderRow="1" firstDataRow="1" firstDataCol="1"/>
  <pivotFields count="21">
    <pivotField compact="0" numFmtId="165" outline="0" showAll="0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numFmtId="1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numFmtId="168" outline="0" showAll="0"/>
    <pivotField compact="0" numFmtId="168" outline="0" showAll="0"/>
    <pivotField compact="0" outline="0" showAll="0"/>
    <pivotField compact="0" numFmtId="167" outline="0" showAll="0"/>
    <pivotField dataField="1" compact="0" numFmtId="167" outline="0" showAll="0"/>
    <pivotField compact="0" numFmtId="167" outline="0" showAll="0"/>
    <pivotField compact="0" numFmtId="169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    Revenue" fld="15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16430-A386-48F1-9520-6CEFB2149F71}" name="PivotTable2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S14:T21" firstHeaderRow="1" firstDataRow="1" firstDataCol="1"/>
  <pivotFields count="21">
    <pivotField compact="0" numFmtId="165" outline="0" showAll="0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numFmtId="168" outline="0" showAll="0"/>
    <pivotField compact="0" numFmtId="168" outline="0" showAll="0"/>
    <pivotField compact="0" outline="0" showAll="0"/>
    <pivotField compact="0" numFmtId="167" outline="0" showAll="0"/>
    <pivotField dataField="1" compact="0" numFmtId="167" outline="0" showAll="0"/>
    <pivotField compact="0" numFmtId="167" outline="0" showAll="0"/>
    <pivotField compact="0" numFmtId="169" outline="0" showAll="0"/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name="Months "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0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          Revenue" fld="15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F555B4-5036-4824-A10E-BC7EC463C07F}" autoFormatId="16" applyNumberFormats="0" applyBorderFormats="0" applyFontFormats="0" applyPatternFormats="0" applyAlignmentFormats="0" applyWidthHeightFormats="0">
  <queryTableRefresh nextId="31" unboundColumnsRight="10">
    <queryTableFields count="20">
      <queryTableField id="1" name="Transaction Date" tableColumnId="1"/>
      <queryTableField id="17" dataBound="0" tableColumnId="19"/>
      <queryTableField id="4" name="Buyer Location" tableColumnId="4"/>
      <queryTableField id="5" name="Buyer Date of Birth" tableColumnId="5"/>
      <queryTableField id="13" dataBound="0" tableColumnId="14"/>
      <queryTableField id="7" name="Quantity Purchased" tableColumnId="7"/>
      <queryTableField id="8" name="Product Code" tableColumnId="8"/>
      <queryTableField id="9" name="Sales Representative" tableColumnId="9"/>
      <queryTableField id="16" dataBound="0" tableColumnId="18"/>
      <queryTableField id="11" name="Discount" tableColumnId="11"/>
      <queryTableField id="20" dataBound="0" tableColumnId="22"/>
      <queryTableField id="21" dataBound="0" tableColumnId="23"/>
      <queryTableField id="22" dataBound="0" tableColumnId="24"/>
      <queryTableField id="23" dataBound="0" tableColumnId="25"/>
      <queryTableField id="25" dataBound="0" tableColumnId="27"/>
      <queryTableField id="24" dataBound="0" tableColumnId="26"/>
      <queryTableField id="26" dataBound="0" tableColumnId="28"/>
      <queryTableField id="27" dataBound="0" tableColumnId="29"/>
      <queryTableField id="28" dataBound="0" tableColumnId="30"/>
      <queryTableField id="30" dataBound="0" tableColumnId="32"/>
    </queryTableFields>
    <queryTableDeletedFields count="4">
      <deletedField name="Buyer First Name"/>
      <deletedField name="Buyer Last Name"/>
      <deletedField name="Payment Method"/>
      <deletedField name="Gend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3254FD-2F93-42A7-9EC4-212BC1C3BF1A}" name="Table2_1" displayName="Table2_1" ref="A1:T1000" tableType="queryTable" totalsRowShown="0" headerRowDxfId="42" dataDxfId="41">
  <autoFilter ref="A1:T1000" xr:uid="{4C3254FD-2F93-42A7-9EC4-212BC1C3BF1A}"/>
  <tableColumns count="20">
    <tableColumn id="1" xr3:uid="{841D52EC-B0E7-4FD4-A520-18950B5A4156}" uniqueName="1" name="Transaction  Date" queryTableFieldId="1" dataDxfId="40"/>
    <tableColumn id="19" xr3:uid="{A0E391BB-9108-4305-AC25-801CDCA997D9}" uniqueName="19" name="Buyer Name" queryTableFieldId="17" dataDxfId="39"/>
    <tableColumn id="4" xr3:uid="{66367A77-CED5-4AA5-B7F4-F6E8841B3A6E}" uniqueName="4" name="Buyer Location" queryTableFieldId="4" dataDxfId="38"/>
    <tableColumn id="5" xr3:uid="{614DF7F2-BEEE-4B3E-BEC6-0838C0DA0E33}" uniqueName="5" name="Buyer Date of Birth" queryTableFieldId="5" dataDxfId="37"/>
    <tableColumn id="14" xr3:uid="{271D9A00-068C-45C5-B6CF-644AD7B407C8}" uniqueName="14" name="Payment Method" queryTableFieldId="13" dataDxfId="36"/>
    <tableColumn id="7" xr3:uid="{604A2B77-E55F-4E86-9C45-CAC083FF6DFB}" uniqueName="7" name="Quantity Purchased" queryTableFieldId="7" dataDxfId="35"/>
    <tableColumn id="8" xr3:uid="{5A30DF8A-AE86-4959-B016-1063FA6A83A0}" uniqueName="8" name="Product Code" queryTableFieldId="8" dataDxfId="34"/>
    <tableColumn id="9" xr3:uid="{10FE7C38-EBD3-437A-A8B3-AE8E91B275F4}" uniqueName="9" name="Sales Representative" queryTableFieldId="9" dataDxfId="33"/>
    <tableColumn id="18" xr3:uid="{C2F74993-05C7-4A76-84DC-EB3D7CBAA13F}" uniqueName="18" name="Gender" queryTableFieldId="16" dataDxfId="32"/>
    <tableColumn id="11" xr3:uid="{A8014793-86ED-465E-832F-0E2DECEC300F}" uniqueName="11" name="Discount" queryTableFieldId="11" dataDxfId="31"/>
    <tableColumn id="22" xr3:uid="{34716DA2-0028-471F-9069-64F9C7981492}" uniqueName="22" name="Biscut Brand" queryTableFieldId="20" dataDxfId="30"/>
    <tableColumn id="23" xr3:uid="{5DDA8118-FF18-489A-ACD5-69F75D43B8A5}" uniqueName="23" name="Cost" queryTableFieldId="21" dataDxfId="29"/>
    <tableColumn id="24" xr3:uid="{F0923B23-0B19-4D57-92F2-A3007A916EFF}" uniqueName="24" name="UnitPrice" queryTableFieldId="22" dataDxfId="28">
      <calculatedColumnFormula>_xlfn.XLOOKUP(Table2_1[[#This Row],[Product Code]],Product_Code,Unit_Price,0)</calculatedColumnFormula>
    </tableColumn>
    <tableColumn id="25" xr3:uid="{DED5F04B-B5CC-415B-834D-F417BBB6185D}" uniqueName="25" name="Age" queryTableFieldId="23" dataDxfId="27">
      <calculatedColumnFormula>DATEDIF(Table2_1[[#This Row],[Buyer Date of Birth]],Table2_1[[#This Row],[Transaction  Date]],"Y")</calculatedColumnFormula>
    </tableColumn>
    <tableColumn id="27" xr3:uid="{DBD82B49-477A-4D6F-9B53-E9A53A3EF7DC}" uniqueName="27" name="COGS" queryTableFieldId="25" dataDxfId="26"/>
    <tableColumn id="26" xr3:uid="{ACD465AD-6CEC-4448-B62D-017FDD4A2ED8}" uniqueName="26" name="Revenue" queryTableFieldId="24" dataDxfId="25">
      <calculatedColumnFormula>Table2_1[[#This Row],[Quantity Purchased]]*Table2_1[[#This Row],[UnitPrice]]*(1-Table2_1[[#This Row],[Discount]])</calculatedColumnFormula>
    </tableColumn>
    <tableColumn id="28" xr3:uid="{FC45E66A-CCAE-48E7-AF9A-B0FD0512D9BC}" uniqueName="28" name="Profit" queryTableFieldId="26" dataDxfId="24">
      <calculatedColumnFormula>Table2_1[[#This Row],[Revenue]]-Table2_1[[#This Row],[COGS]]</calculatedColumnFormula>
    </tableColumn>
    <tableColumn id="29" xr3:uid="{1C34D2A6-18DC-40CD-AD10-247EAAE3CD51}" uniqueName="29" name="Weekday" queryTableFieldId="27" dataDxfId="23">
      <calculatedColumnFormula>WEEKDAY(Table2_1[[#This Row],[Transaction  Date]])</calculatedColumnFormula>
    </tableColumn>
    <tableColumn id="30" xr3:uid="{C6DC5B36-793A-4C27-81F1-B2E155D08747}" uniqueName="30" name="Week Type" queryTableFieldId="28" dataDxfId="22">
      <calculatedColumnFormula>IF(WEEKDAY(Table2_1[[#This Row],[Transaction  Date]],2)&lt;=5,"Weekday","Weekend")</calculatedColumnFormula>
    </tableColumn>
    <tableColumn id="32" xr3:uid="{C1F03911-59BD-47D7-B132-02B0C7280F33}" uniqueName="32" name="Age-Group" queryTableFieldId="30" dataDxfId="21">
      <calculatedColumnFormula>FLOOR(Table2_1[[#This Row],[Age]],15)&amp; "-"&amp; FLOOR(Table2_1[[#This Row],[Age]],15)+14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733FCB-4E93-4F32-B297-5FE2B47E32A3}" name="Table4" displayName="Table4" ref="C7:F17" totalsRowShown="0" headerRowDxfId="20" headerRowBorderDxfId="19" tableBorderDxfId="18" totalsRowBorderDxfId="17">
  <autoFilter ref="C7:F17" xr:uid="{95733FCB-4E93-4F32-B297-5FE2B47E32A3}"/>
  <tableColumns count="4">
    <tableColumn id="1" xr3:uid="{9880D78B-02AC-43BC-B305-E590D24C0E4E}" name="Product Code"/>
    <tableColumn id="2" xr3:uid="{07F92A82-B82D-400E-8D52-24C69A5C61B7}" name="Biscuit Brand"/>
    <tableColumn id="3" xr3:uid="{F35DFB26-8210-453C-BF1B-817E1E4DF30B}" name="Cost" dataDxfId="16"/>
    <tableColumn id="4" xr3:uid="{EBE48F06-A5F4-43B6-9FF3-433613E650DD}" name="Unit Price" dataDxfId="15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BACAA2-64DD-462E-B078-A72CD1BFC18E}" name="Table2" displayName="Table2" ref="A1:K1000" totalsRowShown="0" headerRowDxfId="14" headerRowBorderDxfId="13" tableBorderDxfId="12" totalsRowBorderDxfId="11">
  <autoFilter ref="A1:K1000" xr:uid="{0DBACAA2-64DD-462E-B078-A72CD1BFC18E}"/>
  <sortState xmlns:xlrd2="http://schemas.microsoft.com/office/spreadsheetml/2017/richdata2" ref="A2:K1000">
    <sortCondition ref="A1:A1000"/>
  </sortState>
  <tableColumns count="11">
    <tableColumn id="1" xr3:uid="{8BAC7CB0-BDFC-4708-934D-5F4B1878185A}" name="Transaction Date" dataDxfId="10"/>
    <tableColumn id="2" xr3:uid="{619A5D8B-E840-4142-9D73-4EF207DC8188}" name="Buyer First Name" dataDxfId="9"/>
    <tableColumn id="3" xr3:uid="{F344A324-1343-4CA8-95FC-359CE36E3C78}" name="Buyer Last Name" dataDxfId="8"/>
    <tableColumn id="4" xr3:uid="{84012DCE-C271-4E9B-A5FC-BC967A36A7C9}" name="Buyer Location" dataDxfId="7"/>
    <tableColumn id="5" xr3:uid="{52992CA1-F3EE-46FA-BA55-CA0D2CED9159}" name="Buyer Date of Birth" dataDxfId="6"/>
    <tableColumn id="6" xr3:uid="{96A6DA88-688B-4F2E-B07C-2F0176553128}" name="Payment Method" dataDxfId="5"/>
    <tableColumn id="7" xr3:uid="{E0A39A98-DE6C-4B79-AE6D-1EC80E5B6FD7}" name="Quantity Purchased" dataDxfId="4"/>
    <tableColumn id="8" xr3:uid="{2B0BB6D8-49C7-4326-9634-0F740C1D5D22}" name="Product Code" dataDxfId="3"/>
    <tableColumn id="9" xr3:uid="{18D39128-D0CB-48C8-9C9D-9121A8E80058}" name="Sales Representative" dataDxfId="2"/>
    <tableColumn id="10" xr3:uid="{D88697CC-4695-4AFB-A9C7-4801E6BA5683}" name="Gender" dataDxfId="1"/>
    <tableColumn id="11" xr3:uid="{5E6919CD-13DA-488B-8EBF-C6289A5E123B}" name="Disc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4734-736E-42A0-A5D3-6B8A63C118B9}">
  <dimension ref="A1:T1000"/>
  <sheetViews>
    <sheetView workbookViewId="0">
      <selection activeCell="Z10" sqref="Z10"/>
    </sheetView>
  </sheetViews>
  <sheetFormatPr defaultRowHeight="14.4" x14ac:dyDescent="0.3"/>
  <cols>
    <col min="1" max="1" width="23.109375" style="19" customWidth="1"/>
    <col min="2" max="2" width="19.33203125" customWidth="1"/>
    <col min="3" max="3" width="18.21875" customWidth="1"/>
    <col min="4" max="4" width="22.77734375" style="18" customWidth="1"/>
    <col min="5" max="5" width="21.21875" customWidth="1"/>
    <col min="6" max="6" width="22.21875" style="31" customWidth="1"/>
    <col min="7" max="7" width="20.6640625" bestFit="1" customWidth="1"/>
    <col min="8" max="8" width="24.33203125" customWidth="1"/>
    <col min="9" max="9" width="19.5546875" customWidth="1"/>
    <col min="10" max="10" width="13" style="27" customWidth="1"/>
    <col min="11" max="11" width="16.77734375" customWidth="1"/>
    <col min="12" max="12" width="16.21875" style="32" customWidth="1"/>
    <col min="13" max="13" width="14.109375" style="32" customWidth="1"/>
    <col min="14" max="14" width="17.109375" style="31" customWidth="1"/>
    <col min="15" max="15" width="17.109375" style="33" customWidth="1"/>
    <col min="16" max="17" width="13.77734375" style="33" customWidth="1"/>
    <col min="18" max="18" width="14" style="40" customWidth="1"/>
    <col min="19" max="19" width="14.77734375" customWidth="1"/>
  </cols>
  <sheetData>
    <row r="1" spans="1:20" s="29" customFormat="1" x14ac:dyDescent="0.3">
      <c r="A1" s="28" t="s">
        <v>1900</v>
      </c>
      <c r="B1" s="29" t="s">
        <v>937</v>
      </c>
      <c r="C1" s="29" t="s">
        <v>3</v>
      </c>
      <c r="D1" s="28" t="s">
        <v>4</v>
      </c>
      <c r="E1" s="29" t="s">
        <v>5</v>
      </c>
      <c r="F1" s="34" t="s">
        <v>6</v>
      </c>
      <c r="G1" s="29" t="s">
        <v>7</v>
      </c>
      <c r="H1" s="29" t="s">
        <v>8</v>
      </c>
      <c r="I1" s="29" t="s">
        <v>9</v>
      </c>
      <c r="J1" s="30" t="s">
        <v>10</v>
      </c>
      <c r="K1" s="29" t="s">
        <v>1901</v>
      </c>
      <c r="L1" s="35" t="s">
        <v>924</v>
      </c>
      <c r="M1" s="35" t="s">
        <v>1902</v>
      </c>
      <c r="N1" s="34" t="s">
        <v>1903</v>
      </c>
      <c r="O1" s="36" t="s">
        <v>1906</v>
      </c>
      <c r="P1" s="36" t="s">
        <v>1904</v>
      </c>
      <c r="Q1" s="36" t="s">
        <v>1905</v>
      </c>
      <c r="R1" s="38" t="s">
        <v>1907</v>
      </c>
      <c r="S1" s="29" t="s">
        <v>1908</v>
      </c>
      <c r="T1" s="29" t="s">
        <v>1916</v>
      </c>
    </row>
    <row r="2" spans="1:20" x14ac:dyDescent="0.3">
      <c r="A2" s="18">
        <v>45292</v>
      </c>
      <c r="B2" s="17" t="s">
        <v>938</v>
      </c>
      <c r="C2" s="17" t="s">
        <v>94</v>
      </c>
      <c r="D2" s="18">
        <v>29257</v>
      </c>
      <c r="E2" s="16" t="s">
        <v>33</v>
      </c>
      <c r="F2" s="31">
        <v>134</v>
      </c>
      <c r="G2" s="17" t="s">
        <v>59</v>
      </c>
      <c r="H2" s="17" t="s">
        <v>43</v>
      </c>
      <c r="I2" s="17" t="s">
        <v>17</v>
      </c>
      <c r="J2" s="27">
        <v>0.1</v>
      </c>
      <c r="K2" s="17" t="s">
        <v>932</v>
      </c>
      <c r="L2" s="32">
        <v>19</v>
      </c>
      <c r="M2" s="32">
        <f>_xlfn.XLOOKUP(Table2_1[[#This Row],[Product Code]],Product_Code,Unit_Price,0)</f>
        <v>23</v>
      </c>
      <c r="N2" s="31">
        <f>DATEDIF(Table2_1[[#This Row],[Buyer Date of Birth]],Table2_1[[#This Row],[Transaction  Date]],"Y")</f>
        <v>43</v>
      </c>
      <c r="O2" s="33">
        <v>2546</v>
      </c>
      <c r="P2" s="33">
        <f>Table2_1[[#This Row],[Quantity Purchased]]*Table2_1[[#This Row],[UnitPrice]]*(1-Table2_1[[#This Row],[Discount]])</f>
        <v>2773.8</v>
      </c>
      <c r="Q2" s="33">
        <f>Table2_1[[#This Row],[Revenue]]-Table2_1[[#This Row],[COGS]]</f>
        <v>227.80000000000018</v>
      </c>
      <c r="R2" s="39">
        <f>WEEKDAY(Table2_1[[#This Row],[Transaction  Date]])</f>
        <v>2</v>
      </c>
      <c r="S2" s="17" t="str">
        <f>IF(WEEKDAY(Table2_1[[#This Row],[Transaction  Date]],2)&lt;=5,"Weekday","Weekend")</f>
        <v>Weekday</v>
      </c>
      <c r="T2" s="37" t="str">
        <f>FLOOR(Table2_1[[#This Row],[Age]],15)&amp; "-"&amp; FLOOR(Table2_1[[#This Row],[Age]],15)+14</f>
        <v>30-44</v>
      </c>
    </row>
    <row r="3" spans="1:20" x14ac:dyDescent="0.3">
      <c r="A3" s="18">
        <v>45292</v>
      </c>
      <c r="B3" s="17" t="s">
        <v>939</v>
      </c>
      <c r="C3" s="17" t="s">
        <v>83</v>
      </c>
      <c r="D3" s="18">
        <v>28541</v>
      </c>
      <c r="E3" s="16" t="s">
        <v>20</v>
      </c>
      <c r="F3" s="31">
        <v>454</v>
      </c>
      <c r="G3" s="17" t="s">
        <v>15</v>
      </c>
      <c r="H3" s="17" t="s">
        <v>52</v>
      </c>
      <c r="I3" s="17" t="s">
        <v>17</v>
      </c>
      <c r="J3" s="27">
        <v>0.1</v>
      </c>
      <c r="K3" s="17" t="s">
        <v>929</v>
      </c>
      <c r="L3" s="32">
        <v>10</v>
      </c>
      <c r="M3" s="32">
        <f>_xlfn.XLOOKUP(Table2_1[[#This Row],[Product Code]],Product_Code,Unit_Price,0)</f>
        <v>14</v>
      </c>
      <c r="N3" s="31">
        <f>DATEDIF(Table2_1[[#This Row],[Buyer Date of Birth]],Table2_1[[#This Row],[Transaction  Date]],"Y")</f>
        <v>45</v>
      </c>
      <c r="O3" s="33">
        <v>4540</v>
      </c>
      <c r="P3" s="33">
        <f>Table2_1[[#This Row],[Quantity Purchased]]*Table2_1[[#This Row],[UnitPrice]]*(1-Table2_1[[#This Row],[Discount]])</f>
        <v>5720.4000000000005</v>
      </c>
      <c r="Q3" s="33">
        <f>Table2_1[[#This Row],[Revenue]]-Table2_1[[#This Row],[COGS]]</f>
        <v>1180.4000000000005</v>
      </c>
      <c r="R3" s="39">
        <f>WEEKDAY(Table2_1[[#This Row],[Transaction  Date]])</f>
        <v>2</v>
      </c>
      <c r="S3" s="17" t="str">
        <f>IF(WEEKDAY(Table2_1[[#This Row],[Transaction  Date]],2)&lt;=5,"Weekday","Weekend")</f>
        <v>Weekday</v>
      </c>
      <c r="T3" s="37" t="str">
        <f>FLOOR(Table2_1[[#This Row],[Age]],15)&amp; "-"&amp; FLOOR(Table2_1[[#This Row],[Age]],15)+14</f>
        <v>45-59</v>
      </c>
    </row>
    <row r="4" spans="1:20" x14ac:dyDescent="0.3">
      <c r="A4" s="18">
        <v>45293</v>
      </c>
      <c r="B4" s="17" t="s">
        <v>940</v>
      </c>
      <c r="C4" s="17" t="s">
        <v>13</v>
      </c>
      <c r="D4" s="18">
        <v>32046</v>
      </c>
      <c r="E4" s="16" t="s">
        <v>20</v>
      </c>
      <c r="F4" s="31">
        <v>428</v>
      </c>
      <c r="G4" s="17" t="s">
        <v>15</v>
      </c>
      <c r="H4" s="17" t="s">
        <v>52</v>
      </c>
      <c r="I4" s="17" t="s">
        <v>17</v>
      </c>
      <c r="J4" s="27">
        <v>0.1</v>
      </c>
      <c r="K4" s="17" t="s">
        <v>929</v>
      </c>
      <c r="L4" s="32">
        <v>10</v>
      </c>
      <c r="M4" s="32">
        <f>_xlfn.XLOOKUP(Table2_1[[#This Row],[Product Code]],Product_Code,Unit_Price,0)</f>
        <v>14</v>
      </c>
      <c r="N4" s="31">
        <f>DATEDIF(Table2_1[[#This Row],[Buyer Date of Birth]],Table2_1[[#This Row],[Transaction  Date]],"Y")</f>
        <v>36</v>
      </c>
      <c r="O4" s="33">
        <v>4280</v>
      </c>
      <c r="P4" s="33">
        <f>Table2_1[[#This Row],[Quantity Purchased]]*Table2_1[[#This Row],[UnitPrice]]*(1-Table2_1[[#This Row],[Discount]])</f>
        <v>5392.8</v>
      </c>
      <c r="Q4" s="33">
        <f>Table2_1[[#This Row],[Revenue]]-Table2_1[[#This Row],[COGS]]</f>
        <v>1112.8000000000002</v>
      </c>
      <c r="R4" s="39">
        <f>WEEKDAY(Table2_1[[#This Row],[Transaction  Date]])</f>
        <v>3</v>
      </c>
      <c r="S4" s="17" t="str">
        <f>IF(WEEKDAY(Table2_1[[#This Row],[Transaction  Date]],2)&lt;=5,"Weekday","Weekend")</f>
        <v>Weekday</v>
      </c>
      <c r="T4" s="37" t="str">
        <f>FLOOR(Table2_1[[#This Row],[Age]],15)&amp; "-"&amp; FLOOR(Table2_1[[#This Row],[Age]],15)+14</f>
        <v>30-44</v>
      </c>
    </row>
    <row r="5" spans="1:20" x14ac:dyDescent="0.3">
      <c r="A5" s="18">
        <v>45293</v>
      </c>
      <c r="B5" s="17" t="s">
        <v>1831</v>
      </c>
      <c r="C5" s="17" t="s">
        <v>32</v>
      </c>
      <c r="D5" s="18">
        <v>22306</v>
      </c>
      <c r="E5" s="16" t="s">
        <v>14</v>
      </c>
      <c r="F5" s="31">
        <v>209</v>
      </c>
      <c r="G5" s="17" t="s">
        <v>32</v>
      </c>
      <c r="H5" s="17" t="s">
        <v>48</v>
      </c>
      <c r="I5" s="17" t="s">
        <v>29</v>
      </c>
      <c r="J5" s="27">
        <v>0.1</v>
      </c>
      <c r="K5" s="17" t="s">
        <v>32</v>
      </c>
      <c r="L5" s="32">
        <v>0</v>
      </c>
      <c r="M5" s="32">
        <f>_xlfn.XLOOKUP(Table2_1[[#This Row],[Product Code]],Product_Code,Unit_Price,0)</f>
        <v>0</v>
      </c>
      <c r="N5" s="31">
        <f>DATEDIF(Table2_1[[#This Row],[Buyer Date of Birth]],Table2_1[[#This Row],[Transaction  Date]],"Y")</f>
        <v>62</v>
      </c>
      <c r="O5" s="33">
        <v>0</v>
      </c>
      <c r="P5" s="33">
        <f>Table2_1[[#This Row],[Quantity Purchased]]*Table2_1[[#This Row],[UnitPrice]]*(1-Table2_1[[#This Row],[Discount]])</f>
        <v>0</v>
      </c>
      <c r="Q5" s="33">
        <f>Table2_1[[#This Row],[Revenue]]-Table2_1[[#This Row],[COGS]]</f>
        <v>0</v>
      </c>
      <c r="R5" s="39">
        <f>WEEKDAY(Table2_1[[#This Row],[Transaction  Date]])</f>
        <v>3</v>
      </c>
      <c r="S5" s="17" t="str">
        <f>IF(WEEKDAY(Table2_1[[#This Row],[Transaction  Date]],2)&lt;=5,"Weekday","Weekend")</f>
        <v>Weekday</v>
      </c>
      <c r="T5" s="37" t="str">
        <f>FLOOR(Table2_1[[#This Row],[Age]],15)&amp; "-"&amp; FLOOR(Table2_1[[#This Row],[Age]],15)+14</f>
        <v>60-74</v>
      </c>
    </row>
    <row r="6" spans="1:20" x14ac:dyDescent="0.3">
      <c r="A6" s="18">
        <v>45293</v>
      </c>
      <c r="B6" s="17" t="s">
        <v>941</v>
      </c>
      <c r="C6" s="17" t="s">
        <v>94</v>
      </c>
      <c r="D6" s="18">
        <v>35144</v>
      </c>
      <c r="E6" s="16" t="s">
        <v>20</v>
      </c>
      <c r="F6" s="31">
        <v>212</v>
      </c>
      <c r="G6" s="17" t="s">
        <v>15</v>
      </c>
      <c r="H6" s="17" t="s">
        <v>43</v>
      </c>
      <c r="I6" s="17" t="s">
        <v>17</v>
      </c>
      <c r="J6" s="27">
        <v>0.1</v>
      </c>
      <c r="K6" s="17" t="s">
        <v>929</v>
      </c>
      <c r="L6" s="32">
        <v>10</v>
      </c>
      <c r="M6" s="32">
        <f>_xlfn.XLOOKUP(Table2_1[[#This Row],[Product Code]],Product_Code,Unit_Price,0)</f>
        <v>14</v>
      </c>
      <c r="N6" s="31">
        <f>DATEDIF(Table2_1[[#This Row],[Buyer Date of Birth]],Table2_1[[#This Row],[Transaction  Date]],"Y")</f>
        <v>27</v>
      </c>
      <c r="O6" s="33">
        <v>2120</v>
      </c>
      <c r="P6" s="33">
        <f>Table2_1[[#This Row],[Quantity Purchased]]*Table2_1[[#This Row],[UnitPrice]]*(1-Table2_1[[#This Row],[Discount]])</f>
        <v>2671.2000000000003</v>
      </c>
      <c r="Q6" s="33">
        <f>Table2_1[[#This Row],[Revenue]]-Table2_1[[#This Row],[COGS]]</f>
        <v>551.20000000000027</v>
      </c>
      <c r="R6" s="39">
        <f>WEEKDAY(Table2_1[[#This Row],[Transaction  Date]])</f>
        <v>3</v>
      </c>
      <c r="S6" s="17" t="str">
        <f>IF(WEEKDAY(Table2_1[[#This Row],[Transaction  Date]],2)&lt;=5,"Weekday","Weekend")</f>
        <v>Weekday</v>
      </c>
      <c r="T6" s="37" t="str">
        <f>FLOOR(Table2_1[[#This Row],[Age]],15)&amp; "-"&amp; FLOOR(Table2_1[[#This Row],[Age]],15)+14</f>
        <v>15-29</v>
      </c>
    </row>
    <row r="7" spans="1:20" x14ac:dyDescent="0.3">
      <c r="A7" s="18">
        <v>45293</v>
      </c>
      <c r="B7" s="17" t="s">
        <v>942</v>
      </c>
      <c r="C7" s="17" t="s">
        <v>38</v>
      </c>
      <c r="D7" s="18">
        <v>20423</v>
      </c>
      <c r="E7" s="16" t="s">
        <v>33</v>
      </c>
      <c r="F7" s="31">
        <v>377</v>
      </c>
      <c r="G7" s="17" t="s">
        <v>21</v>
      </c>
      <c r="H7" s="17" t="s">
        <v>28</v>
      </c>
      <c r="I7" s="17" t="s">
        <v>17</v>
      </c>
      <c r="J7" s="27">
        <v>0.1</v>
      </c>
      <c r="K7" s="17" t="s">
        <v>934</v>
      </c>
      <c r="L7" s="32">
        <v>10</v>
      </c>
      <c r="M7" s="32">
        <f>_xlfn.XLOOKUP(Table2_1[[#This Row],[Product Code]],Product_Code,Unit_Price,0)</f>
        <v>45</v>
      </c>
      <c r="N7" s="31">
        <f>DATEDIF(Table2_1[[#This Row],[Buyer Date of Birth]],Table2_1[[#This Row],[Transaction  Date]],"Y")</f>
        <v>68</v>
      </c>
      <c r="O7" s="33">
        <v>3770</v>
      </c>
      <c r="P7" s="33">
        <f>Table2_1[[#This Row],[Quantity Purchased]]*Table2_1[[#This Row],[UnitPrice]]*(1-Table2_1[[#This Row],[Discount]])</f>
        <v>15268.5</v>
      </c>
      <c r="Q7" s="33">
        <f>Table2_1[[#This Row],[Revenue]]-Table2_1[[#This Row],[COGS]]</f>
        <v>11498.5</v>
      </c>
      <c r="R7" s="39">
        <f>WEEKDAY(Table2_1[[#This Row],[Transaction  Date]])</f>
        <v>3</v>
      </c>
      <c r="S7" s="17" t="str">
        <f>IF(WEEKDAY(Table2_1[[#This Row],[Transaction  Date]],2)&lt;=5,"Weekday","Weekend")</f>
        <v>Weekday</v>
      </c>
      <c r="T7" s="37" t="str">
        <f>FLOOR(Table2_1[[#This Row],[Age]],15)&amp; "-"&amp; FLOOR(Table2_1[[#This Row],[Age]],15)+14</f>
        <v>60-74</v>
      </c>
    </row>
    <row r="8" spans="1:20" x14ac:dyDescent="0.3">
      <c r="A8" s="18">
        <v>45293</v>
      </c>
      <c r="B8" s="17" t="s">
        <v>943</v>
      </c>
      <c r="C8" s="17" t="s">
        <v>26</v>
      </c>
      <c r="D8" s="18">
        <v>25299</v>
      </c>
      <c r="E8" s="16" t="s">
        <v>14</v>
      </c>
      <c r="F8" s="31">
        <v>305</v>
      </c>
      <c r="G8" s="17" t="s">
        <v>47</v>
      </c>
      <c r="H8" s="17" t="s">
        <v>48</v>
      </c>
      <c r="I8" s="17" t="s">
        <v>17</v>
      </c>
      <c r="J8" s="27">
        <v>0.1</v>
      </c>
      <c r="K8" s="17" t="s">
        <v>931</v>
      </c>
      <c r="L8" s="32">
        <v>7</v>
      </c>
      <c r="M8" s="32">
        <f>_xlfn.XLOOKUP(Table2_1[[#This Row],[Product Code]],Product_Code,Unit_Price,0)</f>
        <v>9</v>
      </c>
      <c r="N8" s="31">
        <f>DATEDIF(Table2_1[[#This Row],[Buyer Date of Birth]],Table2_1[[#This Row],[Transaction  Date]],"Y")</f>
        <v>54</v>
      </c>
      <c r="O8" s="33">
        <v>2135</v>
      </c>
      <c r="P8" s="33">
        <f>Table2_1[[#This Row],[Quantity Purchased]]*Table2_1[[#This Row],[UnitPrice]]*(1-Table2_1[[#This Row],[Discount]])</f>
        <v>2470.5</v>
      </c>
      <c r="Q8" s="33">
        <f>Table2_1[[#This Row],[Revenue]]-Table2_1[[#This Row],[COGS]]</f>
        <v>335.5</v>
      </c>
      <c r="R8" s="39">
        <f>WEEKDAY(Table2_1[[#This Row],[Transaction  Date]])</f>
        <v>3</v>
      </c>
      <c r="S8" s="17" t="str">
        <f>IF(WEEKDAY(Table2_1[[#This Row],[Transaction  Date]],2)&lt;=5,"Weekday","Weekend")</f>
        <v>Weekday</v>
      </c>
      <c r="T8" s="37" t="str">
        <f>FLOOR(Table2_1[[#This Row],[Age]],15)&amp; "-"&amp; FLOOR(Table2_1[[#This Row],[Age]],15)+14</f>
        <v>45-59</v>
      </c>
    </row>
    <row r="9" spans="1:20" x14ac:dyDescent="0.3">
      <c r="A9" s="18">
        <v>45293</v>
      </c>
      <c r="B9" s="17" t="s">
        <v>944</v>
      </c>
      <c r="C9" s="17" t="s">
        <v>26</v>
      </c>
      <c r="D9" s="18">
        <v>26760</v>
      </c>
      <c r="E9" s="16" t="s">
        <v>68</v>
      </c>
      <c r="F9" s="31">
        <v>263</v>
      </c>
      <c r="G9" s="17" t="s">
        <v>21</v>
      </c>
      <c r="H9" s="17" t="s">
        <v>48</v>
      </c>
      <c r="I9" s="17" t="s">
        <v>17</v>
      </c>
      <c r="J9" s="27">
        <v>0.1</v>
      </c>
      <c r="K9" s="17" t="s">
        <v>934</v>
      </c>
      <c r="L9" s="32">
        <v>10</v>
      </c>
      <c r="M9" s="32">
        <f>_xlfn.XLOOKUP(Table2_1[[#This Row],[Product Code]],Product_Code,Unit_Price,0)</f>
        <v>45</v>
      </c>
      <c r="N9" s="31">
        <f>DATEDIF(Table2_1[[#This Row],[Buyer Date of Birth]],Table2_1[[#This Row],[Transaction  Date]],"Y")</f>
        <v>50</v>
      </c>
      <c r="O9" s="33">
        <v>2630</v>
      </c>
      <c r="P9" s="33">
        <f>Table2_1[[#This Row],[Quantity Purchased]]*Table2_1[[#This Row],[UnitPrice]]*(1-Table2_1[[#This Row],[Discount]])</f>
        <v>10651.5</v>
      </c>
      <c r="Q9" s="33">
        <f>Table2_1[[#This Row],[Revenue]]-Table2_1[[#This Row],[COGS]]</f>
        <v>8021.5</v>
      </c>
      <c r="R9" s="39">
        <f>WEEKDAY(Table2_1[[#This Row],[Transaction  Date]])</f>
        <v>3</v>
      </c>
      <c r="S9" s="17" t="str">
        <f>IF(WEEKDAY(Table2_1[[#This Row],[Transaction  Date]],2)&lt;=5,"Weekday","Weekend")</f>
        <v>Weekday</v>
      </c>
      <c r="T9" s="37" t="str">
        <f>FLOOR(Table2_1[[#This Row],[Age]],15)&amp; "-"&amp; FLOOR(Table2_1[[#This Row],[Age]],15)+14</f>
        <v>45-59</v>
      </c>
    </row>
    <row r="10" spans="1:20" x14ac:dyDescent="0.3">
      <c r="A10" s="18">
        <v>45293</v>
      </c>
      <c r="B10" s="17" t="s">
        <v>945</v>
      </c>
      <c r="C10" s="17" t="s">
        <v>26</v>
      </c>
      <c r="D10" s="18">
        <v>27690</v>
      </c>
      <c r="E10" s="16" t="s">
        <v>14</v>
      </c>
      <c r="F10" s="31">
        <v>434</v>
      </c>
      <c r="G10" s="17" t="s">
        <v>34</v>
      </c>
      <c r="H10" s="17" t="s">
        <v>52</v>
      </c>
      <c r="I10" s="17" t="s">
        <v>17</v>
      </c>
      <c r="J10" s="27">
        <v>0.1</v>
      </c>
      <c r="K10" s="17" t="s">
        <v>930</v>
      </c>
      <c r="L10" s="32">
        <v>14</v>
      </c>
      <c r="M10" s="32">
        <f>_xlfn.XLOOKUP(Table2_1[[#This Row],[Product Code]],Product_Code,Unit_Price,0)</f>
        <v>28</v>
      </c>
      <c r="N10" s="31">
        <f>DATEDIF(Table2_1[[#This Row],[Buyer Date of Birth]],Table2_1[[#This Row],[Transaction  Date]],"Y")</f>
        <v>48</v>
      </c>
      <c r="O10" s="33">
        <v>6076</v>
      </c>
      <c r="P10" s="33">
        <f>Table2_1[[#This Row],[Quantity Purchased]]*Table2_1[[#This Row],[UnitPrice]]*(1-Table2_1[[#This Row],[Discount]])</f>
        <v>10936.800000000001</v>
      </c>
      <c r="Q10" s="33">
        <f>Table2_1[[#This Row],[Revenue]]-Table2_1[[#This Row],[COGS]]</f>
        <v>4860.8000000000011</v>
      </c>
      <c r="R10" s="39">
        <f>WEEKDAY(Table2_1[[#This Row],[Transaction  Date]])</f>
        <v>3</v>
      </c>
      <c r="S10" s="17" t="str">
        <f>IF(WEEKDAY(Table2_1[[#This Row],[Transaction  Date]],2)&lt;=5,"Weekday","Weekend")</f>
        <v>Weekday</v>
      </c>
      <c r="T10" s="37" t="str">
        <f>FLOOR(Table2_1[[#This Row],[Age]],15)&amp; "-"&amp; FLOOR(Table2_1[[#This Row],[Age]],15)+14</f>
        <v>45-59</v>
      </c>
    </row>
    <row r="11" spans="1:20" x14ac:dyDescent="0.3">
      <c r="A11" s="18">
        <v>45294</v>
      </c>
      <c r="B11" s="17" t="s">
        <v>946</v>
      </c>
      <c r="C11" s="17" t="s">
        <v>38</v>
      </c>
      <c r="D11" s="18">
        <v>26417</v>
      </c>
      <c r="E11" s="16" t="s">
        <v>68</v>
      </c>
      <c r="F11" s="31">
        <v>75</v>
      </c>
      <c r="G11" s="17" t="s">
        <v>64</v>
      </c>
      <c r="H11" s="17" t="s">
        <v>52</v>
      </c>
      <c r="I11" s="17" t="s">
        <v>17</v>
      </c>
      <c r="J11" s="27">
        <v>0.1</v>
      </c>
      <c r="K11" s="17" t="s">
        <v>933</v>
      </c>
      <c r="L11" s="32">
        <v>5</v>
      </c>
      <c r="M11" s="32">
        <f>_xlfn.XLOOKUP(Table2_1[[#This Row],[Product Code]],Product_Code,Unit_Price,0)</f>
        <v>7</v>
      </c>
      <c r="N11" s="31">
        <f>DATEDIF(Table2_1[[#This Row],[Buyer Date of Birth]],Table2_1[[#This Row],[Transaction  Date]],"Y")</f>
        <v>51</v>
      </c>
      <c r="O11" s="33">
        <v>375</v>
      </c>
      <c r="P11" s="33">
        <f>Table2_1[[#This Row],[Quantity Purchased]]*Table2_1[[#This Row],[UnitPrice]]*(1-Table2_1[[#This Row],[Discount]])</f>
        <v>472.5</v>
      </c>
      <c r="Q11" s="33">
        <f>Table2_1[[#This Row],[Revenue]]-Table2_1[[#This Row],[COGS]]</f>
        <v>97.5</v>
      </c>
      <c r="R11" s="39">
        <f>WEEKDAY(Table2_1[[#This Row],[Transaction  Date]])</f>
        <v>4</v>
      </c>
      <c r="S11" s="17" t="str">
        <f>IF(WEEKDAY(Table2_1[[#This Row],[Transaction  Date]],2)&lt;=5,"Weekday","Weekend")</f>
        <v>Weekday</v>
      </c>
      <c r="T11" s="37" t="str">
        <f>FLOOR(Table2_1[[#This Row],[Age]],15)&amp; "-"&amp; FLOOR(Table2_1[[#This Row],[Age]],15)+14</f>
        <v>45-59</v>
      </c>
    </row>
    <row r="12" spans="1:20" x14ac:dyDescent="0.3">
      <c r="A12" s="18">
        <v>45294</v>
      </c>
      <c r="B12" s="17" t="s">
        <v>947</v>
      </c>
      <c r="C12" s="17" t="s">
        <v>83</v>
      </c>
      <c r="D12" s="18">
        <v>19009</v>
      </c>
      <c r="E12" s="16" t="s">
        <v>20</v>
      </c>
      <c r="F12" s="31">
        <v>358</v>
      </c>
      <c r="G12" s="17" t="s">
        <v>32</v>
      </c>
      <c r="H12" s="17" t="s">
        <v>48</v>
      </c>
      <c r="I12" s="17" t="s">
        <v>17</v>
      </c>
      <c r="J12" s="27">
        <v>0.1</v>
      </c>
      <c r="K12" s="17" t="s">
        <v>32</v>
      </c>
      <c r="L12" s="32">
        <v>0</v>
      </c>
      <c r="M12" s="32">
        <f>_xlfn.XLOOKUP(Table2_1[[#This Row],[Product Code]],Product_Code,Unit_Price,0)</f>
        <v>0</v>
      </c>
      <c r="N12" s="31">
        <f>DATEDIF(Table2_1[[#This Row],[Buyer Date of Birth]],Table2_1[[#This Row],[Transaction  Date]],"Y")</f>
        <v>71</v>
      </c>
      <c r="O12" s="33">
        <v>0</v>
      </c>
      <c r="P12" s="33">
        <f>Table2_1[[#This Row],[Quantity Purchased]]*Table2_1[[#This Row],[UnitPrice]]*(1-Table2_1[[#This Row],[Discount]])</f>
        <v>0</v>
      </c>
      <c r="Q12" s="33">
        <f>Table2_1[[#This Row],[Revenue]]-Table2_1[[#This Row],[COGS]]</f>
        <v>0</v>
      </c>
      <c r="R12" s="39">
        <f>WEEKDAY(Table2_1[[#This Row],[Transaction  Date]])</f>
        <v>4</v>
      </c>
      <c r="S12" s="17" t="str">
        <f>IF(WEEKDAY(Table2_1[[#This Row],[Transaction  Date]],2)&lt;=5,"Weekday","Weekend")</f>
        <v>Weekday</v>
      </c>
      <c r="T12" s="37" t="str">
        <f>FLOOR(Table2_1[[#This Row],[Age]],15)&amp; "-"&amp; FLOOR(Table2_1[[#This Row],[Age]],15)+14</f>
        <v>60-74</v>
      </c>
    </row>
    <row r="13" spans="1:20" x14ac:dyDescent="0.3">
      <c r="A13" s="18">
        <v>45294</v>
      </c>
      <c r="B13" s="17" t="s">
        <v>948</v>
      </c>
      <c r="C13" s="17" t="s">
        <v>13</v>
      </c>
      <c r="D13" s="18">
        <v>22149</v>
      </c>
      <c r="E13" s="16" t="s">
        <v>68</v>
      </c>
      <c r="F13" s="31">
        <v>379</v>
      </c>
      <c r="G13" s="17" t="s">
        <v>21</v>
      </c>
      <c r="H13" s="17" t="s">
        <v>52</v>
      </c>
      <c r="I13" s="17" t="s">
        <v>17</v>
      </c>
      <c r="J13" s="27">
        <v>0.1</v>
      </c>
      <c r="K13" s="17" t="s">
        <v>934</v>
      </c>
      <c r="L13" s="32">
        <v>10</v>
      </c>
      <c r="M13" s="32">
        <f>_xlfn.XLOOKUP(Table2_1[[#This Row],[Product Code]],Product_Code,Unit_Price,0)</f>
        <v>45</v>
      </c>
      <c r="N13" s="31">
        <f>DATEDIF(Table2_1[[#This Row],[Buyer Date of Birth]],Table2_1[[#This Row],[Transaction  Date]],"Y")</f>
        <v>63</v>
      </c>
      <c r="O13" s="33">
        <v>3790</v>
      </c>
      <c r="P13" s="33">
        <f>Table2_1[[#This Row],[Quantity Purchased]]*Table2_1[[#This Row],[UnitPrice]]*(1-Table2_1[[#This Row],[Discount]])</f>
        <v>15349.5</v>
      </c>
      <c r="Q13" s="33">
        <f>Table2_1[[#This Row],[Revenue]]-Table2_1[[#This Row],[COGS]]</f>
        <v>11559.5</v>
      </c>
      <c r="R13" s="39">
        <f>WEEKDAY(Table2_1[[#This Row],[Transaction  Date]])</f>
        <v>4</v>
      </c>
      <c r="S13" s="17" t="str">
        <f>IF(WEEKDAY(Table2_1[[#This Row],[Transaction  Date]],2)&lt;=5,"Weekday","Weekend")</f>
        <v>Weekday</v>
      </c>
      <c r="T13" s="37" t="str">
        <f>FLOOR(Table2_1[[#This Row],[Age]],15)&amp; "-"&amp; FLOOR(Table2_1[[#This Row],[Age]],15)+14</f>
        <v>60-74</v>
      </c>
    </row>
    <row r="14" spans="1:20" x14ac:dyDescent="0.3">
      <c r="A14" s="18">
        <v>45294</v>
      </c>
      <c r="B14" s="17" t="s">
        <v>949</v>
      </c>
      <c r="C14" s="17" t="s">
        <v>26</v>
      </c>
      <c r="D14" s="18">
        <v>18238</v>
      </c>
      <c r="E14" s="16" t="s">
        <v>68</v>
      </c>
      <c r="F14" s="31">
        <v>347</v>
      </c>
      <c r="G14" s="17" t="s">
        <v>34</v>
      </c>
      <c r="H14" s="17" t="s">
        <v>43</v>
      </c>
      <c r="I14" s="17" t="s">
        <v>17</v>
      </c>
      <c r="J14" s="27">
        <v>0.1</v>
      </c>
      <c r="K14" s="17" t="s">
        <v>930</v>
      </c>
      <c r="L14" s="32">
        <v>14</v>
      </c>
      <c r="M14" s="32">
        <f>_xlfn.XLOOKUP(Table2_1[[#This Row],[Product Code]],Product_Code,Unit_Price,0)</f>
        <v>28</v>
      </c>
      <c r="N14" s="31">
        <f>DATEDIF(Table2_1[[#This Row],[Buyer Date of Birth]],Table2_1[[#This Row],[Transaction  Date]],"Y")</f>
        <v>74</v>
      </c>
      <c r="O14" s="33">
        <v>4858</v>
      </c>
      <c r="P14" s="33">
        <f>Table2_1[[#This Row],[Quantity Purchased]]*Table2_1[[#This Row],[UnitPrice]]*(1-Table2_1[[#This Row],[Discount]])</f>
        <v>8744.4</v>
      </c>
      <c r="Q14" s="33">
        <f>Table2_1[[#This Row],[Revenue]]-Table2_1[[#This Row],[COGS]]</f>
        <v>3886.3999999999996</v>
      </c>
      <c r="R14" s="39">
        <f>WEEKDAY(Table2_1[[#This Row],[Transaction  Date]])</f>
        <v>4</v>
      </c>
      <c r="S14" s="17" t="str">
        <f>IF(WEEKDAY(Table2_1[[#This Row],[Transaction  Date]],2)&lt;=5,"Weekday","Weekend")</f>
        <v>Weekday</v>
      </c>
      <c r="T14" s="37" t="str">
        <f>FLOOR(Table2_1[[#This Row],[Age]],15)&amp; "-"&amp; FLOOR(Table2_1[[#This Row],[Age]],15)+14</f>
        <v>60-74</v>
      </c>
    </row>
    <row r="15" spans="1:20" x14ac:dyDescent="0.3">
      <c r="A15" s="18">
        <v>45295</v>
      </c>
      <c r="B15" s="17" t="s">
        <v>950</v>
      </c>
      <c r="C15" s="17" t="s">
        <v>32</v>
      </c>
      <c r="D15" s="18">
        <v>34299</v>
      </c>
      <c r="E15" s="16" t="s">
        <v>14</v>
      </c>
      <c r="F15" s="31">
        <v>338</v>
      </c>
      <c r="G15" s="17" t="s">
        <v>56</v>
      </c>
      <c r="H15" s="17" t="s">
        <v>52</v>
      </c>
      <c r="I15" s="17" t="s">
        <v>17</v>
      </c>
      <c r="J15" s="27">
        <v>0.1</v>
      </c>
      <c r="K15" s="17" t="s">
        <v>935</v>
      </c>
      <c r="L15" s="32">
        <v>18</v>
      </c>
      <c r="M15" s="32">
        <f>_xlfn.XLOOKUP(Table2_1[[#This Row],[Product Code]],Product_Code,Unit_Price,0)</f>
        <v>36</v>
      </c>
      <c r="N15" s="31">
        <f>DATEDIF(Table2_1[[#This Row],[Buyer Date of Birth]],Table2_1[[#This Row],[Transaction  Date]],"Y")</f>
        <v>30</v>
      </c>
      <c r="O15" s="33">
        <v>6084</v>
      </c>
      <c r="P15" s="33">
        <f>Table2_1[[#This Row],[Quantity Purchased]]*Table2_1[[#This Row],[UnitPrice]]*(1-Table2_1[[#This Row],[Discount]])</f>
        <v>10951.2</v>
      </c>
      <c r="Q15" s="33">
        <f>Table2_1[[#This Row],[Revenue]]-Table2_1[[#This Row],[COGS]]</f>
        <v>4867.2000000000007</v>
      </c>
      <c r="R15" s="39">
        <f>WEEKDAY(Table2_1[[#This Row],[Transaction  Date]])</f>
        <v>5</v>
      </c>
      <c r="S15" s="17" t="str">
        <f>IF(WEEKDAY(Table2_1[[#This Row],[Transaction  Date]],2)&lt;=5,"Weekday","Weekend")</f>
        <v>Weekday</v>
      </c>
      <c r="T15" s="37" t="str">
        <f>FLOOR(Table2_1[[#This Row],[Age]],15)&amp; "-"&amp; FLOOR(Table2_1[[#This Row],[Age]],15)+14</f>
        <v>30-44</v>
      </c>
    </row>
    <row r="16" spans="1:20" x14ac:dyDescent="0.3">
      <c r="A16" s="18">
        <v>45295</v>
      </c>
      <c r="B16" s="17" t="s">
        <v>951</v>
      </c>
      <c r="C16" s="17" t="s">
        <v>32</v>
      </c>
      <c r="D16" s="18">
        <v>18218</v>
      </c>
      <c r="E16" s="16" t="s">
        <v>33</v>
      </c>
      <c r="F16" s="31">
        <v>46</v>
      </c>
      <c r="G16" s="17" t="s">
        <v>15</v>
      </c>
      <c r="H16" s="17" t="s">
        <v>52</v>
      </c>
      <c r="I16" s="17" t="s">
        <v>17</v>
      </c>
      <c r="J16" s="27">
        <v>0.1</v>
      </c>
      <c r="K16" s="17" t="s">
        <v>929</v>
      </c>
      <c r="L16" s="32">
        <v>10</v>
      </c>
      <c r="M16" s="32">
        <f>_xlfn.XLOOKUP(Table2_1[[#This Row],[Product Code]],Product_Code,Unit_Price,0)</f>
        <v>14</v>
      </c>
      <c r="N16" s="31">
        <f>DATEDIF(Table2_1[[#This Row],[Buyer Date of Birth]],Table2_1[[#This Row],[Transaction  Date]],"Y")</f>
        <v>74</v>
      </c>
      <c r="O16" s="33">
        <v>460</v>
      </c>
      <c r="P16" s="33">
        <f>Table2_1[[#This Row],[Quantity Purchased]]*Table2_1[[#This Row],[UnitPrice]]*(1-Table2_1[[#This Row],[Discount]])</f>
        <v>579.6</v>
      </c>
      <c r="Q16" s="33">
        <f>Table2_1[[#This Row],[Revenue]]-Table2_1[[#This Row],[COGS]]</f>
        <v>119.60000000000002</v>
      </c>
      <c r="R16" s="39">
        <f>WEEKDAY(Table2_1[[#This Row],[Transaction  Date]])</f>
        <v>5</v>
      </c>
      <c r="S16" s="17" t="str">
        <f>IF(WEEKDAY(Table2_1[[#This Row],[Transaction  Date]],2)&lt;=5,"Weekday","Weekend")</f>
        <v>Weekday</v>
      </c>
      <c r="T16" s="37" t="str">
        <f>FLOOR(Table2_1[[#This Row],[Age]],15)&amp; "-"&amp; FLOOR(Table2_1[[#This Row],[Age]],15)+14</f>
        <v>60-74</v>
      </c>
    </row>
    <row r="17" spans="1:20" x14ac:dyDescent="0.3">
      <c r="A17" s="18">
        <v>45295</v>
      </c>
      <c r="B17" s="17" t="s">
        <v>952</v>
      </c>
      <c r="C17" s="17" t="s">
        <v>46</v>
      </c>
      <c r="D17" s="18">
        <v>29596</v>
      </c>
      <c r="E17" s="16" t="s">
        <v>14</v>
      </c>
      <c r="F17" s="31">
        <v>26</v>
      </c>
      <c r="G17" s="17" t="s">
        <v>59</v>
      </c>
      <c r="H17" s="17" t="s">
        <v>48</v>
      </c>
      <c r="I17" s="17" t="s">
        <v>17</v>
      </c>
      <c r="J17" s="27">
        <v>0.1</v>
      </c>
      <c r="K17" s="17" t="s">
        <v>932</v>
      </c>
      <c r="L17" s="32">
        <v>19</v>
      </c>
      <c r="M17" s="32">
        <f>_xlfn.XLOOKUP(Table2_1[[#This Row],[Product Code]],Product_Code,Unit_Price,0)</f>
        <v>23</v>
      </c>
      <c r="N17" s="31">
        <f>DATEDIF(Table2_1[[#This Row],[Buyer Date of Birth]],Table2_1[[#This Row],[Transaction  Date]],"Y")</f>
        <v>42</v>
      </c>
      <c r="O17" s="33">
        <v>494</v>
      </c>
      <c r="P17" s="33">
        <f>Table2_1[[#This Row],[Quantity Purchased]]*Table2_1[[#This Row],[UnitPrice]]*(1-Table2_1[[#This Row],[Discount]])</f>
        <v>538.20000000000005</v>
      </c>
      <c r="Q17" s="33">
        <f>Table2_1[[#This Row],[Revenue]]-Table2_1[[#This Row],[COGS]]</f>
        <v>44.200000000000045</v>
      </c>
      <c r="R17" s="39">
        <f>WEEKDAY(Table2_1[[#This Row],[Transaction  Date]])</f>
        <v>5</v>
      </c>
      <c r="S17" s="17" t="str">
        <f>IF(WEEKDAY(Table2_1[[#This Row],[Transaction  Date]],2)&lt;=5,"Weekday","Weekend")</f>
        <v>Weekday</v>
      </c>
      <c r="T17" s="37" t="str">
        <f>FLOOR(Table2_1[[#This Row],[Age]],15)&amp; "-"&amp; FLOOR(Table2_1[[#This Row],[Age]],15)+14</f>
        <v>30-44</v>
      </c>
    </row>
    <row r="18" spans="1:20" x14ac:dyDescent="0.3">
      <c r="A18" s="18">
        <v>45295</v>
      </c>
      <c r="B18" s="17" t="s">
        <v>953</v>
      </c>
      <c r="C18" s="17" t="s">
        <v>13</v>
      </c>
      <c r="D18" s="18">
        <v>16552</v>
      </c>
      <c r="E18" s="16" t="s">
        <v>20</v>
      </c>
      <c r="F18" s="31">
        <v>199</v>
      </c>
      <c r="G18" s="17" t="s">
        <v>34</v>
      </c>
      <c r="H18" s="17" t="s">
        <v>28</v>
      </c>
      <c r="I18" s="17" t="s">
        <v>17</v>
      </c>
      <c r="J18" s="27">
        <v>0.1</v>
      </c>
      <c r="K18" s="17" t="s">
        <v>930</v>
      </c>
      <c r="L18" s="32">
        <v>14</v>
      </c>
      <c r="M18" s="32">
        <f>_xlfn.XLOOKUP(Table2_1[[#This Row],[Product Code]],Product_Code,Unit_Price,0)</f>
        <v>28</v>
      </c>
      <c r="N18" s="31">
        <f>DATEDIF(Table2_1[[#This Row],[Buyer Date of Birth]],Table2_1[[#This Row],[Transaction  Date]],"Y")</f>
        <v>78</v>
      </c>
      <c r="O18" s="33">
        <v>2786</v>
      </c>
      <c r="P18" s="33">
        <f>Table2_1[[#This Row],[Quantity Purchased]]*Table2_1[[#This Row],[UnitPrice]]*(1-Table2_1[[#This Row],[Discount]])</f>
        <v>5014.8</v>
      </c>
      <c r="Q18" s="33">
        <f>Table2_1[[#This Row],[Revenue]]-Table2_1[[#This Row],[COGS]]</f>
        <v>2228.8000000000002</v>
      </c>
      <c r="R18" s="39">
        <f>WEEKDAY(Table2_1[[#This Row],[Transaction  Date]])</f>
        <v>5</v>
      </c>
      <c r="S18" s="17" t="str">
        <f>IF(WEEKDAY(Table2_1[[#This Row],[Transaction  Date]],2)&lt;=5,"Weekday","Weekend")</f>
        <v>Weekday</v>
      </c>
      <c r="T18" s="37" t="str">
        <f>FLOOR(Table2_1[[#This Row],[Age]],15)&amp; "-"&amp; FLOOR(Table2_1[[#This Row],[Age]],15)+14</f>
        <v>75-89</v>
      </c>
    </row>
    <row r="19" spans="1:20" x14ac:dyDescent="0.3">
      <c r="A19" s="18">
        <v>45295</v>
      </c>
      <c r="B19" s="17" t="s">
        <v>954</v>
      </c>
      <c r="C19" s="17" t="s">
        <v>78</v>
      </c>
      <c r="D19" s="18">
        <v>33448</v>
      </c>
      <c r="E19" s="16" t="s">
        <v>68</v>
      </c>
      <c r="F19" s="31">
        <v>63</v>
      </c>
      <c r="G19" s="17" t="s">
        <v>27</v>
      </c>
      <c r="H19" s="17" t="s">
        <v>43</v>
      </c>
      <c r="I19" s="17" t="s">
        <v>17</v>
      </c>
      <c r="J19" s="27">
        <v>0.1</v>
      </c>
      <c r="K19" s="17" t="s">
        <v>927</v>
      </c>
      <c r="L19" s="32">
        <v>18</v>
      </c>
      <c r="M19" s="32">
        <f>_xlfn.XLOOKUP(Table2_1[[#This Row],[Product Code]],Product_Code,Unit_Price,0)</f>
        <v>22</v>
      </c>
      <c r="N19" s="31">
        <f>DATEDIF(Table2_1[[#This Row],[Buyer Date of Birth]],Table2_1[[#This Row],[Transaction  Date]],"Y")</f>
        <v>32</v>
      </c>
      <c r="O19" s="33">
        <v>1134</v>
      </c>
      <c r="P19" s="33">
        <f>Table2_1[[#This Row],[Quantity Purchased]]*Table2_1[[#This Row],[UnitPrice]]*(1-Table2_1[[#This Row],[Discount]])</f>
        <v>1247.4000000000001</v>
      </c>
      <c r="Q19" s="33">
        <f>Table2_1[[#This Row],[Revenue]]-Table2_1[[#This Row],[COGS]]</f>
        <v>113.40000000000009</v>
      </c>
      <c r="R19" s="39">
        <f>WEEKDAY(Table2_1[[#This Row],[Transaction  Date]])</f>
        <v>5</v>
      </c>
      <c r="S19" s="17" t="str">
        <f>IF(WEEKDAY(Table2_1[[#This Row],[Transaction  Date]],2)&lt;=5,"Weekday","Weekend")</f>
        <v>Weekday</v>
      </c>
      <c r="T19" s="37" t="str">
        <f>FLOOR(Table2_1[[#This Row],[Age]],15)&amp; "-"&amp; FLOOR(Table2_1[[#This Row],[Age]],15)+14</f>
        <v>30-44</v>
      </c>
    </row>
    <row r="20" spans="1:20" x14ac:dyDescent="0.3">
      <c r="A20" s="18">
        <v>45295</v>
      </c>
      <c r="B20" s="17" t="s">
        <v>955</v>
      </c>
      <c r="C20" s="17" t="s">
        <v>51</v>
      </c>
      <c r="D20" s="18">
        <v>23624</v>
      </c>
      <c r="E20" s="16" t="s">
        <v>20</v>
      </c>
      <c r="F20" s="31">
        <v>413</v>
      </c>
      <c r="G20" s="17" t="s">
        <v>56</v>
      </c>
      <c r="H20" s="17" t="s">
        <v>52</v>
      </c>
      <c r="I20" s="17" t="s">
        <v>23</v>
      </c>
      <c r="J20" s="27">
        <v>0.1</v>
      </c>
      <c r="K20" s="17" t="s">
        <v>935</v>
      </c>
      <c r="L20" s="32">
        <v>18</v>
      </c>
      <c r="M20" s="32">
        <f>_xlfn.XLOOKUP(Table2_1[[#This Row],[Product Code]],Product_Code,Unit_Price,0)</f>
        <v>36</v>
      </c>
      <c r="N20" s="31">
        <f>DATEDIF(Table2_1[[#This Row],[Buyer Date of Birth]],Table2_1[[#This Row],[Transaction  Date]],"Y")</f>
        <v>59</v>
      </c>
      <c r="O20" s="33">
        <v>7434</v>
      </c>
      <c r="P20" s="33">
        <f>Table2_1[[#This Row],[Quantity Purchased]]*Table2_1[[#This Row],[UnitPrice]]*(1-Table2_1[[#This Row],[Discount]])</f>
        <v>13381.2</v>
      </c>
      <c r="Q20" s="33">
        <f>Table2_1[[#This Row],[Revenue]]-Table2_1[[#This Row],[COGS]]</f>
        <v>5947.2000000000007</v>
      </c>
      <c r="R20" s="39">
        <f>WEEKDAY(Table2_1[[#This Row],[Transaction  Date]])</f>
        <v>5</v>
      </c>
      <c r="S20" s="17" t="str">
        <f>IF(WEEKDAY(Table2_1[[#This Row],[Transaction  Date]],2)&lt;=5,"Weekday","Weekend")</f>
        <v>Weekday</v>
      </c>
      <c r="T20" s="37" t="str">
        <f>FLOOR(Table2_1[[#This Row],[Age]],15)&amp; "-"&amp; FLOOR(Table2_1[[#This Row],[Age]],15)+14</f>
        <v>45-59</v>
      </c>
    </row>
    <row r="21" spans="1:20" x14ac:dyDescent="0.3">
      <c r="A21" s="18">
        <v>45295</v>
      </c>
      <c r="B21" s="17" t="s">
        <v>956</v>
      </c>
      <c r="C21" s="17" t="s">
        <v>13</v>
      </c>
      <c r="D21" s="18">
        <v>38254</v>
      </c>
      <c r="E21" s="16" t="s">
        <v>20</v>
      </c>
      <c r="F21" s="31">
        <v>175</v>
      </c>
      <c r="G21" s="17" t="s">
        <v>15</v>
      </c>
      <c r="H21" s="17" t="s">
        <v>52</v>
      </c>
      <c r="I21" s="17" t="s">
        <v>17</v>
      </c>
      <c r="J21" s="27">
        <v>0.1</v>
      </c>
      <c r="K21" s="17" t="s">
        <v>929</v>
      </c>
      <c r="L21" s="32">
        <v>10</v>
      </c>
      <c r="M21" s="32">
        <f>_xlfn.XLOOKUP(Table2_1[[#This Row],[Product Code]],Product_Code,Unit_Price,0)</f>
        <v>14</v>
      </c>
      <c r="N21" s="31">
        <f>DATEDIF(Table2_1[[#This Row],[Buyer Date of Birth]],Table2_1[[#This Row],[Transaction  Date]],"Y")</f>
        <v>19</v>
      </c>
      <c r="O21" s="33">
        <v>1750</v>
      </c>
      <c r="P21" s="33">
        <f>Table2_1[[#This Row],[Quantity Purchased]]*Table2_1[[#This Row],[UnitPrice]]*(1-Table2_1[[#This Row],[Discount]])</f>
        <v>2205</v>
      </c>
      <c r="Q21" s="33">
        <f>Table2_1[[#This Row],[Revenue]]-Table2_1[[#This Row],[COGS]]</f>
        <v>455</v>
      </c>
      <c r="R21" s="39">
        <f>WEEKDAY(Table2_1[[#This Row],[Transaction  Date]])</f>
        <v>5</v>
      </c>
      <c r="S21" s="17" t="str">
        <f>IF(WEEKDAY(Table2_1[[#This Row],[Transaction  Date]],2)&lt;=5,"Weekday","Weekend")</f>
        <v>Weekday</v>
      </c>
      <c r="T21" s="37" t="str">
        <f>FLOOR(Table2_1[[#This Row],[Age]],15)&amp; "-"&amp; FLOOR(Table2_1[[#This Row],[Age]],15)+14</f>
        <v>15-29</v>
      </c>
    </row>
    <row r="22" spans="1:20" x14ac:dyDescent="0.3">
      <c r="A22" s="18">
        <v>45296</v>
      </c>
      <c r="B22" s="17" t="s">
        <v>957</v>
      </c>
      <c r="C22" s="17" t="s">
        <v>32</v>
      </c>
      <c r="D22" s="18">
        <v>31309</v>
      </c>
      <c r="E22" s="16" t="s">
        <v>33</v>
      </c>
      <c r="F22" s="31">
        <v>224</v>
      </c>
      <c r="G22" s="17" t="s">
        <v>15</v>
      </c>
      <c r="H22" s="17" t="s">
        <v>48</v>
      </c>
      <c r="I22" s="17" t="s">
        <v>17</v>
      </c>
      <c r="J22" s="27">
        <v>0.1</v>
      </c>
      <c r="K22" s="17" t="s">
        <v>929</v>
      </c>
      <c r="L22" s="32">
        <v>10</v>
      </c>
      <c r="M22" s="32">
        <f>_xlfn.XLOOKUP(Table2_1[[#This Row],[Product Code]],Product_Code,Unit_Price,0)</f>
        <v>14</v>
      </c>
      <c r="N22" s="31">
        <f>DATEDIF(Table2_1[[#This Row],[Buyer Date of Birth]],Table2_1[[#This Row],[Transaction  Date]],"Y")</f>
        <v>38</v>
      </c>
      <c r="O22" s="33">
        <v>2240</v>
      </c>
      <c r="P22" s="33">
        <f>Table2_1[[#This Row],[Quantity Purchased]]*Table2_1[[#This Row],[UnitPrice]]*(1-Table2_1[[#This Row],[Discount]])</f>
        <v>2822.4</v>
      </c>
      <c r="Q22" s="33">
        <f>Table2_1[[#This Row],[Revenue]]-Table2_1[[#This Row],[COGS]]</f>
        <v>582.40000000000009</v>
      </c>
      <c r="R22" s="39">
        <f>WEEKDAY(Table2_1[[#This Row],[Transaction  Date]])</f>
        <v>6</v>
      </c>
      <c r="S22" s="17" t="str">
        <f>IF(WEEKDAY(Table2_1[[#This Row],[Transaction  Date]],2)&lt;=5,"Weekday","Weekend")</f>
        <v>Weekday</v>
      </c>
      <c r="T22" s="37" t="str">
        <f>FLOOR(Table2_1[[#This Row],[Age]],15)&amp; "-"&amp; FLOOR(Table2_1[[#This Row],[Age]],15)+14</f>
        <v>30-44</v>
      </c>
    </row>
    <row r="23" spans="1:20" x14ac:dyDescent="0.3">
      <c r="A23" s="18">
        <v>45296</v>
      </c>
      <c r="B23" s="17" t="s">
        <v>958</v>
      </c>
      <c r="C23" s="17" t="s">
        <v>55</v>
      </c>
      <c r="D23" s="18">
        <v>30831</v>
      </c>
      <c r="E23" s="16" t="s">
        <v>33</v>
      </c>
      <c r="F23" s="31">
        <v>104</v>
      </c>
      <c r="G23" s="17" t="s">
        <v>42</v>
      </c>
      <c r="H23" s="17" t="s">
        <v>52</v>
      </c>
      <c r="I23" s="17" t="s">
        <v>29</v>
      </c>
      <c r="J23" s="27">
        <v>0.1</v>
      </c>
      <c r="K23" s="17" t="s">
        <v>926</v>
      </c>
      <c r="L23" s="32">
        <v>10</v>
      </c>
      <c r="M23" s="32">
        <f>_xlfn.XLOOKUP(Table2_1[[#This Row],[Product Code]],Product_Code,Unit_Price,0)</f>
        <v>11</v>
      </c>
      <c r="N23" s="31">
        <f>DATEDIF(Table2_1[[#This Row],[Buyer Date of Birth]],Table2_1[[#This Row],[Transaction  Date]],"Y")</f>
        <v>39</v>
      </c>
      <c r="O23" s="33">
        <v>1040</v>
      </c>
      <c r="P23" s="33">
        <f>Table2_1[[#This Row],[Quantity Purchased]]*Table2_1[[#This Row],[UnitPrice]]*(1-Table2_1[[#This Row],[Discount]])</f>
        <v>1029.6000000000001</v>
      </c>
      <c r="Q23" s="33">
        <f>Table2_1[[#This Row],[Revenue]]-Table2_1[[#This Row],[COGS]]</f>
        <v>-10.399999999999864</v>
      </c>
      <c r="R23" s="39">
        <f>WEEKDAY(Table2_1[[#This Row],[Transaction  Date]])</f>
        <v>6</v>
      </c>
      <c r="S23" s="17" t="str">
        <f>IF(WEEKDAY(Table2_1[[#This Row],[Transaction  Date]],2)&lt;=5,"Weekday","Weekend")</f>
        <v>Weekday</v>
      </c>
      <c r="T23" s="37" t="str">
        <f>FLOOR(Table2_1[[#This Row],[Age]],15)&amp; "-"&amp; FLOOR(Table2_1[[#This Row],[Age]],15)+14</f>
        <v>30-44</v>
      </c>
    </row>
    <row r="24" spans="1:20" x14ac:dyDescent="0.3">
      <c r="A24" s="18">
        <v>45296</v>
      </c>
      <c r="B24" s="17" t="s">
        <v>959</v>
      </c>
      <c r="C24" s="17" t="s">
        <v>46</v>
      </c>
      <c r="D24" s="18">
        <v>17521</v>
      </c>
      <c r="E24" s="16" t="s">
        <v>14</v>
      </c>
      <c r="F24" s="31">
        <v>82</v>
      </c>
      <c r="G24" s="17" t="s">
        <v>64</v>
      </c>
      <c r="H24" s="17" t="s">
        <v>43</v>
      </c>
      <c r="I24" s="17" t="s">
        <v>17</v>
      </c>
      <c r="J24" s="27">
        <v>0.1</v>
      </c>
      <c r="K24" s="17" t="s">
        <v>933</v>
      </c>
      <c r="L24" s="32">
        <v>5</v>
      </c>
      <c r="M24" s="32">
        <f>_xlfn.XLOOKUP(Table2_1[[#This Row],[Product Code]],Product_Code,Unit_Price,0)</f>
        <v>7</v>
      </c>
      <c r="N24" s="31">
        <f>DATEDIF(Table2_1[[#This Row],[Buyer Date of Birth]],Table2_1[[#This Row],[Transaction  Date]],"Y")</f>
        <v>76</v>
      </c>
      <c r="O24" s="33">
        <v>410</v>
      </c>
      <c r="P24" s="33">
        <f>Table2_1[[#This Row],[Quantity Purchased]]*Table2_1[[#This Row],[UnitPrice]]*(1-Table2_1[[#This Row],[Discount]])</f>
        <v>516.6</v>
      </c>
      <c r="Q24" s="33">
        <f>Table2_1[[#This Row],[Revenue]]-Table2_1[[#This Row],[COGS]]</f>
        <v>106.60000000000002</v>
      </c>
      <c r="R24" s="39">
        <f>WEEKDAY(Table2_1[[#This Row],[Transaction  Date]])</f>
        <v>6</v>
      </c>
      <c r="S24" s="17" t="str">
        <f>IF(WEEKDAY(Table2_1[[#This Row],[Transaction  Date]],2)&lt;=5,"Weekday","Weekend")</f>
        <v>Weekday</v>
      </c>
      <c r="T24" s="37" t="str">
        <f>FLOOR(Table2_1[[#This Row],[Age]],15)&amp; "-"&amp; FLOOR(Table2_1[[#This Row],[Age]],15)+14</f>
        <v>75-89</v>
      </c>
    </row>
    <row r="25" spans="1:20" x14ac:dyDescent="0.3">
      <c r="A25" s="18">
        <v>45296</v>
      </c>
      <c r="B25" s="17" t="s">
        <v>960</v>
      </c>
      <c r="C25" s="17" t="s">
        <v>94</v>
      </c>
      <c r="D25" s="18">
        <v>29489</v>
      </c>
      <c r="E25" s="16" t="s">
        <v>14</v>
      </c>
      <c r="F25" s="31">
        <v>277</v>
      </c>
      <c r="G25" s="17" t="s">
        <v>15</v>
      </c>
      <c r="H25" s="17" t="s">
        <v>43</v>
      </c>
      <c r="I25" s="17" t="s">
        <v>17</v>
      </c>
      <c r="J25" s="27">
        <v>0.1</v>
      </c>
      <c r="K25" s="17" t="s">
        <v>929</v>
      </c>
      <c r="L25" s="32">
        <v>10</v>
      </c>
      <c r="M25" s="32">
        <f>_xlfn.XLOOKUP(Table2_1[[#This Row],[Product Code]],Product_Code,Unit_Price,0)</f>
        <v>14</v>
      </c>
      <c r="N25" s="31">
        <f>DATEDIF(Table2_1[[#This Row],[Buyer Date of Birth]],Table2_1[[#This Row],[Transaction  Date]],"Y")</f>
        <v>43</v>
      </c>
      <c r="O25" s="33">
        <v>2770</v>
      </c>
      <c r="P25" s="33">
        <f>Table2_1[[#This Row],[Quantity Purchased]]*Table2_1[[#This Row],[UnitPrice]]*(1-Table2_1[[#This Row],[Discount]])</f>
        <v>3490.2000000000003</v>
      </c>
      <c r="Q25" s="33">
        <f>Table2_1[[#This Row],[Revenue]]-Table2_1[[#This Row],[COGS]]</f>
        <v>720.20000000000027</v>
      </c>
      <c r="R25" s="39">
        <f>WEEKDAY(Table2_1[[#This Row],[Transaction  Date]])</f>
        <v>6</v>
      </c>
      <c r="S25" s="17" t="str">
        <f>IF(WEEKDAY(Table2_1[[#This Row],[Transaction  Date]],2)&lt;=5,"Weekday","Weekend")</f>
        <v>Weekday</v>
      </c>
      <c r="T25" s="37" t="str">
        <f>FLOOR(Table2_1[[#This Row],[Age]],15)&amp; "-"&amp; FLOOR(Table2_1[[#This Row],[Age]],15)+14</f>
        <v>30-44</v>
      </c>
    </row>
    <row r="26" spans="1:20" x14ac:dyDescent="0.3">
      <c r="A26" s="18">
        <v>45296</v>
      </c>
      <c r="B26" s="17" t="s">
        <v>961</v>
      </c>
      <c r="C26" s="17" t="s">
        <v>55</v>
      </c>
      <c r="D26" s="18">
        <v>30258</v>
      </c>
      <c r="E26" s="16" t="s">
        <v>14</v>
      </c>
      <c r="F26" s="31">
        <v>180</v>
      </c>
      <c r="G26" s="17" t="s">
        <v>56</v>
      </c>
      <c r="H26" s="17" t="s">
        <v>52</v>
      </c>
      <c r="I26" s="17" t="s">
        <v>17</v>
      </c>
      <c r="J26" s="27">
        <v>0.1</v>
      </c>
      <c r="K26" s="17" t="s">
        <v>935</v>
      </c>
      <c r="L26" s="32">
        <v>18</v>
      </c>
      <c r="M26" s="32">
        <f>_xlfn.XLOOKUP(Table2_1[[#This Row],[Product Code]],Product_Code,Unit_Price,0)</f>
        <v>36</v>
      </c>
      <c r="N26" s="31">
        <f>DATEDIF(Table2_1[[#This Row],[Buyer Date of Birth]],Table2_1[[#This Row],[Transaction  Date]],"Y")</f>
        <v>41</v>
      </c>
      <c r="O26" s="33">
        <v>3240</v>
      </c>
      <c r="P26" s="33">
        <f>Table2_1[[#This Row],[Quantity Purchased]]*Table2_1[[#This Row],[UnitPrice]]*(1-Table2_1[[#This Row],[Discount]])</f>
        <v>5832</v>
      </c>
      <c r="Q26" s="33">
        <f>Table2_1[[#This Row],[Revenue]]-Table2_1[[#This Row],[COGS]]</f>
        <v>2592</v>
      </c>
      <c r="R26" s="39">
        <f>WEEKDAY(Table2_1[[#This Row],[Transaction  Date]])</f>
        <v>6</v>
      </c>
      <c r="S26" s="17" t="str">
        <f>IF(WEEKDAY(Table2_1[[#This Row],[Transaction  Date]],2)&lt;=5,"Weekday","Weekend")</f>
        <v>Weekday</v>
      </c>
      <c r="T26" s="37" t="str">
        <f>FLOOR(Table2_1[[#This Row],[Age]],15)&amp; "-"&amp; FLOOR(Table2_1[[#This Row],[Age]],15)+14</f>
        <v>30-44</v>
      </c>
    </row>
    <row r="27" spans="1:20" x14ac:dyDescent="0.3">
      <c r="A27" s="18">
        <v>45296</v>
      </c>
      <c r="B27" s="17" t="s">
        <v>962</v>
      </c>
      <c r="C27" s="17" t="s">
        <v>13</v>
      </c>
      <c r="D27" s="18">
        <v>38569</v>
      </c>
      <c r="E27" s="16" t="s">
        <v>33</v>
      </c>
      <c r="F27" s="31">
        <v>108</v>
      </c>
      <c r="G27" s="17" t="s">
        <v>65</v>
      </c>
      <c r="H27" s="17" t="s">
        <v>43</v>
      </c>
      <c r="I27" s="17" t="s">
        <v>17</v>
      </c>
      <c r="J27" s="27">
        <v>0.1</v>
      </c>
      <c r="K27" s="17" t="s">
        <v>928</v>
      </c>
      <c r="L27" s="32">
        <v>3</v>
      </c>
      <c r="M27" s="32">
        <f>_xlfn.XLOOKUP(Table2_1[[#This Row],[Product Code]],Product_Code,Unit_Price,0)</f>
        <v>5</v>
      </c>
      <c r="N27" s="31">
        <f>DATEDIF(Table2_1[[#This Row],[Buyer Date of Birth]],Table2_1[[#This Row],[Transaction  Date]],"Y")</f>
        <v>18</v>
      </c>
      <c r="O27" s="33">
        <v>324</v>
      </c>
      <c r="P27" s="33">
        <f>Table2_1[[#This Row],[Quantity Purchased]]*Table2_1[[#This Row],[UnitPrice]]*(1-Table2_1[[#This Row],[Discount]])</f>
        <v>486</v>
      </c>
      <c r="Q27" s="33">
        <f>Table2_1[[#This Row],[Revenue]]-Table2_1[[#This Row],[COGS]]</f>
        <v>162</v>
      </c>
      <c r="R27" s="39">
        <f>WEEKDAY(Table2_1[[#This Row],[Transaction  Date]])</f>
        <v>6</v>
      </c>
      <c r="S27" s="17" t="str">
        <f>IF(WEEKDAY(Table2_1[[#This Row],[Transaction  Date]],2)&lt;=5,"Weekday","Weekend")</f>
        <v>Weekday</v>
      </c>
      <c r="T27" s="37" t="str">
        <f>FLOOR(Table2_1[[#This Row],[Age]],15)&amp; "-"&amp; FLOOR(Table2_1[[#This Row],[Age]],15)+14</f>
        <v>15-29</v>
      </c>
    </row>
    <row r="28" spans="1:20" x14ac:dyDescent="0.3">
      <c r="A28" s="18">
        <v>45298</v>
      </c>
      <c r="B28" s="17" t="s">
        <v>963</v>
      </c>
      <c r="C28" s="17" t="s">
        <v>83</v>
      </c>
      <c r="D28" s="18">
        <v>38016</v>
      </c>
      <c r="E28" s="16" t="s">
        <v>68</v>
      </c>
      <c r="F28" s="31">
        <v>296</v>
      </c>
      <c r="G28" s="17" t="s">
        <v>42</v>
      </c>
      <c r="H28" s="17" t="s">
        <v>52</v>
      </c>
      <c r="I28" s="17" t="s">
        <v>17</v>
      </c>
      <c r="J28" s="27">
        <v>0.1</v>
      </c>
      <c r="K28" s="17" t="s">
        <v>926</v>
      </c>
      <c r="L28" s="32">
        <v>10</v>
      </c>
      <c r="M28" s="32">
        <f>_xlfn.XLOOKUP(Table2_1[[#This Row],[Product Code]],Product_Code,Unit_Price,0)</f>
        <v>11</v>
      </c>
      <c r="N28" s="31">
        <f>DATEDIF(Table2_1[[#This Row],[Buyer Date of Birth]],Table2_1[[#This Row],[Transaction  Date]],"Y")</f>
        <v>19</v>
      </c>
      <c r="O28" s="33">
        <v>2960</v>
      </c>
      <c r="P28" s="33">
        <f>Table2_1[[#This Row],[Quantity Purchased]]*Table2_1[[#This Row],[UnitPrice]]*(1-Table2_1[[#This Row],[Discount]])</f>
        <v>2930.4</v>
      </c>
      <c r="Q28" s="33">
        <f>Table2_1[[#This Row],[Revenue]]-Table2_1[[#This Row],[COGS]]</f>
        <v>-29.599999999999909</v>
      </c>
      <c r="R28" s="39">
        <f>WEEKDAY(Table2_1[[#This Row],[Transaction  Date]])</f>
        <v>1</v>
      </c>
      <c r="S28" s="17" t="str">
        <f>IF(WEEKDAY(Table2_1[[#This Row],[Transaction  Date]],2)&lt;=5,"Weekday","Weekend")</f>
        <v>Weekend</v>
      </c>
      <c r="T28" s="37" t="str">
        <f>FLOOR(Table2_1[[#This Row],[Age]],15)&amp; "-"&amp; FLOOR(Table2_1[[#This Row],[Age]],15)+14</f>
        <v>15-29</v>
      </c>
    </row>
    <row r="29" spans="1:20" x14ac:dyDescent="0.3">
      <c r="A29" s="18">
        <v>45298</v>
      </c>
      <c r="B29" s="17" t="s">
        <v>964</v>
      </c>
      <c r="C29" s="17" t="s">
        <v>38</v>
      </c>
      <c r="D29" s="18">
        <v>37834</v>
      </c>
      <c r="E29" s="16" t="s">
        <v>68</v>
      </c>
      <c r="F29" s="31">
        <v>458</v>
      </c>
      <c r="G29" s="17" t="s">
        <v>34</v>
      </c>
      <c r="H29" s="17" t="s">
        <v>48</v>
      </c>
      <c r="I29" s="17" t="s">
        <v>17</v>
      </c>
      <c r="J29" s="27">
        <v>0.1</v>
      </c>
      <c r="K29" s="17" t="s">
        <v>930</v>
      </c>
      <c r="L29" s="32">
        <v>14</v>
      </c>
      <c r="M29" s="32">
        <f>_xlfn.XLOOKUP(Table2_1[[#This Row],[Product Code]],Product_Code,Unit_Price,0)</f>
        <v>28</v>
      </c>
      <c r="N29" s="31">
        <f>DATEDIF(Table2_1[[#This Row],[Buyer Date of Birth]],Table2_1[[#This Row],[Transaction  Date]],"Y")</f>
        <v>20</v>
      </c>
      <c r="O29" s="33">
        <v>6412</v>
      </c>
      <c r="P29" s="33">
        <f>Table2_1[[#This Row],[Quantity Purchased]]*Table2_1[[#This Row],[UnitPrice]]*(1-Table2_1[[#This Row],[Discount]])</f>
        <v>11541.6</v>
      </c>
      <c r="Q29" s="33">
        <f>Table2_1[[#This Row],[Revenue]]-Table2_1[[#This Row],[COGS]]</f>
        <v>5129.6000000000004</v>
      </c>
      <c r="R29" s="39">
        <f>WEEKDAY(Table2_1[[#This Row],[Transaction  Date]])</f>
        <v>1</v>
      </c>
      <c r="S29" s="17" t="str">
        <f>IF(WEEKDAY(Table2_1[[#This Row],[Transaction  Date]],2)&lt;=5,"Weekday","Weekend")</f>
        <v>Weekend</v>
      </c>
      <c r="T29" s="37" t="str">
        <f>FLOOR(Table2_1[[#This Row],[Age]],15)&amp; "-"&amp; FLOOR(Table2_1[[#This Row],[Age]],15)+14</f>
        <v>15-29</v>
      </c>
    </row>
    <row r="30" spans="1:20" x14ac:dyDescent="0.3">
      <c r="A30" s="18">
        <v>45298</v>
      </c>
      <c r="B30" s="17" t="s">
        <v>965</v>
      </c>
      <c r="C30" s="17" t="s">
        <v>83</v>
      </c>
      <c r="D30" s="18">
        <v>32923</v>
      </c>
      <c r="E30" s="16" t="s">
        <v>33</v>
      </c>
      <c r="F30" s="31">
        <v>418</v>
      </c>
      <c r="G30" s="17" t="s">
        <v>56</v>
      </c>
      <c r="H30" s="17" t="s">
        <v>48</v>
      </c>
      <c r="I30" s="17" t="s">
        <v>17</v>
      </c>
      <c r="J30" s="27">
        <v>0.1</v>
      </c>
      <c r="K30" s="17" t="s">
        <v>935</v>
      </c>
      <c r="L30" s="32">
        <v>18</v>
      </c>
      <c r="M30" s="32">
        <f>_xlfn.XLOOKUP(Table2_1[[#This Row],[Product Code]],Product_Code,Unit_Price,0)</f>
        <v>36</v>
      </c>
      <c r="N30" s="31">
        <f>DATEDIF(Table2_1[[#This Row],[Buyer Date of Birth]],Table2_1[[#This Row],[Transaction  Date]],"Y")</f>
        <v>33</v>
      </c>
      <c r="O30" s="33">
        <v>7524</v>
      </c>
      <c r="P30" s="33">
        <f>Table2_1[[#This Row],[Quantity Purchased]]*Table2_1[[#This Row],[UnitPrice]]*(1-Table2_1[[#This Row],[Discount]])</f>
        <v>13543.2</v>
      </c>
      <c r="Q30" s="33">
        <f>Table2_1[[#This Row],[Revenue]]-Table2_1[[#This Row],[COGS]]</f>
        <v>6019.2000000000007</v>
      </c>
      <c r="R30" s="39">
        <f>WEEKDAY(Table2_1[[#This Row],[Transaction  Date]])</f>
        <v>1</v>
      </c>
      <c r="S30" s="17" t="str">
        <f>IF(WEEKDAY(Table2_1[[#This Row],[Transaction  Date]],2)&lt;=5,"Weekday","Weekend")</f>
        <v>Weekend</v>
      </c>
      <c r="T30" s="37" t="str">
        <f>FLOOR(Table2_1[[#This Row],[Age]],15)&amp; "-"&amp; FLOOR(Table2_1[[#This Row],[Age]],15)+14</f>
        <v>30-44</v>
      </c>
    </row>
    <row r="31" spans="1:20" x14ac:dyDescent="0.3">
      <c r="A31" s="18">
        <v>45298</v>
      </c>
      <c r="B31" s="17" t="s">
        <v>966</v>
      </c>
      <c r="C31" s="17" t="s">
        <v>83</v>
      </c>
      <c r="D31" s="18">
        <v>26960</v>
      </c>
      <c r="E31" s="16" t="s">
        <v>20</v>
      </c>
      <c r="F31" s="31">
        <v>494</v>
      </c>
      <c r="G31" s="17" t="s">
        <v>59</v>
      </c>
      <c r="H31" s="17" t="s">
        <v>52</v>
      </c>
      <c r="I31" s="17" t="s">
        <v>17</v>
      </c>
      <c r="J31" s="27">
        <v>0.1</v>
      </c>
      <c r="K31" s="17" t="s">
        <v>932</v>
      </c>
      <c r="L31" s="32">
        <v>19</v>
      </c>
      <c r="M31" s="32">
        <f>_xlfn.XLOOKUP(Table2_1[[#This Row],[Product Code]],Product_Code,Unit_Price,0)</f>
        <v>23</v>
      </c>
      <c r="N31" s="31">
        <f>DATEDIF(Table2_1[[#This Row],[Buyer Date of Birth]],Table2_1[[#This Row],[Transaction  Date]],"Y")</f>
        <v>50</v>
      </c>
      <c r="O31" s="33">
        <v>9386</v>
      </c>
      <c r="P31" s="33">
        <f>Table2_1[[#This Row],[Quantity Purchased]]*Table2_1[[#This Row],[UnitPrice]]*(1-Table2_1[[#This Row],[Discount]])</f>
        <v>10225.800000000001</v>
      </c>
      <c r="Q31" s="33">
        <f>Table2_1[[#This Row],[Revenue]]-Table2_1[[#This Row],[COGS]]</f>
        <v>839.80000000000109</v>
      </c>
      <c r="R31" s="39">
        <f>WEEKDAY(Table2_1[[#This Row],[Transaction  Date]])</f>
        <v>1</v>
      </c>
      <c r="S31" s="17" t="str">
        <f>IF(WEEKDAY(Table2_1[[#This Row],[Transaction  Date]],2)&lt;=5,"Weekday","Weekend")</f>
        <v>Weekend</v>
      </c>
      <c r="T31" s="37" t="str">
        <f>FLOOR(Table2_1[[#This Row],[Age]],15)&amp; "-"&amp; FLOOR(Table2_1[[#This Row],[Age]],15)+14</f>
        <v>45-59</v>
      </c>
    </row>
    <row r="32" spans="1:20" x14ac:dyDescent="0.3">
      <c r="A32" s="18">
        <v>45299</v>
      </c>
      <c r="B32" s="17" t="s">
        <v>967</v>
      </c>
      <c r="C32" s="17" t="s">
        <v>46</v>
      </c>
      <c r="D32" s="18">
        <v>30956</v>
      </c>
      <c r="E32" s="16" t="s">
        <v>33</v>
      </c>
      <c r="F32" s="31">
        <v>23</v>
      </c>
      <c r="G32" s="17" t="s">
        <v>64</v>
      </c>
      <c r="H32" s="17" t="s">
        <v>52</v>
      </c>
      <c r="I32" s="17" t="s">
        <v>17</v>
      </c>
      <c r="J32" s="27">
        <v>0.1</v>
      </c>
      <c r="K32" s="17" t="s">
        <v>933</v>
      </c>
      <c r="L32" s="32">
        <v>5</v>
      </c>
      <c r="M32" s="32">
        <f>_xlfn.XLOOKUP(Table2_1[[#This Row],[Product Code]],Product_Code,Unit_Price,0)</f>
        <v>7</v>
      </c>
      <c r="N32" s="31">
        <f>DATEDIF(Table2_1[[#This Row],[Buyer Date of Birth]],Table2_1[[#This Row],[Transaction  Date]],"Y")</f>
        <v>39</v>
      </c>
      <c r="O32" s="33">
        <v>115</v>
      </c>
      <c r="P32" s="33">
        <f>Table2_1[[#This Row],[Quantity Purchased]]*Table2_1[[#This Row],[UnitPrice]]*(1-Table2_1[[#This Row],[Discount]])</f>
        <v>144.9</v>
      </c>
      <c r="Q32" s="33">
        <f>Table2_1[[#This Row],[Revenue]]-Table2_1[[#This Row],[COGS]]</f>
        <v>29.900000000000006</v>
      </c>
      <c r="R32" s="39">
        <f>WEEKDAY(Table2_1[[#This Row],[Transaction  Date]])</f>
        <v>2</v>
      </c>
      <c r="S32" s="17" t="str">
        <f>IF(WEEKDAY(Table2_1[[#This Row],[Transaction  Date]],2)&lt;=5,"Weekday","Weekend")</f>
        <v>Weekday</v>
      </c>
      <c r="T32" s="37" t="str">
        <f>FLOOR(Table2_1[[#This Row],[Age]],15)&amp; "-"&amp; FLOOR(Table2_1[[#This Row],[Age]],15)+14</f>
        <v>30-44</v>
      </c>
    </row>
    <row r="33" spans="1:20" x14ac:dyDescent="0.3">
      <c r="A33" s="18">
        <v>45299</v>
      </c>
      <c r="B33" s="17" t="s">
        <v>968</v>
      </c>
      <c r="C33" s="17" t="s">
        <v>13</v>
      </c>
      <c r="D33" s="18">
        <v>27967</v>
      </c>
      <c r="E33" s="16" t="s">
        <v>14</v>
      </c>
      <c r="F33" s="31">
        <v>359</v>
      </c>
      <c r="G33" s="17" t="s">
        <v>42</v>
      </c>
      <c r="H33" s="17" t="s">
        <v>52</v>
      </c>
      <c r="I33" s="17" t="s">
        <v>17</v>
      </c>
      <c r="J33" s="27">
        <v>0.1</v>
      </c>
      <c r="K33" s="17" t="s">
        <v>926</v>
      </c>
      <c r="L33" s="32">
        <v>10</v>
      </c>
      <c r="M33" s="32">
        <f>_xlfn.XLOOKUP(Table2_1[[#This Row],[Product Code]],Product_Code,Unit_Price,0)</f>
        <v>11</v>
      </c>
      <c r="N33" s="31">
        <f>DATEDIF(Table2_1[[#This Row],[Buyer Date of Birth]],Table2_1[[#This Row],[Transaction  Date]],"Y")</f>
        <v>47</v>
      </c>
      <c r="O33" s="33">
        <v>3590</v>
      </c>
      <c r="P33" s="33">
        <f>Table2_1[[#This Row],[Quantity Purchased]]*Table2_1[[#This Row],[UnitPrice]]*(1-Table2_1[[#This Row],[Discount]])</f>
        <v>3554.1</v>
      </c>
      <c r="Q33" s="33">
        <f>Table2_1[[#This Row],[Revenue]]-Table2_1[[#This Row],[COGS]]</f>
        <v>-35.900000000000091</v>
      </c>
      <c r="R33" s="39">
        <f>WEEKDAY(Table2_1[[#This Row],[Transaction  Date]])</f>
        <v>2</v>
      </c>
      <c r="S33" s="17" t="str">
        <f>IF(WEEKDAY(Table2_1[[#This Row],[Transaction  Date]],2)&lt;=5,"Weekday","Weekend")</f>
        <v>Weekday</v>
      </c>
      <c r="T33" s="37" t="str">
        <f>FLOOR(Table2_1[[#This Row],[Age]],15)&amp; "-"&amp; FLOOR(Table2_1[[#This Row],[Age]],15)+14</f>
        <v>45-59</v>
      </c>
    </row>
    <row r="34" spans="1:20" x14ac:dyDescent="0.3">
      <c r="A34" s="18">
        <v>45299</v>
      </c>
      <c r="B34" s="17" t="s">
        <v>969</v>
      </c>
      <c r="C34" s="17" t="s">
        <v>94</v>
      </c>
      <c r="D34" s="18">
        <v>38666</v>
      </c>
      <c r="E34" s="16" t="s">
        <v>14</v>
      </c>
      <c r="F34" s="31">
        <v>36</v>
      </c>
      <c r="G34" s="17" t="s">
        <v>34</v>
      </c>
      <c r="H34" s="17" t="s">
        <v>52</v>
      </c>
      <c r="I34" s="17" t="s">
        <v>17</v>
      </c>
      <c r="J34" s="27">
        <v>0.1</v>
      </c>
      <c r="K34" s="17" t="s">
        <v>930</v>
      </c>
      <c r="L34" s="32">
        <v>14</v>
      </c>
      <c r="M34" s="32">
        <f>_xlfn.XLOOKUP(Table2_1[[#This Row],[Product Code]],Product_Code,Unit_Price,0)</f>
        <v>28</v>
      </c>
      <c r="N34" s="31">
        <f>DATEDIF(Table2_1[[#This Row],[Buyer Date of Birth]],Table2_1[[#This Row],[Transaction  Date]],"Y")</f>
        <v>18</v>
      </c>
      <c r="O34" s="33">
        <v>504</v>
      </c>
      <c r="P34" s="33">
        <f>Table2_1[[#This Row],[Quantity Purchased]]*Table2_1[[#This Row],[UnitPrice]]*(1-Table2_1[[#This Row],[Discount]])</f>
        <v>907.2</v>
      </c>
      <c r="Q34" s="33">
        <f>Table2_1[[#This Row],[Revenue]]-Table2_1[[#This Row],[COGS]]</f>
        <v>403.20000000000005</v>
      </c>
      <c r="R34" s="39">
        <f>WEEKDAY(Table2_1[[#This Row],[Transaction  Date]])</f>
        <v>2</v>
      </c>
      <c r="S34" s="17" t="str">
        <f>IF(WEEKDAY(Table2_1[[#This Row],[Transaction  Date]],2)&lt;=5,"Weekday","Weekend")</f>
        <v>Weekday</v>
      </c>
      <c r="T34" s="37" t="str">
        <f>FLOOR(Table2_1[[#This Row],[Age]],15)&amp; "-"&amp; FLOOR(Table2_1[[#This Row],[Age]],15)+14</f>
        <v>15-29</v>
      </c>
    </row>
    <row r="35" spans="1:20" x14ac:dyDescent="0.3">
      <c r="A35" s="18">
        <v>45299</v>
      </c>
      <c r="B35" s="17" t="s">
        <v>970</v>
      </c>
      <c r="C35" s="17" t="s">
        <v>71</v>
      </c>
      <c r="D35" s="18">
        <v>35091</v>
      </c>
      <c r="E35" s="16" t="s">
        <v>33</v>
      </c>
      <c r="F35" s="31">
        <v>464</v>
      </c>
      <c r="G35" s="17" t="s">
        <v>56</v>
      </c>
      <c r="H35" s="17" t="s">
        <v>52</v>
      </c>
      <c r="I35" s="17" t="s">
        <v>17</v>
      </c>
      <c r="J35" s="27">
        <v>0.1</v>
      </c>
      <c r="K35" s="17" t="s">
        <v>935</v>
      </c>
      <c r="L35" s="32">
        <v>18</v>
      </c>
      <c r="M35" s="32">
        <f>_xlfn.XLOOKUP(Table2_1[[#This Row],[Product Code]],Product_Code,Unit_Price,0)</f>
        <v>36</v>
      </c>
      <c r="N35" s="31">
        <f>DATEDIF(Table2_1[[#This Row],[Buyer Date of Birth]],Table2_1[[#This Row],[Transaction  Date]],"Y")</f>
        <v>27</v>
      </c>
      <c r="O35" s="33">
        <v>8352</v>
      </c>
      <c r="P35" s="33">
        <f>Table2_1[[#This Row],[Quantity Purchased]]*Table2_1[[#This Row],[UnitPrice]]*(1-Table2_1[[#This Row],[Discount]])</f>
        <v>15033.6</v>
      </c>
      <c r="Q35" s="33">
        <f>Table2_1[[#This Row],[Revenue]]-Table2_1[[#This Row],[COGS]]</f>
        <v>6681.6</v>
      </c>
      <c r="R35" s="39">
        <f>WEEKDAY(Table2_1[[#This Row],[Transaction  Date]])</f>
        <v>2</v>
      </c>
      <c r="S35" s="17" t="str">
        <f>IF(WEEKDAY(Table2_1[[#This Row],[Transaction  Date]],2)&lt;=5,"Weekday","Weekend")</f>
        <v>Weekday</v>
      </c>
      <c r="T35" s="37" t="str">
        <f>FLOOR(Table2_1[[#This Row],[Age]],15)&amp; "-"&amp; FLOOR(Table2_1[[#This Row],[Age]],15)+14</f>
        <v>15-29</v>
      </c>
    </row>
    <row r="36" spans="1:20" x14ac:dyDescent="0.3">
      <c r="A36" s="18">
        <v>45299</v>
      </c>
      <c r="B36" s="17" t="s">
        <v>971</v>
      </c>
      <c r="C36" s="17" t="s">
        <v>83</v>
      </c>
      <c r="D36" s="18">
        <v>16443</v>
      </c>
      <c r="E36" s="16" t="s">
        <v>33</v>
      </c>
      <c r="F36" s="31">
        <v>319</v>
      </c>
      <c r="G36" s="17" t="s">
        <v>59</v>
      </c>
      <c r="H36" s="17" t="s">
        <v>52</v>
      </c>
      <c r="I36" s="17" t="s">
        <v>17</v>
      </c>
      <c r="J36" s="27">
        <v>0.1</v>
      </c>
      <c r="K36" s="17" t="s">
        <v>932</v>
      </c>
      <c r="L36" s="32">
        <v>19</v>
      </c>
      <c r="M36" s="32">
        <f>_xlfn.XLOOKUP(Table2_1[[#This Row],[Product Code]],Product_Code,Unit_Price,0)</f>
        <v>23</v>
      </c>
      <c r="N36" s="31">
        <f>DATEDIF(Table2_1[[#This Row],[Buyer Date of Birth]],Table2_1[[#This Row],[Transaction  Date]],"Y")</f>
        <v>79</v>
      </c>
      <c r="O36" s="33">
        <v>6061</v>
      </c>
      <c r="P36" s="33">
        <f>Table2_1[[#This Row],[Quantity Purchased]]*Table2_1[[#This Row],[UnitPrice]]*(1-Table2_1[[#This Row],[Discount]])</f>
        <v>6603.3</v>
      </c>
      <c r="Q36" s="33">
        <f>Table2_1[[#This Row],[Revenue]]-Table2_1[[#This Row],[COGS]]</f>
        <v>542.30000000000018</v>
      </c>
      <c r="R36" s="39">
        <f>WEEKDAY(Table2_1[[#This Row],[Transaction  Date]])</f>
        <v>2</v>
      </c>
      <c r="S36" s="17" t="str">
        <f>IF(WEEKDAY(Table2_1[[#This Row],[Transaction  Date]],2)&lt;=5,"Weekday","Weekend")</f>
        <v>Weekday</v>
      </c>
      <c r="T36" s="37" t="str">
        <f>FLOOR(Table2_1[[#This Row],[Age]],15)&amp; "-"&amp; FLOOR(Table2_1[[#This Row],[Age]],15)+14</f>
        <v>75-89</v>
      </c>
    </row>
    <row r="37" spans="1:20" x14ac:dyDescent="0.3">
      <c r="A37" s="18">
        <v>45299</v>
      </c>
      <c r="B37" s="17" t="s">
        <v>972</v>
      </c>
      <c r="C37" s="17" t="s">
        <v>32</v>
      </c>
      <c r="D37" s="18">
        <v>35149</v>
      </c>
      <c r="E37" s="16" t="s">
        <v>14</v>
      </c>
      <c r="F37" s="31">
        <v>429</v>
      </c>
      <c r="G37" s="17" t="s">
        <v>56</v>
      </c>
      <c r="H37" s="17" t="s">
        <v>48</v>
      </c>
      <c r="I37" s="17" t="s">
        <v>17</v>
      </c>
      <c r="J37" s="27">
        <v>0.1</v>
      </c>
      <c r="K37" s="17" t="s">
        <v>935</v>
      </c>
      <c r="L37" s="32">
        <v>18</v>
      </c>
      <c r="M37" s="32">
        <f>_xlfn.XLOOKUP(Table2_1[[#This Row],[Product Code]],Product_Code,Unit_Price,0)</f>
        <v>36</v>
      </c>
      <c r="N37" s="31">
        <f>DATEDIF(Table2_1[[#This Row],[Buyer Date of Birth]],Table2_1[[#This Row],[Transaction  Date]],"Y")</f>
        <v>27</v>
      </c>
      <c r="O37" s="33">
        <v>7722</v>
      </c>
      <c r="P37" s="33">
        <f>Table2_1[[#This Row],[Quantity Purchased]]*Table2_1[[#This Row],[UnitPrice]]*(1-Table2_1[[#This Row],[Discount]])</f>
        <v>13899.6</v>
      </c>
      <c r="Q37" s="33">
        <f>Table2_1[[#This Row],[Revenue]]-Table2_1[[#This Row],[COGS]]</f>
        <v>6177.6</v>
      </c>
      <c r="R37" s="39">
        <f>WEEKDAY(Table2_1[[#This Row],[Transaction  Date]])</f>
        <v>2</v>
      </c>
      <c r="S37" s="17" t="str">
        <f>IF(WEEKDAY(Table2_1[[#This Row],[Transaction  Date]],2)&lt;=5,"Weekday","Weekend")</f>
        <v>Weekday</v>
      </c>
      <c r="T37" s="37" t="str">
        <f>FLOOR(Table2_1[[#This Row],[Age]],15)&amp; "-"&amp; FLOOR(Table2_1[[#This Row],[Age]],15)+14</f>
        <v>15-29</v>
      </c>
    </row>
    <row r="38" spans="1:20" x14ac:dyDescent="0.3">
      <c r="A38" s="18">
        <v>45299</v>
      </c>
      <c r="B38" s="17" t="s">
        <v>973</v>
      </c>
      <c r="C38" s="17" t="s">
        <v>78</v>
      </c>
      <c r="D38" s="18">
        <v>34567</v>
      </c>
      <c r="E38" s="16" t="s">
        <v>20</v>
      </c>
      <c r="F38" s="31">
        <v>494</v>
      </c>
      <c r="G38" s="17" t="s">
        <v>34</v>
      </c>
      <c r="H38" s="17" t="s">
        <v>52</v>
      </c>
      <c r="I38" s="17" t="s">
        <v>17</v>
      </c>
      <c r="J38" s="27">
        <v>0.1</v>
      </c>
      <c r="K38" s="17" t="s">
        <v>930</v>
      </c>
      <c r="L38" s="32">
        <v>14</v>
      </c>
      <c r="M38" s="32">
        <f>_xlfn.XLOOKUP(Table2_1[[#This Row],[Product Code]],Product_Code,Unit_Price,0)</f>
        <v>28</v>
      </c>
      <c r="N38" s="31">
        <f>DATEDIF(Table2_1[[#This Row],[Buyer Date of Birth]],Table2_1[[#This Row],[Transaction  Date]],"Y")</f>
        <v>29</v>
      </c>
      <c r="O38" s="33">
        <v>6916</v>
      </c>
      <c r="P38" s="33">
        <f>Table2_1[[#This Row],[Quantity Purchased]]*Table2_1[[#This Row],[UnitPrice]]*(1-Table2_1[[#This Row],[Discount]])</f>
        <v>12448.800000000001</v>
      </c>
      <c r="Q38" s="33">
        <f>Table2_1[[#This Row],[Revenue]]-Table2_1[[#This Row],[COGS]]</f>
        <v>5532.8000000000011</v>
      </c>
      <c r="R38" s="39">
        <f>WEEKDAY(Table2_1[[#This Row],[Transaction  Date]])</f>
        <v>2</v>
      </c>
      <c r="S38" s="17" t="str">
        <f>IF(WEEKDAY(Table2_1[[#This Row],[Transaction  Date]],2)&lt;=5,"Weekday","Weekend")</f>
        <v>Weekday</v>
      </c>
      <c r="T38" s="37" t="str">
        <f>FLOOR(Table2_1[[#This Row],[Age]],15)&amp; "-"&amp; FLOOR(Table2_1[[#This Row],[Age]],15)+14</f>
        <v>15-29</v>
      </c>
    </row>
    <row r="39" spans="1:20" x14ac:dyDescent="0.3">
      <c r="A39" s="18">
        <v>45300</v>
      </c>
      <c r="B39" s="17" t="s">
        <v>974</v>
      </c>
      <c r="C39" s="17" t="s">
        <v>51</v>
      </c>
      <c r="D39" s="18">
        <v>20669</v>
      </c>
      <c r="E39" s="16" t="s">
        <v>68</v>
      </c>
      <c r="F39" s="31">
        <v>94</v>
      </c>
      <c r="G39" s="17" t="s">
        <v>27</v>
      </c>
      <c r="H39" s="17" t="s">
        <v>48</v>
      </c>
      <c r="I39" s="17" t="s">
        <v>17</v>
      </c>
      <c r="J39" s="27">
        <v>0.1</v>
      </c>
      <c r="K39" s="17" t="s">
        <v>927</v>
      </c>
      <c r="L39" s="32">
        <v>18</v>
      </c>
      <c r="M39" s="32">
        <f>_xlfn.XLOOKUP(Table2_1[[#This Row],[Product Code]],Product_Code,Unit_Price,0)</f>
        <v>22</v>
      </c>
      <c r="N39" s="31">
        <f>DATEDIF(Table2_1[[#This Row],[Buyer Date of Birth]],Table2_1[[#This Row],[Transaction  Date]],"Y")</f>
        <v>67</v>
      </c>
      <c r="O39" s="33">
        <v>1692</v>
      </c>
      <c r="P39" s="33">
        <f>Table2_1[[#This Row],[Quantity Purchased]]*Table2_1[[#This Row],[UnitPrice]]*(1-Table2_1[[#This Row],[Discount]])</f>
        <v>1861.2</v>
      </c>
      <c r="Q39" s="33">
        <f>Table2_1[[#This Row],[Revenue]]-Table2_1[[#This Row],[COGS]]</f>
        <v>169.20000000000005</v>
      </c>
      <c r="R39" s="39">
        <f>WEEKDAY(Table2_1[[#This Row],[Transaction  Date]])</f>
        <v>3</v>
      </c>
      <c r="S39" s="17" t="str">
        <f>IF(WEEKDAY(Table2_1[[#This Row],[Transaction  Date]],2)&lt;=5,"Weekday","Weekend")</f>
        <v>Weekday</v>
      </c>
      <c r="T39" s="37" t="str">
        <f>FLOOR(Table2_1[[#This Row],[Age]],15)&amp; "-"&amp; FLOOR(Table2_1[[#This Row],[Age]],15)+14</f>
        <v>60-74</v>
      </c>
    </row>
    <row r="40" spans="1:20" x14ac:dyDescent="0.3">
      <c r="A40" s="18">
        <v>45300</v>
      </c>
      <c r="B40" s="17" t="s">
        <v>936</v>
      </c>
      <c r="C40" s="17" t="s">
        <v>94</v>
      </c>
      <c r="D40" s="18">
        <v>26522</v>
      </c>
      <c r="E40" s="16" t="s">
        <v>20</v>
      </c>
      <c r="F40" s="31">
        <v>226</v>
      </c>
      <c r="G40" s="17" t="s">
        <v>27</v>
      </c>
      <c r="H40" s="17" t="s">
        <v>48</v>
      </c>
      <c r="I40" s="17" t="s">
        <v>29</v>
      </c>
      <c r="J40" s="27">
        <v>0.1</v>
      </c>
      <c r="K40" s="17" t="s">
        <v>927</v>
      </c>
      <c r="L40" s="32">
        <v>18</v>
      </c>
      <c r="M40" s="32">
        <f>_xlfn.XLOOKUP(Table2_1[[#This Row],[Product Code]],Product_Code,Unit_Price,0)</f>
        <v>22</v>
      </c>
      <c r="N40" s="31">
        <f>DATEDIF(Table2_1[[#This Row],[Buyer Date of Birth]],Table2_1[[#This Row],[Transaction  Date]],"Y")</f>
        <v>51</v>
      </c>
      <c r="O40" s="33">
        <v>4068</v>
      </c>
      <c r="P40" s="33">
        <f>Table2_1[[#This Row],[Quantity Purchased]]*Table2_1[[#This Row],[UnitPrice]]*(1-Table2_1[[#This Row],[Discount]])</f>
        <v>4474.8</v>
      </c>
      <c r="Q40" s="33">
        <f>Table2_1[[#This Row],[Revenue]]-Table2_1[[#This Row],[COGS]]</f>
        <v>406.80000000000018</v>
      </c>
      <c r="R40" s="39">
        <f>WEEKDAY(Table2_1[[#This Row],[Transaction  Date]])</f>
        <v>3</v>
      </c>
      <c r="S40" s="17" t="str">
        <f>IF(WEEKDAY(Table2_1[[#This Row],[Transaction  Date]],2)&lt;=5,"Weekday","Weekend")</f>
        <v>Weekday</v>
      </c>
      <c r="T40" s="37" t="str">
        <f>FLOOR(Table2_1[[#This Row],[Age]],15)&amp; "-"&amp; FLOOR(Table2_1[[#This Row],[Age]],15)+14</f>
        <v>45-59</v>
      </c>
    </row>
    <row r="41" spans="1:20" x14ac:dyDescent="0.3">
      <c r="A41" s="18">
        <v>45300</v>
      </c>
      <c r="B41" s="17" t="s">
        <v>975</v>
      </c>
      <c r="C41" s="17" t="s">
        <v>83</v>
      </c>
      <c r="D41" s="18">
        <v>35243</v>
      </c>
      <c r="E41" s="16" t="s">
        <v>20</v>
      </c>
      <c r="F41" s="31">
        <v>183</v>
      </c>
      <c r="G41" s="17" t="s">
        <v>21</v>
      </c>
      <c r="H41" s="17" t="s">
        <v>52</v>
      </c>
      <c r="I41" s="17" t="s">
        <v>17</v>
      </c>
      <c r="J41" s="27">
        <v>0.1</v>
      </c>
      <c r="K41" s="17" t="s">
        <v>934</v>
      </c>
      <c r="L41" s="32">
        <v>10</v>
      </c>
      <c r="M41" s="32">
        <f>_xlfn.XLOOKUP(Table2_1[[#This Row],[Product Code]],Product_Code,Unit_Price,0)</f>
        <v>45</v>
      </c>
      <c r="N41" s="31">
        <f>DATEDIF(Table2_1[[#This Row],[Buyer Date of Birth]],Table2_1[[#This Row],[Transaction  Date]],"Y")</f>
        <v>27</v>
      </c>
      <c r="O41" s="33">
        <v>1830</v>
      </c>
      <c r="P41" s="33">
        <f>Table2_1[[#This Row],[Quantity Purchased]]*Table2_1[[#This Row],[UnitPrice]]*(1-Table2_1[[#This Row],[Discount]])</f>
        <v>7411.5</v>
      </c>
      <c r="Q41" s="33">
        <f>Table2_1[[#This Row],[Revenue]]-Table2_1[[#This Row],[COGS]]</f>
        <v>5581.5</v>
      </c>
      <c r="R41" s="39">
        <f>WEEKDAY(Table2_1[[#This Row],[Transaction  Date]])</f>
        <v>3</v>
      </c>
      <c r="S41" s="17" t="str">
        <f>IF(WEEKDAY(Table2_1[[#This Row],[Transaction  Date]],2)&lt;=5,"Weekday","Weekend")</f>
        <v>Weekday</v>
      </c>
      <c r="T41" s="37" t="str">
        <f>FLOOR(Table2_1[[#This Row],[Age]],15)&amp; "-"&amp; FLOOR(Table2_1[[#This Row],[Age]],15)+14</f>
        <v>15-29</v>
      </c>
    </row>
    <row r="42" spans="1:20" x14ac:dyDescent="0.3">
      <c r="A42" s="18">
        <v>45300</v>
      </c>
      <c r="B42" s="17" t="s">
        <v>976</v>
      </c>
      <c r="C42" s="17" t="s">
        <v>78</v>
      </c>
      <c r="D42" s="18">
        <v>27940</v>
      </c>
      <c r="E42" s="16" t="s">
        <v>20</v>
      </c>
      <c r="F42" s="31">
        <v>23</v>
      </c>
      <c r="G42" s="17" t="s">
        <v>15</v>
      </c>
      <c r="H42" s="17" t="s">
        <v>52</v>
      </c>
      <c r="I42" s="17" t="s">
        <v>17</v>
      </c>
      <c r="J42" s="27">
        <v>0.1</v>
      </c>
      <c r="K42" s="17" t="s">
        <v>929</v>
      </c>
      <c r="L42" s="32">
        <v>10</v>
      </c>
      <c r="M42" s="32">
        <f>_xlfn.XLOOKUP(Table2_1[[#This Row],[Product Code]],Product_Code,Unit_Price,0)</f>
        <v>14</v>
      </c>
      <c r="N42" s="31">
        <f>DATEDIF(Table2_1[[#This Row],[Buyer Date of Birth]],Table2_1[[#This Row],[Transaction  Date]],"Y")</f>
        <v>47</v>
      </c>
      <c r="O42" s="33">
        <v>230</v>
      </c>
      <c r="P42" s="33">
        <f>Table2_1[[#This Row],[Quantity Purchased]]*Table2_1[[#This Row],[UnitPrice]]*(1-Table2_1[[#This Row],[Discount]])</f>
        <v>289.8</v>
      </c>
      <c r="Q42" s="33">
        <f>Table2_1[[#This Row],[Revenue]]-Table2_1[[#This Row],[COGS]]</f>
        <v>59.800000000000011</v>
      </c>
      <c r="R42" s="39">
        <f>WEEKDAY(Table2_1[[#This Row],[Transaction  Date]])</f>
        <v>3</v>
      </c>
      <c r="S42" s="17" t="str">
        <f>IF(WEEKDAY(Table2_1[[#This Row],[Transaction  Date]],2)&lt;=5,"Weekday","Weekend")</f>
        <v>Weekday</v>
      </c>
      <c r="T42" s="37" t="str">
        <f>FLOOR(Table2_1[[#This Row],[Age]],15)&amp; "-"&amp; FLOOR(Table2_1[[#This Row],[Age]],15)+14</f>
        <v>45-59</v>
      </c>
    </row>
    <row r="43" spans="1:20" x14ac:dyDescent="0.3">
      <c r="A43" s="18">
        <v>45301</v>
      </c>
      <c r="B43" s="17" t="s">
        <v>977</v>
      </c>
      <c r="C43" s="17" t="s">
        <v>38</v>
      </c>
      <c r="D43" s="18">
        <v>36132</v>
      </c>
      <c r="E43" s="16" t="s">
        <v>33</v>
      </c>
      <c r="F43" s="31">
        <v>430</v>
      </c>
      <c r="G43" s="17" t="s">
        <v>56</v>
      </c>
      <c r="H43" s="17" t="s">
        <v>39</v>
      </c>
      <c r="I43" s="17" t="s">
        <v>17</v>
      </c>
      <c r="J43" s="27">
        <v>0.1</v>
      </c>
      <c r="K43" s="17" t="s">
        <v>935</v>
      </c>
      <c r="L43" s="32">
        <v>18</v>
      </c>
      <c r="M43" s="32">
        <f>_xlfn.XLOOKUP(Table2_1[[#This Row],[Product Code]],Product_Code,Unit_Price,0)</f>
        <v>36</v>
      </c>
      <c r="N43" s="31">
        <f>DATEDIF(Table2_1[[#This Row],[Buyer Date of Birth]],Table2_1[[#This Row],[Transaction  Date]],"Y")</f>
        <v>25</v>
      </c>
      <c r="O43" s="33">
        <v>7740</v>
      </c>
      <c r="P43" s="33">
        <f>Table2_1[[#This Row],[Quantity Purchased]]*Table2_1[[#This Row],[UnitPrice]]*(1-Table2_1[[#This Row],[Discount]])</f>
        <v>13932</v>
      </c>
      <c r="Q43" s="33">
        <f>Table2_1[[#This Row],[Revenue]]-Table2_1[[#This Row],[COGS]]</f>
        <v>6192</v>
      </c>
      <c r="R43" s="39">
        <f>WEEKDAY(Table2_1[[#This Row],[Transaction  Date]])</f>
        <v>4</v>
      </c>
      <c r="S43" s="17" t="str">
        <f>IF(WEEKDAY(Table2_1[[#This Row],[Transaction  Date]],2)&lt;=5,"Weekday","Weekend")</f>
        <v>Weekday</v>
      </c>
      <c r="T43" s="37" t="str">
        <f>FLOOR(Table2_1[[#This Row],[Age]],15)&amp; "-"&amp; FLOOR(Table2_1[[#This Row],[Age]],15)+14</f>
        <v>15-29</v>
      </c>
    </row>
    <row r="44" spans="1:20" x14ac:dyDescent="0.3">
      <c r="A44" s="18">
        <v>45301</v>
      </c>
      <c r="B44" s="17" t="s">
        <v>978</v>
      </c>
      <c r="C44" s="17" t="s">
        <v>71</v>
      </c>
      <c r="D44" s="18">
        <v>32985</v>
      </c>
      <c r="E44" s="16" t="s">
        <v>68</v>
      </c>
      <c r="F44" s="31">
        <v>437</v>
      </c>
      <c r="G44" s="17" t="s">
        <v>15</v>
      </c>
      <c r="H44" s="17" t="s">
        <v>48</v>
      </c>
      <c r="I44" s="17" t="s">
        <v>17</v>
      </c>
      <c r="J44" s="27">
        <v>0.1</v>
      </c>
      <c r="K44" s="17" t="s">
        <v>929</v>
      </c>
      <c r="L44" s="32">
        <v>10</v>
      </c>
      <c r="M44" s="32">
        <f>_xlfn.XLOOKUP(Table2_1[[#This Row],[Product Code]],Product_Code,Unit_Price,0)</f>
        <v>14</v>
      </c>
      <c r="N44" s="31">
        <f>DATEDIF(Table2_1[[#This Row],[Buyer Date of Birth]],Table2_1[[#This Row],[Transaction  Date]],"Y")</f>
        <v>33</v>
      </c>
      <c r="O44" s="33">
        <v>4370</v>
      </c>
      <c r="P44" s="33">
        <f>Table2_1[[#This Row],[Quantity Purchased]]*Table2_1[[#This Row],[UnitPrice]]*(1-Table2_1[[#This Row],[Discount]])</f>
        <v>5506.2</v>
      </c>
      <c r="Q44" s="33">
        <f>Table2_1[[#This Row],[Revenue]]-Table2_1[[#This Row],[COGS]]</f>
        <v>1136.1999999999998</v>
      </c>
      <c r="R44" s="39">
        <f>WEEKDAY(Table2_1[[#This Row],[Transaction  Date]])</f>
        <v>4</v>
      </c>
      <c r="S44" s="17" t="str">
        <f>IF(WEEKDAY(Table2_1[[#This Row],[Transaction  Date]],2)&lt;=5,"Weekday","Weekend")</f>
        <v>Weekday</v>
      </c>
      <c r="T44" s="37" t="str">
        <f>FLOOR(Table2_1[[#This Row],[Age]],15)&amp; "-"&amp; FLOOR(Table2_1[[#This Row],[Age]],15)+14</f>
        <v>30-44</v>
      </c>
    </row>
    <row r="45" spans="1:20" x14ac:dyDescent="0.3">
      <c r="A45" s="18">
        <v>45301</v>
      </c>
      <c r="B45" s="17" t="s">
        <v>979</v>
      </c>
      <c r="C45" s="17" t="s">
        <v>32</v>
      </c>
      <c r="D45" s="18">
        <v>21113</v>
      </c>
      <c r="E45" s="16" t="s">
        <v>20</v>
      </c>
      <c r="F45" s="31">
        <v>263</v>
      </c>
      <c r="G45" s="17" t="s">
        <v>27</v>
      </c>
      <c r="H45" s="17" t="s">
        <v>39</v>
      </c>
      <c r="I45" s="17" t="s">
        <v>17</v>
      </c>
      <c r="J45" s="27">
        <v>0.1</v>
      </c>
      <c r="K45" s="17" t="s">
        <v>927</v>
      </c>
      <c r="L45" s="32">
        <v>18</v>
      </c>
      <c r="M45" s="32">
        <f>_xlfn.XLOOKUP(Table2_1[[#This Row],[Product Code]],Product_Code,Unit_Price,0)</f>
        <v>22</v>
      </c>
      <c r="N45" s="31">
        <f>DATEDIF(Table2_1[[#This Row],[Buyer Date of Birth]],Table2_1[[#This Row],[Transaction  Date]],"Y")</f>
        <v>66</v>
      </c>
      <c r="O45" s="33">
        <v>4734</v>
      </c>
      <c r="P45" s="33">
        <f>Table2_1[[#This Row],[Quantity Purchased]]*Table2_1[[#This Row],[UnitPrice]]*(1-Table2_1[[#This Row],[Discount]])</f>
        <v>5207.4000000000005</v>
      </c>
      <c r="Q45" s="33">
        <f>Table2_1[[#This Row],[Revenue]]-Table2_1[[#This Row],[COGS]]</f>
        <v>473.40000000000055</v>
      </c>
      <c r="R45" s="39">
        <f>WEEKDAY(Table2_1[[#This Row],[Transaction  Date]])</f>
        <v>4</v>
      </c>
      <c r="S45" s="17" t="str">
        <f>IF(WEEKDAY(Table2_1[[#This Row],[Transaction  Date]],2)&lt;=5,"Weekday","Weekend")</f>
        <v>Weekday</v>
      </c>
      <c r="T45" s="37" t="str">
        <f>FLOOR(Table2_1[[#This Row],[Age]],15)&amp; "-"&amp; FLOOR(Table2_1[[#This Row],[Age]],15)+14</f>
        <v>60-74</v>
      </c>
    </row>
    <row r="46" spans="1:20" x14ac:dyDescent="0.3">
      <c r="A46" s="18">
        <v>45301</v>
      </c>
      <c r="B46" s="17" t="s">
        <v>980</v>
      </c>
      <c r="C46" s="17" t="s">
        <v>26</v>
      </c>
      <c r="D46" s="18">
        <v>22585</v>
      </c>
      <c r="E46" s="16" t="s">
        <v>33</v>
      </c>
      <c r="F46" s="31">
        <v>135</v>
      </c>
      <c r="G46" s="17" t="s">
        <v>15</v>
      </c>
      <c r="H46" s="17" t="s">
        <v>28</v>
      </c>
      <c r="I46" s="17" t="s">
        <v>17</v>
      </c>
      <c r="J46" s="27">
        <v>0.1</v>
      </c>
      <c r="K46" s="17" t="s">
        <v>929</v>
      </c>
      <c r="L46" s="32">
        <v>10</v>
      </c>
      <c r="M46" s="32">
        <f>_xlfn.XLOOKUP(Table2_1[[#This Row],[Product Code]],Product_Code,Unit_Price,0)</f>
        <v>14</v>
      </c>
      <c r="N46" s="31">
        <f>DATEDIF(Table2_1[[#This Row],[Buyer Date of Birth]],Table2_1[[#This Row],[Transaction  Date]],"Y")</f>
        <v>62</v>
      </c>
      <c r="O46" s="33">
        <v>1350</v>
      </c>
      <c r="P46" s="33">
        <f>Table2_1[[#This Row],[Quantity Purchased]]*Table2_1[[#This Row],[UnitPrice]]*(1-Table2_1[[#This Row],[Discount]])</f>
        <v>1701</v>
      </c>
      <c r="Q46" s="33">
        <f>Table2_1[[#This Row],[Revenue]]-Table2_1[[#This Row],[COGS]]</f>
        <v>351</v>
      </c>
      <c r="R46" s="39">
        <f>WEEKDAY(Table2_1[[#This Row],[Transaction  Date]])</f>
        <v>4</v>
      </c>
      <c r="S46" s="17" t="str">
        <f>IF(WEEKDAY(Table2_1[[#This Row],[Transaction  Date]],2)&lt;=5,"Weekday","Weekend")</f>
        <v>Weekday</v>
      </c>
      <c r="T46" s="37" t="str">
        <f>FLOOR(Table2_1[[#This Row],[Age]],15)&amp; "-"&amp; FLOOR(Table2_1[[#This Row],[Age]],15)+14</f>
        <v>60-74</v>
      </c>
    </row>
    <row r="47" spans="1:20" x14ac:dyDescent="0.3">
      <c r="A47" s="18">
        <v>45301</v>
      </c>
      <c r="B47" s="17" t="s">
        <v>981</v>
      </c>
      <c r="C47" s="17" t="s">
        <v>55</v>
      </c>
      <c r="D47" s="18">
        <v>23781</v>
      </c>
      <c r="E47" s="16" t="s">
        <v>68</v>
      </c>
      <c r="F47" s="31">
        <v>36</v>
      </c>
      <c r="G47" s="17" t="s">
        <v>34</v>
      </c>
      <c r="H47" s="17" t="s">
        <v>28</v>
      </c>
      <c r="I47" s="17" t="s">
        <v>17</v>
      </c>
      <c r="J47" s="27">
        <v>0.1</v>
      </c>
      <c r="K47" s="17" t="s">
        <v>930</v>
      </c>
      <c r="L47" s="32">
        <v>14</v>
      </c>
      <c r="M47" s="32">
        <f>_xlfn.XLOOKUP(Table2_1[[#This Row],[Product Code]],Product_Code,Unit_Price,0)</f>
        <v>28</v>
      </c>
      <c r="N47" s="31">
        <f>DATEDIF(Table2_1[[#This Row],[Buyer Date of Birth]],Table2_1[[#This Row],[Transaction  Date]],"Y")</f>
        <v>58</v>
      </c>
      <c r="O47" s="33">
        <v>504</v>
      </c>
      <c r="P47" s="33">
        <f>Table2_1[[#This Row],[Quantity Purchased]]*Table2_1[[#This Row],[UnitPrice]]*(1-Table2_1[[#This Row],[Discount]])</f>
        <v>907.2</v>
      </c>
      <c r="Q47" s="33">
        <f>Table2_1[[#This Row],[Revenue]]-Table2_1[[#This Row],[COGS]]</f>
        <v>403.20000000000005</v>
      </c>
      <c r="R47" s="39">
        <f>WEEKDAY(Table2_1[[#This Row],[Transaction  Date]])</f>
        <v>4</v>
      </c>
      <c r="S47" s="17" t="str">
        <f>IF(WEEKDAY(Table2_1[[#This Row],[Transaction  Date]],2)&lt;=5,"Weekday","Weekend")</f>
        <v>Weekday</v>
      </c>
      <c r="T47" s="37" t="str">
        <f>FLOOR(Table2_1[[#This Row],[Age]],15)&amp; "-"&amp; FLOOR(Table2_1[[#This Row],[Age]],15)+14</f>
        <v>45-59</v>
      </c>
    </row>
    <row r="48" spans="1:20" x14ac:dyDescent="0.3">
      <c r="A48" s="18">
        <v>45301</v>
      </c>
      <c r="B48" s="17" t="s">
        <v>982</v>
      </c>
      <c r="C48" s="17" t="s">
        <v>32</v>
      </c>
      <c r="D48" s="18">
        <v>30387</v>
      </c>
      <c r="E48" s="16" t="s">
        <v>68</v>
      </c>
      <c r="F48" s="31">
        <v>447</v>
      </c>
      <c r="G48" s="17" t="s">
        <v>64</v>
      </c>
      <c r="H48" s="17" t="s">
        <v>52</v>
      </c>
      <c r="I48" s="17" t="s">
        <v>17</v>
      </c>
      <c r="J48" s="27">
        <v>0.1</v>
      </c>
      <c r="K48" s="17" t="s">
        <v>933</v>
      </c>
      <c r="L48" s="32">
        <v>5</v>
      </c>
      <c r="M48" s="32">
        <f>_xlfn.XLOOKUP(Table2_1[[#This Row],[Product Code]],Product_Code,Unit_Price,0)</f>
        <v>7</v>
      </c>
      <c r="N48" s="31">
        <f>DATEDIF(Table2_1[[#This Row],[Buyer Date of Birth]],Table2_1[[#This Row],[Transaction  Date]],"Y")</f>
        <v>40</v>
      </c>
      <c r="O48" s="33">
        <v>2235</v>
      </c>
      <c r="P48" s="33">
        <f>Table2_1[[#This Row],[Quantity Purchased]]*Table2_1[[#This Row],[UnitPrice]]*(1-Table2_1[[#This Row],[Discount]])</f>
        <v>2816.1</v>
      </c>
      <c r="Q48" s="33">
        <f>Table2_1[[#This Row],[Revenue]]-Table2_1[[#This Row],[COGS]]</f>
        <v>581.09999999999991</v>
      </c>
      <c r="R48" s="39">
        <f>WEEKDAY(Table2_1[[#This Row],[Transaction  Date]])</f>
        <v>4</v>
      </c>
      <c r="S48" s="17" t="str">
        <f>IF(WEEKDAY(Table2_1[[#This Row],[Transaction  Date]],2)&lt;=5,"Weekday","Weekend")</f>
        <v>Weekday</v>
      </c>
      <c r="T48" s="37" t="str">
        <f>FLOOR(Table2_1[[#This Row],[Age]],15)&amp; "-"&amp; FLOOR(Table2_1[[#This Row],[Age]],15)+14</f>
        <v>30-44</v>
      </c>
    </row>
    <row r="49" spans="1:20" x14ac:dyDescent="0.3">
      <c r="A49" s="18">
        <v>45302</v>
      </c>
      <c r="B49" s="17" t="s">
        <v>983</v>
      </c>
      <c r="C49" s="17" t="s">
        <v>51</v>
      </c>
      <c r="D49" s="18">
        <v>21791</v>
      </c>
      <c r="E49" s="16" t="s">
        <v>33</v>
      </c>
      <c r="F49" s="31">
        <v>340</v>
      </c>
      <c r="G49" s="17" t="s">
        <v>34</v>
      </c>
      <c r="H49" s="17" t="s">
        <v>52</v>
      </c>
      <c r="I49" s="17" t="s">
        <v>17</v>
      </c>
      <c r="J49" s="27">
        <v>0.1</v>
      </c>
      <c r="K49" s="17" t="s">
        <v>930</v>
      </c>
      <c r="L49" s="32">
        <v>14</v>
      </c>
      <c r="M49" s="32">
        <f>_xlfn.XLOOKUP(Table2_1[[#This Row],[Product Code]],Product_Code,Unit_Price,0)</f>
        <v>28</v>
      </c>
      <c r="N49" s="31">
        <f>DATEDIF(Table2_1[[#This Row],[Buyer Date of Birth]],Table2_1[[#This Row],[Transaction  Date]],"Y")</f>
        <v>64</v>
      </c>
      <c r="O49" s="33">
        <v>4760</v>
      </c>
      <c r="P49" s="33">
        <f>Table2_1[[#This Row],[Quantity Purchased]]*Table2_1[[#This Row],[UnitPrice]]*(1-Table2_1[[#This Row],[Discount]])</f>
        <v>8568</v>
      </c>
      <c r="Q49" s="33">
        <f>Table2_1[[#This Row],[Revenue]]-Table2_1[[#This Row],[COGS]]</f>
        <v>3808</v>
      </c>
      <c r="R49" s="39">
        <f>WEEKDAY(Table2_1[[#This Row],[Transaction  Date]])</f>
        <v>5</v>
      </c>
      <c r="S49" s="17" t="str">
        <f>IF(WEEKDAY(Table2_1[[#This Row],[Transaction  Date]],2)&lt;=5,"Weekday","Weekend")</f>
        <v>Weekday</v>
      </c>
      <c r="T49" s="37" t="str">
        <f>FLOOR(Table2_1[[#This Row],[Age]],15)&amp; "-"&amp; FLOOR(Table2_1[[#This Row],[Age]],15)+14</f>
        <v>60-74</v>
      </c>
    </row>
    <row r="50" spans="1:20" x14ac:dyDescent="0.3">
      <c r="A50" s="18">
        <v>45302</v>
      </c>
      <c r="B50" s="17" t="s">
        <v>984</v>
      </c>
      <c r="C50" s="17" t="s">
        <v>78</v>
      </c>
      <c r="D50" s="18">
        <v>23341</v>
      </c>
      <c r="E50" s="16" t="s">
        <v>20</v>
      </c>
      <c r="F50" s="31">
        <v>323</v>
      </c>
      <c r="G50" s="17" t="s">
        <v>21</v>
      </c>
      <c r="H50" s="17" t="s">
        <v>48</v>
      </c>
      <c r="I50" s="17" t="s">
        <v>17</v>
      </c>
      <c r="J50" s="27">
        <v>0.1</v>
      </c>
      <c r="K50" s="17" t="s">
        <v>934</v>
      </c>
      <c r="L50" s="32">
        <v>10</v>
      </c>
      <c r="M50" s="32">
        <f>_xlfn.XLOOKUP(Table2_1[[#This Row],[Product Code]],Product_Code,Unit_Price,0)</f>
        <v>45</v>
      </c>
      <c r="N50" s="31">
        <f>DATEDIF(Table2_1[[#This Row],[Buyer Date of Birth]],Table2_1[[#This Row],[Transaction  Date]],"Y")</f>
        <v>60</v>
      </c>
      <c r="O50" s="33">
        <v>3230</v>
      </c>
      <c r="P50" s="33">
        <f>Table2_1[[#This Row],[Quantity Purchased]]*Table2_1[[#This Row],[UnitPrice]]*(1-Table2_1[[#This Row],[Discount]])</f>
        <v>13081.5</v>
      </c>
      <c r="Q50" s="33">
        <f>Table2_1[[#This Row],[Revenue]]-Table2_1[[#This Row],[COGS]]</f>
        <v>9851.5</v>
      </c>
      <c r="R50" s="39">
        <f>WEEKDAY(Table2_1[[#This Row],[Transaction  Date]])</f>
        <v>5</v>
      </c>
      <c r="S50" s="17" t="str">
        <f>IF(WEEKDAY(Table2_1[[#This Row],[Transaction  Date]],2)&lt;=5,"Weekday","Weekend")</f>
        <v>Weekday</v>
      </c>
      <c r="T50" s="37" t="str">
        <f>FLOOR(Table2_1[[#This Row],[Age]],15)&amp; "-"&amp; FLOOR(Table2_1[[#This Row],[Age]],15)+14</f>
        <v>60-74</v>
      </c>
    </row>
    <row r="51" spans="1:20" x14ac:dyDescent="0.3">
      <c r="A51" s="18">
        <v>45302</v>
      </c>
      <c r="B51" s="17" t="s">
        <v>1832</v>
      </c>
      <c r="C51" s="17" t="s">
        <v>13</v>
      </c>
      <c r="D51" s="18">
        <v>37363</v>
      </c>
      <c r="E51" s="16" t="s">
        <v>20</v>
      </c>
      <c r="F51" s="31">
        <v>471</v>
      </c>
      <c r="G51" s="17" t="s">
        <v>64</v>
      </c>
      <c r="H51" s="17" t="s">
        <v>48</v>
      </c>
      <c r="I51" s="17" t="s">
        <v>17</v>
      </c>
      <c r="J51" s="27">
        <v>0.1</v>
      </c>
      <c r="K51" s="17" t="s">
        <v>933</v>
      </c>
      <c r="L51" s="32">
        <v>5</v>
      </c>
      <c r="M51" s="32">
        <f>_xlfn.XLOOKUP(Table2_1[[#This Row],[Product Code]],Product_Code,Unit_Price,0)</f>
        <v>7</v>
      </c>
      <c r="N51" s="31">
        <f>DATEDIF(Table2_1[[#This Row],[Buyer Date of Birth]],Table2_1[[#This Row],[Transaction  Date]],"Y")</f>
        <v>21</v>
      </c>
      <c r="O51" s="33">
        <v>2355</v>
      </c>
      <c r="P51" s="33">
        <f>Table2_1[[#This Row],[Quantity Purchased]]*Table2_1[[#This Row],[UnitPrice]]*(1-Table2_1[[#This Row],[Discount]])</f>
        <v>2967.3</v>
      </c>
      <c r="Q51" s="33">
        <f>Table2_1[[#This Row],[Revenue]]-Table2_1[[#This Row],[COGS]]</f>
        <v>612.30000000000018</v>
      </c>
      <c r="R51" s="39">
        <f>WEEKDAY(Table2_1[[#This Row],[Transaction  Date]])</f>
        <v>5</v>
      </c>
      <c r="S51" s="17" t="str">
        <f>IF(WEEKDAY(Table2_1[[#This Row],[Transaction  Date]],2)&lt;=5,"Weekday","Weekend")</f>
        <v>Weekday</v>
      </c>
      <c r="T51" s="37" t="str">
        <f>FLOOR(Table2_1[[#This Row],[Age]],15)&amp; "-"&amp; FLOOR(Table2_1[[#This Row],[Age]],15)+14</f>
        <v>15-29</v>
      </c>
    </row>
    <row r="52" spans="1:20" x14ac:dyDescent="0.3">
      <c r="A52" s="18">
        <v>45302</v>
      </c>
      <c r="B52" s="17" t="s">
        <v>985</v>
      </c>
      <c r="C52" s="17" t="s">
        <v>51</v>
      </c>
      <c r="D52" s="18">
        <v>30506</v>
      </c>
      <c r="E52" s="16" t="s">
        <v>20</v>
      </c>
      <c r="F52" s="31">
        <v>146</v>
      </c>
      <c r="G52" s="17" t="s">
        <v>65</v>
      </c>
      <c r="H52" s="17" t="s">
        <v>35</v>
      </c>
      <c r="I52" s="17" t="s">
        <v>17</v>
      </c>
      <c r="J52" s="27">
        <v>0.1</v>
      </c>
      <c r="K52" s="17" t="s">
        <v>928</v>
      </c>
      <c r="L52" s="32">
        <v>3</v>
      </c>
      <c r="M52" s="32">
        <f>_xlfn.XLOOKUP(Table2_1[[#This Row],[Product Code]],Product_Code,Unit_Price,0)</f>
        <v>5</v>
      </c>
      <c r="N52" s="31">
        <f>DATEDIF(Table2_1[[#This Row],[Buyer Date of Birth]],Table2_1[[#This Row],[Transaction  Date]],"Y")</f>
        <v>40</v>
      </c>
      <c r="O52" s="33">
        <v>438</v>
      </c>
      <c r="P52" s="33">
        <f>Table2_1[[#This Row],[Quantity Purchased]]*Table2_1[[#This Row],[UnitPrice]]*(1-Table2_1[[#This Row],[Discount]])</f>
        <v>657</v>
      </c>
      <c r="Q52" s="33">
        <f>Table2_1[[#This Row],[Revenue]]-Table2_1[[#This Row],[COGS]]</f>
        <v>219</v>
      </c>
      <c r="R52" s="39">
        <f>WEEKDAY(Table2_1[[#This Row],[Transaction  Date]])</f>
        <v>5</v>
      </c>
      <c r="S52" s="17" t="str">
        <f>IF(WEEKDAY(Table2_1[[#This Row],[Transaction  Date]],2)&lt;=5,"Weekday","Weekend")</f>
        <v>Weekday</v>
      </c>
      <c r="T52" s="37" t="str">
        <f>FLOOR(Table2_1[[#This Row],[Age]],15)&amp; "-"&amp; FLOOR(Table2_1[[#This Row],[Age]],15)+14</f>
        <v>30-44</v>
      </c>
    </row>
    <row r="53" spans="1:20" x14ac:dyDescent="0.3">
      <c r="A53" s="18">
        <v>45302</v>
      </c>
      <c r="B53" s="17" t="s">
        <v>986</v>
      </c>
      <c r="C53" s="17" t="s">
        <v>32</v>
      </c>
      <c r="D53" s="18">
        <v>27109</v>
      </c>
      <c r="E53" s="16" t="s">
        <v>68</v>
      </c>
      <c r="F53" s="31">
        <v>488</v>
      </c>
      <c r="G53" s="17" t="s">
        <v>21</v>
      </c>
      <c r="H53" s="17" t="s">
        <v>52</v>
      </c>
      <c r="I53" s="17" t="s">
        <v>17</v>
      </c>
      <c r="J53" s="27">
        <v>0.1</v>
      </c>
      <c r="K53" s="17" t="s">
        <v>934</v>
      </c>
      <c r="L53" s="32">
        <v>10</v>
      </c>
      <c r="M53" s="32">
        <f>_xlfn.XLOOKUP(Table2_1[[#This Row],[Product Code]],Product_Code,Unit_Price,0)</f>
        <v>45</v>
      </c>
      <c r="N53" s="31">
        <f>DATEDIF(Table2_1[[#This Row],[Buyer Date of Birth]],Table2_1[[#This Row],[Transaction  Date]],"Y")</f>
        <v>49</v>
      </c>
      <c r="O53" s="33">
        <v>4880</v>
      </c>
      <c r="P53" s="33">
        <f>Table2_1[[#This Row],[Quantity Purchased]]*Table2_1[[#This Row],[UnitPrice]]*(1-Table2_1[[#This Row],[Discount]])</f>
        <v>19764</v>
      </c>
      <c r="Q53" s="33">
        <f>Table2_1[[#This Row],[Revenue]]-Table2_1[[#This Row],[COGS]]</f>
        <v>14884</v>
      </c>
      <c r="R53" s="39">
        <f>WEEKDAY(Table2_1[[#This Row],[Transaction  Date]])</f>
        <v>5</v>
      </c>
      <c r="S53" s="17" t="str">
        <f>IF(WEEKDAY(Table2_1[[#This Row],[Transaction  Date]],2)&lt;=5,"Weekday","Weekend")</f>
        <v>Weekday</v>
      </c>
      <c r="T53" s="37" t="str">
        <f>FLOOR(Table2_1[[#This Row],[Age]],15)&amp; "-"&amp; FLOOR(Table2_1[[#This Row],[Age]],15)+14</f>
        <v>45-59</v>
      </c>
    </row>
    <row r="54" spans="1:20" x14ac:dyDescent="0.3">
      <c r="A54" s="18">
        <v>45302</v>
      </c>
      <c r="B54" s="17" t="s">
        <v>987</v>
      </c>
      <c r="C54" s="17" t="s">
        <v>46</v>
      </c>
      <c r="D54" s="18">
        <v>16082</v>
      </c>
      <c r="E54" s="16" t="s">
        <v>20</v>
      </c>
      <c r="F54" s="31">
        <v>75</v>
      </c>
      <c r="G54" s="17" t="s">
        <v>15</v>
      </c>
      <c r="H54" s="17" t="s">
        <v>52</v>
      </c>
      <c r="I54" s="17" t="s">
        <v>17</v>
      </c>
      <c r="J54" s="27">
        <v>0.1</v>
      </c>
      <c r="K54" s="17" t="s">
        <v>929</v>
      </c>
      <c r="L54" s="32">
        <v>10</v>
      </c>
      <c r="M54" s="32">
        <f>_xlfn.XLOOKUP(Table2_1[[#This Row],[Product Code]],Product_Code,Unit_Price,0)</f>
        <v>14</v>
      </c>
      <c r="N54" s="31">
        <f>DATEDIF(Table2_1[[#This Row],[Buyer Date of Birth]],Table2_1[[#This Row],[Transaction  Date]],"Y")</f>
        <v>80</v>
      </c>
      <c r="O54" s="33">
        <v>750</v>
      </c>
      <c r="P54" s="33">
        <f>Table2_1[[#This Row],[Quantity Purchased]]*Table2_1[[#This Row],[UnitPrice]]*(1-Table2_1[[#This Row],[Discount]])</f>
        <v>945</v>
      </c>
      <c r="Q54" s="33">
        <f>Table2_1[[#This Row],[Revenue]]-Table2_1[[#This Row],[COGS]]</f>
        <v>195</v>
      </c>
      <c r="R54" s="39">
        <f>WEEKDAY(Table2_1[[#This Row],[Transaction  Date]])</f>
        <v>5</v>
      </c>
      <c r="S54" s="17" t="str">
        <f>IF(WEEKDAY(Table2_1[[#This Row],[Transaction  Date]],2)&lt;=5,"Weekday","Weekend")</f>
        <v>Weekday</v>
      </c>
      <c r="T54" s="37" t="str">
        <f>FLOOR(Table2_1[[#This Row],[Age]],15)&amp; "-"&amp; FLOOR(Table2_1[[#This Row],[Age]],15)+14</f>
        <v>75-89</v>
      </c>
    </row>
    <row r="55" spans="1:20" x14ac:dyDescent="0.3">
      <c r="A55" s="18">
        <v>45302</v>
      </c>
      <c r="B55" s="17" t="s">
        <v>988</v>
      </c>
      <c r="C55" s="17" t="s">
        <v>94</v>
      </c>
      <c r="D55" s="18">
        <v>33773</v>
      </c>
      <c r="E55" s="16" t="s">
        <v>20</v>
      </c>
      <c r="F55" s="31">
        <v>261</v>
      </c>
      <c r="G55" s="17" t="s">
        <v>42</v>
      </c>
      <c r="H55" s="17" t="s">
        <v>48</v>
      </c>
      <c r="I55" s="17" t="s">
        <v>17</v>
      </c>
      <c r="J55" s="27">
        <v>0.1</v>
      </c>
      <c r="K55" s="17" t="s">
        <v>926</v>
      </c>
      <c r="L55" s="32">
        <v>10</v>
      </c>
      <c r="M55" s="32">
        <f>_xlfn.XLOOKUP(Table2_1[[#This Row],[Product Code]],Product_Code,Unit_Price,0)</f>
        <v>11</v>
      </c>
      <c r="N55" s="31">
        <f>DATEDIF(Table2_1[[#This Row],[Buyer Date of Birth]],Table2_1[[#This Row],[Transaction  Date]],"Y")</f>
        <v>31</v>
      </c>
      <c r="O55" s="33">
        <v>2610</v>
      </c>
      <c r="P55" s="33">
        <f>Table2_1[[#This Row],[Quantity Purchased]]*Table2_1[[#This Row],[UnitPrice]]*(1-Table2_1[[#This Row],[Discount]])</f>
        <v>2583.9</v>
      </c>
      <c r="Q55" s="33">
        <f>Table2_1[[#This Row],[Revenue]]-Table2_1[[#This Row],[COGS]]</f>
        <v>-26.099999999999909</v>
      </c>
      <c r="R55" s="39">
        <f>WEEKDAY(Table2_1[[#This Row],[Transaction  Date]])</f>
        <v>5</v>
      </c>
      <c r="S55" s="17" t="str">
        <f>IF(WEEKDAY(Table2_1[[#This Row],[Transaction  Date]],2)&lt;=5,"Weekday","Weekend")</f>
        <v>Weekday</v>
      </c>
      <c r="T55" s="37" t="str">
        <f>FLOOR(Table2_1[[#This Row],[Age]],15)&amp; "-"&amp; FLOOR(Table2_1[[#This Row],[Age]],15)+14</f>
        <v>30-44</v>
      </c>
    </row>
    <row r="56" spans="1:20" x14ac:dyDescent="0.3">
      <c r="A56" s="18">
        <v>45303</v>
      </c>
      <c r="B56" s="17" t="s">
        <v>989</v>
      </c>
      <c r="C56" s="17" t="s">
        <v>26</v>
      </c>
      <c r="D56" s="18">
        <v>23768</v>
      </c>
      <c r="E56" s="16" t="s">
        <v>20</v>
      </c>
      <c r="F56" s="31">
        <v>71</v>
      </c>
      <c r="G56" s="17" t="s">
        <v>27</v>
      </c>
      <c r="H56" s="17" t="s">
        <v>52</v>
      </c>
      <c r="I56" s="17" t="s">
        <v>17</v>
      </c>
      <c r="J56" s="27">
        <v>0.1</v>
      </c>
      <c r="K56" s="17" t="s">
        <v>927</v>
      </c>
      <c r="L56" s="32">
        <v>18</v>
      </c>
      <c r="M56" s="32">
        <f>_xlfn.XLOOKUP(Table2_1[[#This Row],[Product Code]],Product_Code,Unit_Price,0)</f>
        <v>22</v>
      </c>
      <c r="N56" s="31">
        <f>DATEDIF(Table2_1[[#This Row],[Buyer Date of Birth]],Table2_1[[#This Row],[Transaction  Date]],"Y")</f>
        <v>58</v>
      </c>
      <c r="O56" s="33">
        <v>1278</v>
      </c>
      <c r="P56" s="33">
        <f>Table2_1[[#This Row],[Quantity Purchased]]*Table2_1[[#This Row],[UnitPrice]]*(1-Table2_1[[#This Row],[Discount]])</f>
        <v>1405.8</v>
      </c>
      <c r="Q56" s="33">
        <f>Table2_1[[#This Row],[Revenue]]-Table2_1[[#This Row],[COGS]]</f>
        <v>127.79999999999995</v>
      </c>
      <c r="R56" s="39">
        <f>WEEKDAY(Table2_1[[#This Row],[Transaction  Date]])</f>
        <v>6</v>
      </c>
      <c r="S56" s="17" t="str">
        <f>IF(WEEKDAY(Table2_1[[#This Row],[Transaction  Date]],2)&lt;=5,"Weekday","Weekend")</f>
        <v>Weekday</v>
      </c>
      <c r="T56" s="37" t="str">
        <f>FLOOR(Table2_1[[#This Row],[Age]],15)&amp; "-"&amp; FLOOR(Table2_1[[#This Row],[Age]],15)+14</f>
        <v>45-59</v>
      </c>
    </row>
    <row r="57" spans="1:20" x14ac:dyDescent="0.3">
      <c r="A57" s="18">
        <v>45303</v>
      </c>
      <c r="B57" s="17" t="s">
        <v>990</v>
      </c>
      <c r="C57" s="17" t="s">
        <v>51</v>
      </c>
      <c r="D57" s="18">
        <v>27946</v>
      </c>
      <c r="E57" s="16" t="s">
        <v>68</v>
      </c>
      <c r="F57" s="31">
        <v>271</v>
      </c>
      <c r="G57" s="17" t="s">
        <v>47</v>
      </c>
      <c r="H57" s="17" t="s">
        <v>39</v>
      </c>
      <c r="I57" s="17" t="s">
        <v>17</v>
      </c>
      <c r="J57" s="27">
        <v>0.1</v>
      </c>
      <c r="K57" s="17" t="s">
        <v>931</v>
      </c>
      <c r="L57" s="32">
        <v>7</v>
      </c>
      <c r="M57" s="32">
        <f>_xlfn.XLOOKUP(Table2_1[[#This Row],[Product Code]],Product_Code,Unit_Price,0)</f>
        <v>9</v>
      </c>
      <c r="N57" s="31">
        <f>DATEDIF(Table2_1[[#This Row],[Buyer Date of Birth]],Table2_1[[#This Row],[Transaction  Date]],"Y")</f>
        <v>47</v>
      </c>
      <c r="O57" s="33">
        <v>1897</v>
      </c>
      <c r="P57" s="33">
        <f>Table2_1[[#This Row],[Quantity Purchased]]*Table2_1[[#This Row],[UnitPrice]]*(1-Table2_1[[#This Row],[Discount]])</f>
        <v>2195.1</v>
      </c>
      <c r="Q57" s="33">
        <f>Table2_1[[#This Row],[Revenue]]-Table2_1[[#This Row],[COGS]]</f>
        <v>298.09999999999991</v>
      </c>
      <c r="R57" s="39">
        <f>WEEKDAY(Table2_1[[#This Row],[Transaction  Date]])</f>
        <v>6</v>
      </c>
      <c r="S57" s="17" t="str">
        <f>IF(WEEKDAY(Table2_1[[#This Row],[Transaction  Date]],2)&lt;=5,"Weekday","Weekend")</f>
        <v>Weekday</v>
      </c>
      <c r="T57" s="37" t="str">
        <f>FLOOR(Table2_1[[#This Row],[Age]],15)&amp; "-"&amp; FLOOR(Table2_1[[#This Row],[Age]],15)+14</f>
        <v>45-59</v>
      </c>
    </row>
    <row r="58" spans="1:20" x14ac:dyDescent="0.3">
      <c r="A58" s="18">
        <v>45303</v>
      </c>
      <c r="B58" s="17" t="s">
        <v>991</v>
      </c>
      <c r="C58" s="17" t="s">
        <v>13</v>
      </c>
      <c r="D58" s="18">
        <v>35229</v>
      </c>
      <c r="E58" s="16" t="s">
        <v>14</v>
      </c>
      <c r="F58" s="31">
        <v>277</v>
      </c>
      <c r="G58" s="17" t="s">
        <v>47</v>
      </c>
      <c r="H58" s="17" t="s">
        <v>48</v>
      </c>
      <c r="I58" s="17" t="s">
        <v>17</v>
      </c>
      <c r="J58" s="27">
        <v>0.1</v>
      </c>
      <c r="K58" s="17" t="s">
        <v>931</v>
      </c>
      <c r="L58" s="32">
        <v>7</v>
      </c>
      <c r="M58" s="32">
        <f>_xlfn.XLOOKUP(Table2_1[[#This Row],[Product Code]],Product_Code,Unit_Price,0)</f>
        <v>9</v>
      </c>
      <c r="N58" s="31">
        <f>DATEDIF(Table2_1[[#This Row],[Buyer Date of Birth]],Table2_1[[#This Row],[Transaction  Date]],"Y")</f>
        <v>27</v>
      </c>
      <c r="O58" s="33">
        <v>1939</v>
      </c>
      <c r="P58" s="33">
        <f>Table2_1[[#This Row],[Quantity Purchased]]*Table2_1[[#This Row],[UnitPrice]]*(1-Table2_1[[#This Row],[Discount]])</f>
        <v>2243.7000000000003</v>
      </c>
      <c r="Q58" s="33">
        <f>Table2_1[[#This Row],[Revenue]]-Table2_1[[#This Row],[COGS]]</f>
        <v>304.70000000000027</v>
      </c>
      <c r="R58" s="39">
        <f>WEEKDAY(Table2_1[[#This Row],[Transaction  Date]])</f>
        <v>6</v>
      </c>
      <c r="S58" s="17" t="str">
        <f>IF(WEEKDAY(Table2_1[[#This Row],[Transaction  Date]],2)&lt;=5,"Weekday","Weekend")</f>
        <v>Weekday</v>
      </c>
      <c r="T58" s="37" t="str">
        <f>FLOOR(Table2_1[[#This Row],[Age]],15)&amp; "-"&amp; FLOOR(Table2_1[[#This Row],[Age]],15)+14</f>
        <v>15-29</v>
      </c>
    </row>
    <row r="59" spans="1:20" x14ac:dyDescent="0.3">
      <c r="A59" s="18">
        <v>45303</v>
      </c>
      <c r="B59" s="17" t="s">
        <v>992</v>
      </c>
      <c r="C59" s="17" t="s">
        <v>32</v>
      </c>
      <c r="D59" s="18">
        <v>25382</v>
      </c>
      <c r="E59" s="16" t="s">
        <v>68</v>
      </c>
      <c r="F59" s="31">
        <v>103</v>
      </c>
      <c r="G59" s="17" t="s">
        <v>65</v>
      </c>
      <c r="H59" s="17" t="s">
        <v>35</v>
      </c>
      <c r="I59" s="17" t="s">
        <v>17</v>
      </c>
      <c r="J59" s="27">
        <v>0.1</v>
      </c>
      <c r="K59" s="17" t="s">
        <v>928</v>
      </c>
      <c r="L59" s="32">
        <v>3</v>
      </c>
      <c r="M59" s="32">
        <f>_xlfn.XLOOKUP(Table2_1[[#This Row],[Product Code]],Product_Code,Unit_Price,0)</f>
        <v>5</v>
      </c>
      <c r="N59" s="31">
        <f>DATEDIF(Table2_1[[#This Row],[Buyer Date of Birth]],Table2_1[[#This Row],[Transaction  Date]],"Y")</f>
        <v>54</v>
      </c>
      <c r="O59" s="33">
        <v>309</v>
      </c>
      <c r="P59" s="33">
        <f>Table2_1[[#This Row],[Quantity Purchased]]*Table2_1[[#This Row],[UnitPrice]]*(1-Table2_1[[#This Row],[Discount]])</f>
        <v>463.5</v>
      </c>
      <c r="Q59" s="33">
        <f>Table2_1[[#This Row],[Revenue]]-Table2_1[[#This Row],[COGS]]</f>
        <v>154.5</v>
      </c>
      <c r="R59" s="39">
        <f>WEEKDAY(Table2_1[[#This Row],[Transaction  Date]])</f>
        <v>6</v>
      </c>
      <c r="S59" s="17" t="str">
        <f>IF(WEEKDAY(Table2_1[[#This Row],[Transaction  Date]],2)&lt;=5,"Weekday","Weekend")</f>
        <v>Weekday</v>
      </c>
      <c r="T59" s="37" t="str">
        <f>FLOOR(Table2_1[[#This Row],[Age]],15)&amp; "-"&amp; FLOOR(Table2_1[[#This Row],[Age]],15)+14</f>
        <v>45-59</v>
      </c>
    </row>
    <row r="60" spans="1:20" x14ac:dyDescent="0.3">
      <c r="A60" s="18">
        <v>45303</v>
      </c>
      <c r="B60" s="17" t="s">
        <v>993</v>
      </c>
      <c r="C60" s="17" t="s">
        <v>38</v>
      </c>
      <c r="D60" s="18">
        <v>27766</v>
      </c>
      <c r="E60" s="16" t="s">
        <v>20</v>
      </c>
      <c r="F60" s="31">
        <v>264</v>
      </c>
      <c r="G60" s="17" t="s">
        <v>27</v>
      </c>
      <c r="H60" s="17" t="s">
        <v>48</v>
      </c>
      <c r="I60" s="17" t="s">
        <v>17</v>
      </c>
      <c r="J60" s="27">
        <v>0.1</v>
      </c>
      <c r="K60" s="17" t="s">
        <v>927</v>
      </c>
      <c r="L60" s="32">
        <v>18</v>
      </c>
      <c r="M60" s="32">
        <f>_xlfn.XLOOKUP(Table2_1[[#This Row],[Product Code]],Product_Code,Unit_Price,0)</f>
        <v>22</v>
      </c>
      <c r="N60" s="31">
        <f>DATEDIF(Table2_1[[#This Row],[Buyer Date of Birth]],Table2_1[[#This Row],[Transaction  Date]],"Y")</f>
        <v>48</v>
      </c>
      <c r="O60" s="33">
        <v>4752</v>
      </c>
      <c r="P60" s="33">
        <f>Table2_1[[#This Row],[Quantity Purchased]]*Table2_1[[#This Row],[UnitPrice]]*(1-Table2_1[[#This Row],[Discount]])</f>
        <v>5227.2</v>
      </c>
      <c r="Q60" s="33">
        <f>Table2_1[[#This Row],[Revenue]]-Table2_1[[#This Row],[COGS]]</f>
        <v>475.19999999999982</v>
      </c>
      <c r="R60" s="39">
        <f>WEEKDAY(Table2_1[[#This Row],[Transaction  Date]])</f>
        <v>6</v>
      </c>
      <c r="S60" s="17" t="str">
        <f>IF(WEEKDAY(Table2_1[[#This Row],[Transaction  Date]],2)&lt;=5,"Weekday","Weekend")</f>
        <v>Weekday</v>
      </c>
      <c r="T60" s="37" t="str">
        <f>FLOOR(Table2_1[[#This Row],[Age]],15)&amp; "-"&amp; FLOOR(Table2_1[[#This Row],[Age]],15)+14</f>
        <v>45-59</v>
      </c>
    </row>
    <row r="61" spans="1:20" x14ac:dyDescent="0.3">
      <c r="A61" s="18">
        <v>45303</v>
      </c>
      <c r="B61" s="17" t="s">
        <v>994</v>
      </c>
      <c r="C61" s="17" t="s">
        <v>71</v>
      </c>
      <c r="D61" s="18">
        <v>18144</v>
      </c>
      <c r="E61" s="16" t="s">
        <v>20</v>
      </c>
      <c r="F61" s="31">
        <v>302</v>
      </c>
      <c r="G61" s="17" t="s">
        <v>21</v>
      </c>
      <c r="H61" s="17" t="s">
        <v>48</v>
      </c>
      <c r="I61" s="17" t="s">
        <v>17</v>
      </c>
      <c r="J61" s="27">
        <v>0.1</v>
      </c>
      <c r="K61" s="17" t="s">
        <v>934</v>
      </c>
      <c r="L61" s="32">
        <v>10</v>
      </c>
      <c r="M61" s="32">
        <f>_xlfn.XLOOKUP(Table2_1[[#This Row],[Product Code]],Product_Code,Unit_Price,0)</f>
        <v>45</v>
      </c>
      <c r="N61" s="31">
        <f>DATEDIF(Table2_1[[#This Row],[Buyer Date of Birth]],Table2_1[[#This Row],[Transaction  Date]],"Y")</f>
        <v>74</v>
      </c>
      <c r="O61" s="33">
        <v>3020</v>
      </c>
      <c r="P61" s="33">
        <f>Table2_1[[#This Row],[Quantity Purchased]]*Table2_1[[#This Row],[UnitPrice]]*(1-Table2_1[[#This Row],[Discount]])</f>
        <v>12231</v>
      </c>
      <c r="Q61" s="33">
        <f>Table2_1[[#This Row],[Revenue]]-Table2_1[[#This Row],[COGS]]</f>
        <v>9211</v>
      </c>
      <c r="R61" s="39">
        <f>WEEKDAY(Table2_1[[#This Row],[Transaction  Date]])</f>
        <v>6</v>
      </c>
      <c r="S61" s="17" t="str">
        <f>IF(WEEKDAY(Table2_1[[#This Row],[Transaction  Date]],2)&lt;=5,"Weekday","Weekend")</f>
        <v>Weekday</v>
      </c>
      <c r="T61" s="37" t="str">
        <f>FLOOR(Table2_1[[#This Row],[Age]],15)&amp; "-"&amp; FLOOR(Table2_1[[#This Row],[Age]],15)+14</f>
        <v>60-74</v>
      </c>
    </row>
    <row r="62" spans="1:20" x14ac:dyDescent="0.3">
      <c r="A62" s="18">
        <v>45303</v>
      </c>
      <c r="B62" s="17" t="s">
        <v>995</v>
      </c>
      <c r="C62" s="17" t="s">
        <v>51</v>
      </c>
      <c r="D62" s="18">
        <v>29934</v>
      </c>
      <c r="E62" s="16" t="s">
        <v>68</v>
      </c>
      <c r="F62" s="31">
        <v>483</v>
      </c>
      <c r="G62" s="17" t="s">
        <v>65</v>
      </c>
      <c r="H62" s="17" t="s">
        <v>48</v>
      </c>
      <c r="I62" s="17" t="s">
        <v>17</v>
      </c>
      <c r="J62" s="27">
        <v>0.1</v>
      </c>
      <c r="K62" s="17" t="s">
        <v>928</v>
      </c>
      <c r="L62" s="32">
        <v>3</v>
      </c>
      <c r="M62" s="32">
        <f>_xlfn.XLOOKUP(Table2_1[[#This Row],[Product Code]],Product_Code,Unit_Price,0)</f>
        <v>5</v>
      </c>
      <c r="N62" s="31">
        <f>DATEDIF(Table2_1[[#This Row],[Buyer Date of Birth]],Table2_1[[#This Row],[Transaction  Date]],"Y")</f>
        <v>42</v>
      </c>
      <c r="O62" s="33">
        <v>1449</v>
      </c>
      <c r="P62" s="33">
        <f>Table2_1[[#This Row],[Quantity Purchased]]*Table2_1[[#This Row],[UnitPrice]]*(1-Table2_1[[#This Row],[Discount]])</f>
        <v>2173.5</v>
      </c>
      <c r="Q62" s="33">
        <f>Table2_1[[#This Row],[Revenue]]-Table2_1[[#This Row],[COGS]]</f>
        <v>724.5</v>
      </c>
      <c r="R62" s="39">
        <f>WEEKDAY(Table2_1[[#This Row],[Transaction  Date]])</f>
        <v>6</v>
      </c>
      <c r="S62" s="17" t="str">
        <f>IF(WEEKDAY(Table2_1[[#This Row],[Transaction  Date]],2)&lt;=5,"Weekday","Weekend")</f>
        <v>Weekday</v>
      </c>
      <c r="T62" s="37" t="str">
        <f>FLOOR(Table2_1[[#This Row],[Age]],15)&amp; "-"&amp; FLOOR(Table2_1[[#This Row],[Age]],15)+14</f>
        <v>30-44</v>
      </c>
    </row>
    <row r="63" spans="1:20" x14ac:dyDescent="0.3">
      <c r="A63" s="18">
        <v>45304</v>
      </c>
      <c r="B63" s="17" t="s">
        <v>996</v>
      </c>
      <c r="C63" s="17" t="s">
        <v>26</v>
      </c>
      <c r="D63" s="18">
        <v>24237</v>
      </c>
      <c r="E63" s="16" t="s">
        <v>14</v>
      </c>
      <c r="F63" s="31">
        <v>284</v>
      </c>
      <c r="G63" s="17" t="s">
        <v>27</v>
      </c>
      <c r="H63" s="17" t="s">
        <v>28</v>
      </c>
      <c r="I63" s="17" t="s">
        <v>29</v>
      </c>
      <c r="J63" s="27">
        <v>0.1</v>
      </c>
      <c r="K63" s="17" t="s">
        <v>927</v>
      </c>
      <c r="L63" s="32">
        <v>18</v>
      </c>
      <c r="M63" s="32">
        <f>_xlfn.XLOOKUP(Table2_1[[#This Row],[Product Code]],Product_Code,Unit_Price,0)</f>
        <v>22</v>
      </c>
      <c r="N63" s="31">
        <f>DATEDIF(Table2_1[[#This Row],[Buyer Date of Birth]],Table2_1[[#This Row],[Transaction  Date]],"Y")</f>
        <v>57</v>
      </c>
      <c r="O63" s="33">
        <v>5112</v>
      </c>
      <c r="P63" s="33">
        <f>Table2_1[[#This Row],[Quantity Purchased]]*Table2_1[[#This Row],[UnitPrice]]*(1-Table2_1[[#This Row],[Discount]])</f>
        <v>5623.2</v>
      </c>
      <c r="Q63" s="33">
        <f>Table2_1[[#This Row],[Revenue]]-Table2_1[[#This Row],[COGS]]</f>
        <v>511.19999999999982</v>
      </c>
      <c r="R63" s="39">
        <f>WEEKDAY(Table2_1[[#This Row],[Transaction  Date]])</f>
        <v>7</v>
      </c>
      <c r="S63" s="17" t="str">
        <f>IF(WEEKDAY(Table2_1[[#This Row],[Transaction  Date]],2)&lt;=5,"Weekday","Weekend")</f>
        <v>Weekend</v>
      </c>
      <c r="T63" s="37" t="str">
        <f>FLOOR(Table2_1[[#This Row],[Age]],15)&amp; "-"&amp; FLOOR(Table2_1[[#This Row],[Age]],15)+14</f>
        <v>45-59</v>
      </c>
    </row>
    <row r="64" spans="1:20" x14ac:dyDescent="0.3">
      <c r="A64" s="18">
        <v>45304</v>
      </c>
      <c r="B64" s="17" t="s">
        <v>997</v>
      </c>
      <c r="C64" s="17" t="s">
        <v>51</v>
      </c>
      <c r="D64" s="18">
        <v>31907</v>
      </c>
      <c r="E64" s="16" t="s">
        <v>14</v>
      </c>
      <c r="F64" s="31">
        <v>39</v>
      </c>
      <c r="G64" s="17" t="s">
        <v>56</v>
      </c>
      <c r="H64" s="17" t="s">
        <v>52</v>
      </c>
      <c r="I64" s="17" t="s">
        <v>17</v>
      </c>
      <c r="J64" s="27">
        <v>0.1</v>
      </c>
      <c r="K64" s="17" t="s">
        <v>935</v>
      </c>
      <c r="L64" s="32">
        <v>18</v>
      </c>
      <c r="M64" s="32">
        <f>_xlfn.XLOOKUP(Table2_1[[#This Row],[Product Code]],Product_Code,Unit_Price,0)</f>
        <v>36</v>
      </c>
      <c r="N64" s="31">
        <f>DATEDIF(Table2_1[[#This Row],[Buyer Date of Birth]],Table2_1[[#This Row],[Transaction  Date]],"Y")</f>
        <v>36</v>
      </c>
      <c r="O64" s="33">
        <v>702</v>
      </c>
      <c r="P64" s="33">
        <f>Table2_1[[#This Row],[Quantity Purchased]]*Table2_1[[#This Row],[UnitPrice]]*(1-Table2_1[[#This Row],[Discount]])</f>
        <v>1263.6000000000001</v>
      </c>
      <c r="Q64" s="33">
        <f>Table2_1[[#This Row],[Revenue]]-Table2_1[[#This Row],[COGS]]</f>
        <v>561.60000000000014</v>
      </c>
      <c r="R64" s="39">
        <f>WEEKDAY(Table2_1[[#This Row],[Transaction  Date]])</f>
        <v>7</v>
      </c>
      <c r="S64" s="17" t="str">
        <f>IF(WEEKDAY(Table2_1[[#This Row],[Transaction  Date]],2)&lt;=5,"Weekday","Weekend")</f>
        <v>Weekend</v>
      </c>
      <c r="T64" s="37" t="str">
        <f>FLOOR(Table2_1[[#This Row],[Age]],15)&amp; "-"&amp; FLOOR(Table2_1[[#This Row],[Age]],15)+14</f>
        <v>30-44</v>
      </c>
    </row>
    <row r="65" spans="1:20" x14ac:dyDescent="0.3">
      <c r="A65" s="18">
        <v>45304</v>
      </c>
      <c r="B65" s="17" t="s">
        <v>998</v>
      </c>
      <c r="C65" s="17" t="s">
        <v>38</v>
      </c>
      <c r="D65" s="18">
        <v>19950</v>
      </c>
      <c r="E65" s="16" t="s">
        <v>68</v>
      </c>
      <c r="F65" s="31">
        <v>336</v>
      </c>
      <c r="G65" s="17" t="s">
        <v>59</v>
      </c>
      <c r="H65" s="17" t="s">
        <v>43</v>
      </c>
      <c r="I65" s="17" t="s">
        <v>17</v>
      </c>
      <c r="J65" s="27">
        <v>0.1</v>
      </c>
      <c r="K65" s="17" t="s">
        <v>932</v>
      </c>
      <c r="L65" s="32">
        <v>19</v>
      </c>
      <c r="M65" s="32">
        <f>_xlfn.XLOOKUP(Table2_1[[#This Row],[Product Code]],Product_Code,Unit_Price,0)</f>
        <v>23</v>
      </c>
      <c r="N65" s="31">
        <f>DATEDIF(Table2_1[[#This Row],[Buyer Date of Birth]],Table2_1[[#This Row],[Transaction  Date]],"Y")</f>
        <v>69</v>
      </c>
      <c r="O65" s="33">
        <v>6384</v>
      </c>
      <c r="P65" s="33">
        <f>Table2_1[[#This Row],[Quantity Purchased]]*Table2_1[[#This Row],[UnitPrice]]*(1-Table2_1[[#This Row],[Discount]])</f>
        <v>6955.2</v>
      </c>
      <c r="Q65" s="33">
        <f>Table2_1[[#This Row],[Revenue]]-Table2_1[[#This Row],[COGS]]</f>
        <v>571.19999999999982</v>
      </c>
      <c r="R65" s="39">
        <f>WEEKDAY(Table2_1[[#This Row],[Transaction  Date]])</f>
        <v>7</v>
      </c>
      <c r="S65" s="17" t="str">
        <f>IF(WEEKDAY(Table2_1[[#This Row],[Transaction  Date]],2)&lt;=5,"Weekday","Weekend")</f>
        <v>Weekend</v>
      </c>
      <c r="T65" s="37" t="str">
        <f>FLOOR(Table2_1[[#This Row],[Age]],15)&amp; "-"&amp; FLOOR(Table2_1[[#This Row],[Age]],15)+14</f>
        <v>60-74</v>
      </c>
    </row>
    <row r="66" spans="1:20" x14ac:dyDescent="0.3">
      <c r="A66" s="18">
        <v>45304</v>
      </c>
      <c r="B66" s="17" t="s">
        <v>999</v>
      </c>
      <c r="C66" s="17" t="s">
        <v>38</v>
      </c>
      <c r="D66" s="18">
        <v>26043</v>
      </c>
      <c r="E66" s="16" t="s">
        <v>68</v>
      </c>
      <c r="F66" s="31">
        <v>377</v>
      </c>
      <c r="G66" s="17" t="s">
        <v>15</v>
      </c>
      <c r="H66" s="17" t="s">
        <v>48</v>
      </c>
      <c r="I66" s="17" t="s">
        <v>17</v>
      </c>
      <c r="J66" s="27">
        <v>0.1</v>
      </c>
      <c r="K66" s="17" t="s">
        <v>929</v>
      </c>
      <c r="L66" s="32">
        <v>10</v>
      </c>
      <c r="M66" s="32">
        <f>_xlfn.XLOOKUP(Table2_1[[#This Row],[Product Code]],Product_Code,Unit_Price,0)</f>
        <v>14</v>
      </c>
      <c r="N66" s="31">
        <f>DATEDIF(Table2_1[[#This Row],[Buyer Date of Birth]],Table2_1[[#This Row],[Transaction  Date]],"Y")</f>
        <v>52</v>
      </c>
      <c r="O66" s="33">
        <v>3770</v>
      </c>
      <c r="P66" s="33">
        <f>Table2_1[[#This Row],[Quantity Purchased]]*Table2_1[[#This Row],[UnitPrice]]*(1-Table2_1[[#This Row],[Discount]])</f>
        <v>4750.2</v>
      </c>
      <c r="Q66" s="33">
        <f>Table2_1[[#This Row],[Revenue]]-Table2_1[[#This Row],[COGS]]</f>
        <v>980.19999999999982</v>
      </c>
      <c r="R66" s="39">
        <f>WEEKDAY(Table2_1[[#This Row],[Transaction  Date]])</f>
        <v>7</v>
      </c>
      <c r="S66" s="17" t="str">
        <f>IF(WEEKDAY(Table2_1[[#This Row],[Transaction  Date]],2)&lt;=5,"Weekday","Weekend")</f>
        <v>Weekend</v>
      </c>
      <c r="T66" s="37" t="str">
        <f>FLOOR(Table2_1[[#This Row],[Age]],15)&amp; "-"&amp; FLOOR(Table2_1[[#This Row],[Age]],15)+14</f>
        <v>45-59</v>
      </c>
    </row>
    <row r="67" spans="1:20" x14ac:dyDescent="0.3">
      <c r="A67" s="18">
        <v>45304</v>
      </c>
      <c r="B67" s="17" t="s">
        <v>1000</v>
      </c>
      <c r="C67" s="17" t="s">
        <v>32</v>
      </c>
      <c r="D67" s="18">
        <v>22955</v>
      </c>
      <c r="E67" s="16" t="s">
        <v>14</v>
      </c>
      <c r="F67" s="31">
        <v>87</v>
      </c>
      <c r="G67" s="17" t="s">
        <v>34</v>
      </c>
      <c r="H67" s="17" t="s">
        <v>48</v>
      </c>
      <c r="I67" s="17" t="s">
        <v>17</v>
      </c>
      <c r="J67" s="27">
        <v>0.1</v>
      </c>
      <c r="K67" s="17" t="s">
        <v>930</v>
      </c>
      <c r="L67" s="32">
        <v>14</v>
      </c>
      <c r="M67" s="32">
        <f>_xlfn.XLOOKUP(Table2_1[[#This Row],[Product Code]],Product_Code,Unit_Price,0)</f>
        <v>28</v>
      </c>
      <c r="N67" s="31">
        <f>DATEDIF(Table2_1[[#This Row],[Buyer Date of Birth]],Table2_1[[#This Row],[Transaction  Date]],"Y")</f>
        <v>61</v>
      </c>
      <c r="O67" s="33">
        <v>1218</v>
      </c>
      <c r="P67" s="33">
        <f>Table2_1[[#This Row],[Quantity Purchased]]*Table2_1[[#This Row],[UnitPrice]]*(1-Table2_1[[#This Row],[Discount]])</f>
        <v>2192.4</v>
      </c>
      <c r="Q67" s="33">
        <f>Table2_1[[#This Row],[Revenue]]-Table2_1[[#This Row],[COGS]]</f>
        <v>974.40000000000009</v>
      </c>
      <c r="R67" s="39">
        <f>WEEKDAY(Table2_1[[#This Row],[Transaction  Date]])</f>
        <v>7</v>
      </c>
      <c r="S67" s="17" t="str">
        <f>IF(WEEKDAY(Table2_1[[#This Row],[Transaction  Date]],2)&lt;=5,"Weekday","Weekend")</f>
        <v>Weekend</v>
      </c>
      <c r="T67" s="37" t="str">
        <f>FLOOR(Table2_1[[#This Row],[Age]],15)&amp; "-"&amp; FLOOR(Table2_1[[#This Row],[Age]],15)+14</f>
        <v>60-74</v>
      </c>
    </row>
    <row r="68" spans="1:20" x14ac:dyDescent="0.3">
      <c r="A68" s="18">
        <v>45304</v>
      </c>
      <c r="B68" s="17" t="s">
        <v>1001</v>
      </c>
      <c r="C68" s="17" t="s">
        <v>78</v>
      </c>
      <c r="D68" s="18">
        <v>33640</v>
      </c>
      <c r="E68" s="16" t="s">
        <v>14</v>
      </c>
      <c r="F68" s="31">
        <v>247</v>
      </c>
      <c r="G68" s="17" t="s">
        <v>65</v>
      </c>
      <c r="H68" s="17" t="s">
        <v>52</v>
      </c>
      <c r="I68" s="17" t="s">
        <v>23</v>
      </c>
      <c r="J68" s="27">
        <v>0.1</v>
      </c>
      <c r="K68" s="17" t="s">
        <v>928</v>
      </c>
      <c r="L68" s="32">
        <v>3</v>
      </c>
      <c r="M68" s="32">
        <f>_xlfn.XLOOKUP(Table2_1[[#This Row],[Product Code]],Product_Code,Unit_Price,0)</f>
        <v>5</v>
      </c>
      <c r="N68" s="31">
        <f>DATEDIF(Table2_1[[#This Row],[Buyer Date of Birth]],Table2_1[[#This Row],[Transaction  Date]],"Y")</f>
        <v>31</v>
      </c>
      <c r="O68" s="33">
        <v>741</v>
      </c>
      <c r="P68" s="33">
        <f>Table2_1[[#This Row],[Quantity Purchased]]*Table2_1[[#This Row],[UnitPrice]]*(1-Table2_1[[#This Row],[Discount]])</f>
        <v>1111.5</v>
      </c>
      <c r="Q68" s="33">
        <f>Table2_1[[#This Row],[Revenue]]-Table2_1[[#This Row],[COGS]]</f>
        <v>370.5</v>
      </c>
      <c r="R68" s="39">
        <f>WEEKDAY(Table2_1[[#This Row],[Transaction  Date]])</f>
        <v>7</v>
      </c>
      <c r="S68" s="17" t="str">
        <f>IF(WEEKDAY(Table2_1[[#This Row],[Transaction  Date]],2)&lt;=5,"Weekday","Weekend")</f>
        <v>Weekend</v>
      </c>
      <c r="T68" s="37" t="str">
        <f>FLOOR(Table2_1[[#This Row],[Age]],15)&amp; "-"&amp; FLOOR(Table2_1[[#This Row],[Age]],15)+14</f>
        <v>30-44</v>
      </c>
    </row>
    <row r="69" spans="1:20" x14ac:dyDescent="0.3">
      <c r="A69" s="18">
        <v>45304</v>
      </c>
      <c r="B69" s="17" t="s">
        <v>1002</v>
      </c>
      <c r="C69" s="17" t="s">
        <v>51</v>
      </c>
      <c r="D69" s="18">
        <v>18166</v>
      </c>
      <c r="E69" s="16" t="s">
        <v>14</v>
      </c>
      <c r="F69" s="31">
        <v>179</v>
      </c>
      <c r="G69" s="17" t="s">
        <v>64</v>
      </c>
      <c r="H69" s="17" t="s">
        <v>48</v>
      </c>
      <c r="I69" s="17" t="s">
        <v>17</v>
      </c>
      <c r="J69" s="27">
        <v>0.1</v>
      </c>
      <c r="K69" s="17" t="s">
        <v>933</v>
      </c>
      <c r="L69" s="32">
        <v>5</v>
      </c>
      <c r="M69" s="32">
        <f>_xlfn.XLOOKUP(Table2_1[[#This Row],[Product Code]],Product_Code,Unit_Price,0)</f>
        <v>7</v>
      </c>
      <c r="N69" s="31">
        <f>DATEDIF(Table2_1[[#This Row],[Buyer Date of Birth]],Table2_1[[#This Row],[Transaction  Date]],"Y")</f>
        <v>74</v>
      </c>
      <c r="O69" s="33">
        <v>895</v>
      </c>
      <c r="P69" s="33">
        <f>Table2_1[[#This Row],[Quantity Purchased]]*Table2_1[[#This Row],[UnitPrice]]*(1-Table2_1[[#This Row],[Discount]])</f>
        <v>1127.7</v>
      </c>
      <c r="Q69" s="33">
        <f>Table2_1[[#This Row],[Revenue]]-Table2_1[[#This Row],[COGS]]</f>
        <v>232.70000000000005</v>
      </c>
      <c r="R69" s="39">
        <f>WEEKDAY(Table2_1[[#This Row],[Transaction  Date]])</f>
        <v>7</v>
      </c>
      <c r="S69" s="17" t="str">
        <f>IF(WEEKDAY(Table2_1[[#This Row],[Transaction  Date]],2)&lt;=5,"Weekday","Weekend")</f>
        <v>Weekend</v>
      </c>
      <c r="T69" s="37" t="str">
        <f>FLOOR(Table2_1[[#This Row],[Age]],15)&amp; "-"&amp; FLOOR(Table2_1[[#This Row],[Age]],15)+14</f>
        <v>60-74</v>
      </c>
    </row>
    <row r="70" spans="1:20" x14ac:dyDescent="0.3">
      <c r="A70" s="18">
        <v>45304</v>
      </c>
      <c r="B70" s="17" t="s">
        <v>1003</v>
      </c>
      <c r="C70" s="17" t="s">
        <v>38</v>
      </c>
      <c r="D70" s="18">
        <v>29086</v>
      </c>
      <c r="E70" s="16" t="s">
        <v>33</v>
      </c>
      <c r="F70" s="31">
        <v>383</v>
      </c>
      <c r="G70" s="17" t="s">
        <v>21</v>
      </c>
      <c r="H70" s="17" t="s">
        <v>28</v>
      </c>
      <c r="I70" s="17" t="s">
        <v>17</v>
      </c>
      <c r="J70" s="27">
        <v>0.1</v>
      </c>
      <c r="K70" s="17" t="s">
        <v>934</v>
      </c>
      <c r="L70" s="32">
        <v>10</v>
      </c>
      <c r="M70" s="32">
        <f>_xlfn.XLOOKUP(Table2_1[[#This Row],[Product Code]],Product_Code,Unit_Price,0)</f>
        <v>45</v>
      </c>
      <c r="N70" s="31">
        <f>DATEDIF(Table2_1[[#This Row],[Buyer Date of Birth]],Table2_1[[#This Row],[Transaction  Date]],"Y")</f>
        <v>44</v>
      </c>
      <c r="O70" s="33">
        <v>3830</v>
      </c>
      <c r="P70" s="33">
        <f>Table2_1[[#This Row],[Quantity Purchased]]*Table2_1[[#This Row],[UnitPrice]]*(1-Table2_1[[#This Row],[Discount]])</f>
        <v>15511.5</v>
      </c>
      <c r="Q70" s="33">
        <f>Table2_1[[#This Row],[Revenue]]-Table2_1[[#This Row],[COGS]]</f>
        <v>11681.5</v>
      </c>
      <c r="R70" s="39">
        <f>WEEKDAY(Table2_1[[#This Row],[Transaction  Date]])</f>
        <v>7</v>
      </c>
      <c r="S70" s="17" t="str">
        <f>IF(WEEKDAY(Table2_1[[#This Row],[Transaction  Date]],2)&lt;=5,"Weekday","Weekend")</f>
        <v>Weekend</v>
      </c>
      <c r="T70" s="37" t="str">
        <f>FLOOR(Table2_1[[#This Row],[Age]],15)&amp; "-"&amp; FLOOR(Table2_1[[#This Row],[Age]],15)+14</f>
        <v>30-44</v>
      </c>
    </row>
    <row r="71" spans="1:20" x14ac:dyDescent="0.3">
      <c r="A71" s="18">
        <v>45305</v>
      </c>
      <c r="B71" s="17" t="s">
        <v>1004</v>
      </c>
      <c r="C71" s="17" t="s">
        <v>13</v>
      </c>
      <c r="D71" s="18">
        <v>32376</v>
      </c>
      <c r="E71" s="16" t="s">
        <v>14</v>
      </c>
      <c r="F71" s="31">
        <v>32</v>
      </c>
      <c r="G71" s="17" t="s">
        <v>56</v>
      </c>
      <c r="H71" s="17" t="s">
        <v>48</v>
      </c>
      <c r="I71" s="17" t="s">
        <v>17</v>
      </c>
      <c r="J71" s="27">
        <v>0.1</v>
      </c>
      <c r="K71" s="17" t="s">
        <v>935</v>
      </c>
      <c r="L71" s="32">
        <v>18</v>
      </c>
      <c r="M71" s="32">
        <f>_xlfn.XLOOKUP(Table2_1[[#This Row],[Product Code]],Product_Code,Unit_Price,0)</f>
        <v>36</v>
      </c>
      <c r="N71" s="31">
        <f>DATEDIF(Table2_1[[#This Row],[Buyer Date of Birth]],Table2_1[[#This Row],[Transaction  Date]],"Y")</f>
        <v>35</v>
      </c>
      <c r="O71" s="33">
        <v>576</v>
      </c>
      <c r="P71" s="33">
        <f>Table2_1[[#This Row],[Quantity Purchased]]*Table2_1[[#This Row],[UnitPrice]]*(1-Table2_1[[#This Row],[Discount]])</f>
        <v>1036.8</v>
      </c>
      <c r="Q71" s="33">
        <f>Table2_1[[#This Row],[Revenue]]-Table2_1[[#This Row],[COGS]]</f>
        <v>460.79999999999995</v>
      </c>
      <c r="R71" s="39">
        <f>WEEKDAY(Table2_1[[#This Row],[Transaction  Date]])</f>
        <v>1</v>
      </c>
      <c r="S71" s="17" t="str">
        <f>IF(WEEKDAY(Table2_1[[#This Row],[Transaction  Date]],2)&lt;=5,"Weekday","Weekend")</f>
        <v>Weekend</v>
      </c>
      <c r="T71" s="37" t="str">
        <f>FLOOR(Table2_1[[#This Row],[Age]],15)&amp; "-"&amp; FLOOR(Table2_1[[#This Row],[Age]],15)+14</f>
        <v>30-44</v>
      </c>
    </row>
    <row r="72" spans="1:20" x14ac:dyDescent="0.3">
      <c r="A72" s="18">
        <v>45305</v>
      </c>
      <c r="B72" s="17" t="s">
        <v>1005</v>
      </c>
      <c r="C72" s="17" t="s">
        <v>51</v>
      </c>
      <c r="D72" s="18">
        <v>26794</v>
      </c>
      <c r="E72" s="16" t="s">
        <v>33</v>
      </c>
      <c r="F72" s="31">
        <v>40</v>
      </c>
      <c r="G72" s="17" t="s">
        <v>65</v>
      </c>
      <c r="H72" s="17" t="s">
        <v>39</v>
      </c>
      <c r="I72" s="17" t="s">
        <v>17</v>
      </c>
      <c r="J72" s="27">
        <v>0.1</v>
      </c>
      <c r="K72" s="17" t="s">
        <v>928</v>
      </c>
      <c r="L72" s="32">
        <v>3</v>
      </c>
      <c r="M72" s="32">
        <f>_xlfn.XLOOKUP(Table2_1[[#This Row],[Product Code]],Product_Code,Unit_Price,0)</f>
        <v>5</v>
      </c>
      <c r="N72" s="31">
        <f>DATEDIF(Table2_1[[#This Row],[Buyer Date of Birth]],Table2_1[[#This Row],[Transaction  Date]],"Y")</f>
        <v>50</v>
      </c>
      <c r="O72" s="33">
        <v>120</v>
      </c>
      <c r="P72" s="33">
        <f>Table2_1[[#This Row],[Quantity Purchased]]*Table2_1[[#This Row],[UnitPrice]]*(1-Table2_1[[#This Row],[Discount]])</f>
        <v>180</v>
      </c>
      <c r="Q72" s="33">
        <f>Table2_1[[#This Row],[Revenue]]-Table2_1[[#This Row],[COGS]]</f>
        <v>60</v>
      </c>
      <c r="R72" s="39">
        <f>WEEKDAY(Table2_1[[#This Row],[Transaction  Date]])</f>
        <v>1</v>
      </c>
      <c r="S72" s="17" t="str">
        <f>IF(WEEKDAY(Table2_1[[#This Row],[Transaction  Date]],2)&lt;=5,"Weekday","Weekend")</f>
        <v>Weekend</v>
      </c>
      <c r="T72" s="37" t="str">
        <f>FLOOR(Table2_1[[#This Row],[Age]],15)&amp; "-"&amp; FLOOR(Table2_1[[#This Row],[Age]],15)+14</f>
        <v>45-59</v>
      </c>
    </row>
    <row r="73" spans="1:20" x14ac:dyDescent="0.3">
      <c r="A73" s="18">
        <v>45305</v>
      </c>
      <c r="B73" s="17" t="s">
        <v>1833</v>
      </c>
      <c r="C73" s="17" t="s">
        <v>32</v>
      </c>
      <c r="D73" s="18">
        <v>37893</v>
      </c>
      <c r="E73" s="16" t="s">
        <v>14</v>
      </c>
      <c r="F73" s="31">
        <v>246</v>
      </c>
      <c r="G73" s="17" t="s">
        <v>59</v>
      </c>
      <c r="H73" s="17" t="s">
        <v>52</v>
      </c>
      <c r="I73" s="17" t="s">
        <v>17</v>
      </c>
      <c r="J73" s="27">
        <v>0.1</v>
      </c>
      <c r="K73" s="17" t="s">
        <v>932</v>
      </c>
      <c r="L73" s="32">
        <v>19</v>
      </c>
      <c r="M73" s="32">
        <f>_xlfn.XLOOKUP(Table2_1[[#This Row],[Product Code]],Product_Code,Unit_Price,0)</f>
        <v>23</v>
      </c>
      <c r="N73" s="31">
        <f>DATEDIF(Table2_1[[#This Row],[Buyer Date of Birth]],Table2_1[[#This Row],[Transaction  Date]],"Y")</f>
        <v>20</v>
      </c>
      <c r="O73" s="33">
        <v>4674</v>
      </c>
      <c r="P73" s="33">
        <f>Table2_1[[#This Row],[Quantity Purchased]]*Table2_1[[#This Row],[UnitPrice]]*(1-Table2_1[[#This Row],[Discount]])</f>
        <v>5092.2</v>
      </c>
      <c r="Q73" s="33">
        <f>Table2_1[[#This Row],[Revenue]]-Table2_1[[#This Row],[COGS]]</f>
        <v>418.19999999999982</v>
      </c>
      <c r="R73" s="39">
        <f>WEEKDAY(Table2_1[[#This Row],[Transaction  Date]])</f>
        <v>1</v>
      </c>
      <c r="S73" s="17" t="str">
        <f>IF(WEEKDAY(Table2_1[[#This Row],[Transaction  Date]],2)&lt;=5,"Weekday","Weekend")</f>
        <v>Weekend</v>
      </c>
      <c r="T73" s="37" t="str">
        <f>FLOOR(Table2_1[[#This Row],[Age]],15)&amp; "-"&amp; FLOOR(Table2_1[[#This Row],[Age]],15)+14</f>
        <v>15-29</v>
      </c>
    </row>
    <row r="74" spans="1:20" x14ac:dyDescent="0.3">
      <c r="A74" s="18">
        <v>45305</v>
      </c>
      <c r="B74" s="17" t="s">
        <v>1006</v>
      </c>
      <c r="C74" s="17" t="s">
        <v>46</v>
      </c>
      <c r="D74" s="18">
        <v>37339</v>
      </c>
      <c r="E74" s="16" t="s">
        <v>33</v>
      </c>
      <c r="F74" s="31">
        <v>266</v>
      </c>
      <c r="G74" s="17" t="s">
        <v>65</v>
      </c>
      <c r="H74" s="17" t="s">
        <v>48</v>
      </c>
      <c r="I74" s="17" t="s">
        <v>17</v>
      </c>
      <c r="J74" s="27">
        <v>0.1</v>
      </c>
      <c r="K74" s="17" t="s">
        <v>928</v>
      </c>
      <c r="L74" s="32">
        <v>3</v>
      </c>
      <c r="M74" s="32">
        <f>_xlfn.XLOOKUP(Table2_1[[#This Row],[Product Code]],Product_Code,Unit_Price,0)</f>
        <v>5</v>
      </c>
      <c r="N74" s="31">
        <f>DATEDIF(Table2_1[[#This Row],[Buyer Date of Birth]],Table2_1[[#This Row],[Transaction  Date]],"Y")</f>
        <v>21</v>
      </c>
      <c r="O74" s="33">
        <v>798</v>
      </c>
      <c r="P74" s="33">
        <f>Table2_1[[#This Row],[Quantity Purchased]]*Table2_1[[#This Row],[UnitPrice]]*(1-Table2_1[[#This Row],[Discount]])</f>
        <v>1197</v>
      </c>
      <c r="Q74" s="33">
        <f>Table2_1[[#This Row],[Revenue]]-Table2_1[[#This Row],[COGS]]</f>
        <v>399</v>
      </c>
      <c r="R74" s="39">
        <f>WEEKDAY(Table2_1[[#This Row],[Transaction  Date]])</f>
        <v>1</v>
      </c>
      <c r="S74" s="17" t="str">
        <f>IF(WEEKDAY(Table2_1[[#This Row],[Transaction  Date]],2)&lt;=5,"Weekday","Weekend")</f>
        <v>Weekend</v>
      </c>
      <c r="T74" s="37" t="str">
        <f>FLOOR(Table2_1[[#This Row],[Age]],15)&amp; "-"&amp; FLOOR(Table2_1[[#This Row],[Age]],15)+14</f>
        <v>15-29</v>
      </c>
    </row>
    <row r="75" spans="1:20" x14ac:dyDescent="0.3">
      <c r="A75" s="18">
        <v>45305</v>
      </c>
      <c r="B75" s="17" t="s">
        <v>1007</v>
      </c>
      <c r="C75" s="17" t="s">
        <v>26</v>
      </c>
      <c r="D75" s="18">
        <v>32887</v>
      </c>
      <c r="E75" s="16" t="s">
        <v>20</v>
      </c>
      <c r="F75" s="31">
        <v>32</v>
      </c>
      <c r="G75" s="17" t="s">
        <v>59</v>
      </c>
      <c r="H75" s="17" t="s">
        <v>52</v>
      </c>
      <c r="I75" s="17" t="s">
        <v>17</v>
      </c>
      <c r="J75" s="27">
        <v>0.1</v>
      </c>
      <c r="K75" s="17" t="s">
        <v>932</v>
      </c>
      <c r="L75" s="32">
        <v>19</v>
      </c>
      <c r="M75" s="32">
        <f>_xlfn.XLOOKUP(Table2_1[[#This Row],[Product Code]],Product_Code,Unit_Price,0)</f>
        <v>23</v>
      </c>
      <c r="N75" s="31">
        <f>DATEDIF(Table2_1[[#This Row],[Buyer Date of Birth]],Table2_1[[#This Row],[Transaction  Date]],"Y")</f>
        <v>34</v>
      </c>
      <c r="O75" s="33">
        <v>608</v>
      </c>
      <c r="P75" s="33">
        <f>Table2_1[[#This Row],[Quantity Purchased]]*Table2_1[[#This Row],[UnitPrice]]*(1-Table2_1[[#This Row],[Discount]])</f>
        <v>662.4</v>
      </c>
      <c r="Q75" s="33">
        <f>Table2_1[[#This Row],[Revenue]]-Table2_1[[#This Row],[COGS]]</f>
        <v>54.399999999999977</v>
      </c>
      <c r="R75" s="39">
        <f>WEEKDAY(Table2_1[[#This Row],[Transaction  Date]])</f>
        <v>1</v>
      </c>
      <c r="S75" s="17" t="str">
        <f>IF(WEEKDAY(Table2_1[[#This Row],[Transaction  Date]],2)&lt;=5,"Weekday","Weekend")</f>
        <v>Weekend</v>
      </c>
      <c r="T75" s="37" t="str">
        <f>FLOOR(Table2_1[[#This Row],[Age]],15)&amp; "-"&amp; FLOOR(Table2_1[[#This Row],[Age]],15)+14</f>
        <v>30-44</v>
      </c>
    </row>
    <row r="76" spans="1:20" x14ac:dyDescent="0.3">
      <c r="A76" s="18">
        <v>45305</v>
      </c>
      <c r="B76" s="17" t="s">
        <v>1008</v>
      </c>
      <c r="C76" s="17" t="s">
        <v>83</v>
      </c>
      <c r="D76" s="18">
        <v>30520</v>
      </c>
      <c r="E76" s="16" t="s">
        <v>33</v>
      </c>
      <c r="F76" s="31">
        <v>352</v>
      </c>
      <c r="G76" s="17" t="s">
        <v>64</v>
      </c>
      <c r="H76" s="17" t="s">
        <v>52</v>
      </c>
      <c r="I76" s="17" t="s">
        <v>17</v>
      </c>
      <c r="J76" s="27">
        <v>0.1</v>
      </c>
      <c r="K76" s="17" t="s">
        <v>933</v>
      </c>
      <c r="L76" s="32">
        <v>5</v>
      </c>
      <c r="M76" s="32">
        <f>_xlfn.XLOOKUP(Table2_1[[#This Row],[Product Code]],Product_Code,Unit_Price,0)</f>
        <v>7</v>
      </c>
      <c r="N76" s="31">
        <f>DATEDIF(Table2_1[[#This Row],[Buyer Date of Birth]],Table2_1[[#This Row],[Transaction  Date]],"Y")</f>
        <v>40</v>
      </c>
      <c r="O76" s="33">
        <v>1760</v>
      </c>
      <c r="P76" s="33">
        <f>Table2_1[[#This Row],[Quantity Purchased]]*Table2_1[[#This Row],[UnitPrice]]*(1-Table2_1[[#This Row],[Discount]])</f>
        <v>2217.6</v>
      </c>
      <c r="Q76" s="33">
        <f>Table2_1[[#This Row],[Revenue]]-Table2_1[[#This Row],[COGS]]</f>
        <v>457.59999999999991</v>
      </c>
      <c r="R76" s="39">
        <f>WEEKDAY(Table2_1[[#This Row],[Transaction  Date]])</f>
        <v>1</v>
      </c>
      <c r="S76" s="17" t="str">
        <f>IF(WEEKDAY(Table2_1[[#This Row],[Transaction  Date]],2)&lt;=5,"Weekday","Weekend")</f>
        <v>Weekend</v>
      </c>
      <c r="T76" s="37" t="str">
        <f>FLOOR(Table2_1[[#This Row],[Age]],15)&amp; "-"&amp; FLOOR(Table2_1[[#This Row],[Age]],15)+14</f>
        <v>30-44</v>
      </c>
    </row>
    <row r="77" spans="1:20" x14ac:dyDescent="0.3">
      <c r="A77" s="18">
        <v>45306</v>
      </c>
      <c r="B77" s="17" t="s">
        <v>1009</v>
      </c>
      <c r="C77" s="17" t="s">
        <v>13</v>
      </c>
      <c r="D77" s="18">
        <v>25449</v>
      </c>
      <c r="E77" s="16" t="s">
        <v>68</v>
      </c>
      <c r="F77" s="31">
        <v>121</v>
      </c>
      <c r="G77" s="17" t="s">
        <v>34</v>
      </c>
      <c r="H77" s="17" t="s">
        <v>52</v>
      </c>
      <c r="I77" s="17" t="s">
        <v>17</v>
      </c>
      <c r="J77" s="27">
        <v>0.1</v>
      </c>
      <c r="K77" s="17" t="s">
        <v>930</v>
      </c>
      <c r="L77" s="32">
        <v>14</v>
      </c>
      <c r="M77" s="32">
        <f>_xlfn.XLOOKUP(Table2_1[[#This Row],[Product Code]],Product_Code,Unit_Price,0)</f>
        <v>28</v>
      </c>
      <c r="N77" s="31">
        <f>DATEDIF(Table2_1[[#This Row],[Buyer Date of Birth]],Table2_1[[#This Row],[Transaction  Date]],"Y")</f>
        <v>54</v>
      </c>
      <c r="O77" s="33">
        <v>1694</v>
      </c>
      <c r="P77" s="33">
        <f>Table2_1[[#This Row],[Quantity Purchased]]*Table2_1[[#This Row],[UnitPrice]]*(1-Table2_1[[#This Row],[Discount]])</f>
        <v>3049.2000000000003</v>
      </c>
      <c r="Q77" s="33">
        <f>Table2_1[[#This Row],[Revenue]]-Table2_1[[#This Row],[COGS]]</f>
        <v>1355.2000000000003</v>
      </c>
      <c r="R77" s="39">
        <f>WEEKDAY(Table2_1[[#This Row],[Transaction  Date]])</f>
        <v>2</v>
      </c>
      <c r="S77" s="17" t="str">
        <f>IF(WEEKDAY(Table2_1[[#This Row],[Transaction  Date]],2)&lt;=5,"Weekday","Weekend")</f>
        <v>Weekday</v>
      </c>
      <c r="T77" s="37" t="str">
        <f>FLOOR(Table2_1[[#This Row],[Age]],15)&amp; "-"&amp; FLOOR(Table2_1[[#This Row],[Age]],15)+14</f>
        <v>45-59</v>
      </c>
    </row>
    <row r="78" spans="1:20" x14ac:dyDescent="0.3">
      <c r="A78" s="18">
        <v>45306</v>
      </c>
      <c r="B78" s="17" t="s">
        <v>1834</v>
      </c>
      <c r="C78" s="17" t="s">
        <v>26</v>
      </c>
      <c r="D78" s="18">
        <v>22139</v>
      </c>
      <c r="E78" s="16" t="s">
        <v>68</v>
      </c>
      <c r="F78" s="31">
        <v>70</v>
      </c>
      <c r="G78" s="17" t="s">
        <v>64</v>
      </c>
      <c r="H78" s="17" t="s">
        <v>48</v>
      </c>
      <c r="I78" s="17" t="s">
        <v>29</v>
      </c>
      <c r="J78" s="27">
        <v>0.1</v>
      </c>
      <c r="K78" s="17" t="s">
        <v>933</v>
      </c>
      <c r="L78" s="32">
        <v>5</v>
      </c>
      <c r="M78" s="32">
        <f>_xlfn.XLOOKUP(Table2_1[[#This Row],[Product Code]],Product_Code,Unit_Price,0)</f>
        <v>7</v>
      </c>
      <c r="N78" s="31">
        <f>DATEDIF(Table2_1[[#This Row],[Buyer Date of Birth]],Table2_1[[#This Row],[Transaction  Date]],"Y")</f>
        <v>63</v>
      </c>
      <c r="O78" s="33">
        <v>350</v>
      </c>
      <c r="P78" s="33">
        <f>Table2_1[[#This Row],[Quantity Purchased]]*Table2_1[[#This Row],[UnitPrice]]*(1-Table2_1[[#This Row],[Discount]])</f>
        <v>441</v>
      </c>
      <c r="Q78" s="33">
        <f>Table2_1[[#This Row],[Revenue]]-Table2_1[[#This Row],[COGS]]</f>
        <v>91</v>
      </c>
      <c r="R78" s="39">
        <f>WEEKDAY(Table2_1[[#This Row],[Transaction  Date]])</f>
        <v>2</v>
      </c>
      <c r="S78" s="17" t="str">
        <f>IF(WEEKDAY(Table2_1[[#This Row],[Transaction  Date]],2)&lt;=5,"Weekday","Weekend")</f>
        <v>Weekday</v>
      </c>
      <c r="T78" s="37" t="str">
        <f>FLOOR(Table2_1[[#This Row],[Age]],15)&amp; "-"&amp; FLOOR(Table2_1[[#This Row],[Age]],15)+14</f>
        <v>60-74</v>
      </c>
    </row>
    <row r="79" spans="1:20" x14ac:dyDescent="0.3">
      <c r="A79" s="18">
        <v>45306</v>
      </c>
      <c r="B79" s="17" t="s">
        <v>1010</v>
      </c>
      <c r="C79" s="17" t="s">
        <v>78</v>
      </c>
      <c r="D79" s="18">
        <v>22734</v>
      </c>
      <c r="E79" s="16" t="s">
        <v>68</v>
      </c>
      <c r="F79" s="31">
        <v>238</v>
      </c>
      <c r="G79" s="17" t="s">
        <v>21</v>
      </c>
      <c r="H79" s="17" t="s">
        <v>43</v>
      </c>
      <c r="I79" s="17" t="s">
        <v>17</v>
      </c>
      <c r="J79" s="27">
        <v>0.1</v>
      </c>
      <c r="K79" s="17" t="s">
        <v>934</v>
      </c>
      <c r="L79" s="32">
        <v>10</v>
      </c>
      <c r="M79" s="32">
        <f>_xlfn.XLOOKUP(Table2_1[[#This Row],[Product Code]],Product_Code,Unit_Price,0)</f>
        <v>45</v>
      </c>
      <c r="N79" s="31">
        <f>DATEDIF(Table2_1[[#This Row],[Buyer Date of Birth]],Table2_1[[#This Row],[Transaction  Date]],"Y")</f>
        <v>61</v>
      </c>
      <c r="O79" s="33">
        <v>2380</v>
      </c>
      <c r="P79" s="33">
        <f>Table2_1[[#This Row],[Quantity Purchased]]*Table2_1[[#This Row],[UnitPrice]]*(1-Table2_1[[#This Row],[Discount]])</f>
        <v>9639</v>
      </c>
      <c r="Q79" s="33">
        <f>Table2_1[[#This Row],[Revenue]]-Table2_1[[#This Row],[COGS]]</f>
        <v>7259</v>
      </c>
      <c r="R79" s="39">
        <f>WEEKDAY(Table2_1[[#This Row],[Transaction  Date]])</f>
        <v>2</v>
      </c>
      <c r="S79" s="17" t="str">
        <f>IF(WEEKDAY(Table2_1[[#This Row],[Transaction  Date]],2)&lt;=5,"Weekday","Weekend")</f>
        <v>Weekday</v>
      </c>
      <c r="T79" s="37" t="str">
        <f>FLOOR(Table2_1[[#This Row],[Age]],15)&amp; "-"&amp; FLOOR(Table2_1[[#This Row],[Age]],15)+14</f>
        <v>60-74</v>
      </c>
    </row>
    <row r="80" spans="1:20" x14ac:dyDescent="0.3">
      <c r="A80" s="18">
        <v>45306</v>
      </c>
      <c r="B80" s="17" t="s">
        <v>1011</v>
      </c>
      <c r="C80" s="17" t="s">
        <v>94</v>
      </c>
      <c r="D80" s="18">
        <v>29267</v>
      </c>
      <c r="E80" s="16" t="s">
        <v>33</v>
      </c>
      <c r="F80" s="31">
        <v>269</v>
      </c>
      <c r="G80" s="17" t="s">
        <v>65</v>
      </c>
      <c r="H80" s="17" t="s">
        <v>35</v>
      </c>
      <c r="I80" s="17" t="s">
        <v>17</v>
      </c>
      <c r="J80" s="27">
        <v>0.1</v>
      </c>
      <c r="K80" s="17" t="s">
        <v>928</v>
      </c>
      <c r="L80" s="32">
        <v>3</v>
      </c>
      <c r="M80" s="32">
        <f>_xlfn.XLOOKUP(Table2_1[[#This Row],[Product Code]],Product_Code,Unit_Price,0)</f>
        <v>5</v>
      </c>
      <c r="N80" s="31">
        <f>DATEDIF(Table2_1[[#This Row],[Buyer Date of Birth]],Table2_1[[#This Row],[Transaction  Date]],"Y")</f>
        <v>43</v>
      </c>
      <c r="O80" s="33">
        <v>807</v>
      </c>
      <c r="P80" s="33">
        <f>Table2_1[[#This Row],[Quantity Purchased]]*Table2_1[[#This Row],[UnitPrice]]*(1-Table2_1[[#This Row],[Discount]])</f>
        <v>1210.5</v>
      </c>
      <c r="Q80" s="33">
        <f>Table2_1[[#This Row],[Revenue]]-Table2_1[[#This Row],[COGS]]</f>
        <v>403.5</v>
      </c>
      <c r="R80" s="39">
        <f>WEEKDAY(Table2_1[[#This Row],[Transaction  Date]])</f>
        <v>2</v>
      </c>
      <c r="S80" s="17" t="str">
        <f>IF(WEEKDAY(Table2_1[[#This Row],[Transaction  Date]],2)&lt;=5,"Weekday","Weekend")</f>
        <v>Weekday</v>
      </c>
      <c r="T80" s="37" t="str">
        <f>FLOOR(Table2_1[[#This Row],[Age]],15)&amp; "-"&amp; FLOOR(Table2_1[[#This Row],[Age]],15)+14</f>
        <v>30-44</v>
      </c>
    </row>
    <row r="81" spans="1:20" x14ac:dyDescent="0.3">
      <c r="A81" s="18">
        <v>45306</v>
      </c>
      <c r="B81" s="17" t="s">
        <v>1012</v>
      </c>
      <c r="C81" s="17" t="s">
        <v>78</v>
      </c>
      <c r="D81" s="18">
        <v>24769</v>
      </c>
      <c r="E81" s="16" t="s">
        <v>68</v>
      </c>
      <c r="F81" s="31">
        <v>377</v>
      </c>
      <c r="G81" s="17" t="s">
        <v>47</v>
      </c>
      <c r="H81" s="17" t="s">
        <v>48</v>
      </c>
      <c r="I81" s="17" t="s">
        <v>17</v>
      </c>
      <c r="J81" s="27">
        <v>0.1</v>
      </c>
      <c r="K81" s="17" t="s">
        <v>931</v>
      </c>
      <c r="L81" s="32">
        <v>7</v>
      </c>
      <c r="M81" s="32">
        <f>_xlfn.XLOOKUP(Table2_1[[#This Row],[Product Code]],Product_Code,Unit_Price,0)</f>
        <v>9</v>
      </c>
      <c r="N81" s="31">
        <f>DATEDIF(Table2_1[[#This Row],[Buyer Date of Birth]],Table2_1[[#This Row],[Transaction  Date]],"Y")</f>
        <v>56</v>
      </c>
      <c r="O81" s="33">
        <v>2639</v>
      </c>
      <c r="P81" s="33">
        <f>Table2_1[[#This Row],[Quantity Purchased]]*Table2_1[[#This Row],[UnitPrice]]*(1-Table2_1[[#This Row],[Discount]])</f>
        <v>3053.7000000000003</v>
      </c>
      <c r="Q81" s="33">
        <f>Table2_1[[#This Row],[Revenue]]-Table2_1[[#This Row],[COGS]]</f>
        <v>414.70000000000027</v>
      </c>
      <c r="R81" s="39">
        <f>WEEKDAY(Table2_1[[#This Row],[Transaction  Date]])</f>
        <v>2</v>
      </c>
      <c r="S81" s="17" t="str">
        <f>IF(WEEKDAY(Table2_1[[#This Row],[Transaction  Date]],2)&lt;=5,"Weekday","Weekend")</f>
        <v>Weekday</v>
      </c>
      <c r="T81" s="37" t="str">
        <f>FLOOR(Table2_1[[#This Row],[Age]],15)&amp; "-"&amp; FLOOR(Table2_1[[#This Row],[Age]],15)+14</f>
        <v>45-59</v>
      </c>
    </row>
    <row r="82" spans="1:20" x14ac:dyDescent="0.3">
      <c r="A82" s="18">
        <v>45307</v>
      </c>
      <c r="B82" s="17" t="s">
        <v>1013</v>
      </c>
      <c r="C82" s="17" t="s">
        <v>38</v>
      </c>
      <c r="D82" s="18">
        <v>35593</v>
      </c>
      <c r="E82" s="16" t="s">
        <v>68</v>
      </c>
      <c r="F82" s="31">
        <v>200</v>
      </c>
      <c r="G82" s="17" t="s">
        <v>56</v>
      </c>
      <c r="H82" s="17" t="s">
        <v>48</v>
      </c>
      <c r="I82" s="17" t="s">
        <v>17</v>
      </c>
      <c r="J82" s="27">
        <v>0.1</v>
      </c>
      <c r="K82" s="17" t="s">
        <v>935</v>
      </c>
      <c r="L82" s="32">
        <v>18</v>
      </c>
      <c r="M82" s="32">
        <f>_xlfn.XLOOKUP(Table2_1[[#This Row],[Product Code]],Product_Code,Unit_Price,0)</f>
        <v>36</v>
      </c>
      <c r="N82" s="31">
        <f>DATEDIF(Table2_1[[#This Row],[Buyer Date of Birth]],Table2_1[[#This Row],[Transaction  Date]],"Y")</f>
        <v>26</v>
      </c>
      <c r="O82" s="33">
        <v>3600</v>
      </c>
      <c r="P82" s="33">
        <f>Table2_1[[#This Row],[Quantity Purchased]]*Table2_1[[#This Row],[UnitPrice]]*(1-Table2_1[[#This Row],[Discount]])</f>
        <v>6480</v>
      </c>
      <c r="Q82" s="33">
        <f>Table2_1[[#This Row],[Revenue]]-Table2_1[[#This Row],[COGS]]</f>
        <v>2880</v>
      </c>
      <c r="R82" s="39">
        <f>WEEKDAY(Table2_1[[#This Row],[Transaction  Date]])</f>
        <v>3</v>
      </c>
      <c r="S82" s="17" t="str">
        <f>IF(WEEKDAY(Table2_1[[#This Row],[Transaction  Date]],2)&lt;=5,"Weekday","Weekend")</f>
        <v>Weekday</v>
      </c>
      <c r="T82" s="37" t="str">
        <f>FLOOR(Table2_1[[#This Row],[Age]],15)&amp; "-"&amp; FLOOR(Table2_1[[#This Row],[Age]],15)+14</f>
        <v>15-29</v>
      </c>
    </row>
    <row r="83" spans="1:20" x14ac:dyDescent="0.3">
      <c r="A83" s="18">
        <v>45307</v>
      </c>
      <c r="B83" s="17" t="s">
        <v>1014</v>
      </c>
      <c r="C83" s="17" t="s">
        <v>94</v>
      </c>
      <c r="D83" s="18">
        <v>35189</v>
      </c>
      <c r="E83" s="16" t="s">
        <v>68</v>
      </c>
      <c r="F83" s="31">
        <v>346</v>
      </c>
      <c r="G83" s="17" t="s">
        <v>64</v>
      </c>
      <c r="H83" s="17" t="s">
        <v>48</v>
      </c>
      <c r="I83" s="17" t="s">
        <v>17</v>
      </c>
      <c r="J83" s="27">
        <v>0.1</v>
      </c>
      <c r="K83" s="17" t="s">
        <v>933</v>
      </c>
      <c r="L83" s="32">
        <v>5</v>
      </c>
      <c r="M83" s="32">
        <f>_xlfn.XLOOKUP(Table2_1[[#This Row],[Product Code]],Product_Code,Unit_Price,0)</f>
        <v>7</v>
      </c>
      <c r="N83" s="31">
        <f>DATEDIF(Table2_1[[#This Row],[Buyer Date of Birth]],Table2_1[[#This Row],[Transaction  Date]],"Y")</f>
        <v>27</v>
      </c>
      <c r="O83" s="33">
        <v>1730</v>
      </c>
      <c r="P83" s="33">
        <f>Table2_1[[#This Row],[Quantity Purchased]]*Table2_1[[#This Row],[UnitPrice]]*(1-Table2_1[[#This Row],[Discount]])</f>
        <v>2179.8000000000002</v>
      </c>
      <c r="Q83" s="33">
        <f>Table2_1[[#This Row],[Revenue]]-Table2_1[[#This Row],[COGS]]</f>
        <v>449.80000000000018</v>
      </c>
      <c r="R83" s="39">
        <f>WEEKDAY(Table2_1[[#This Row],[Transaction  Date]])</f>
        <v>3</v>
      </c>
      <c r="S83" s="17" t="str">
        <f>IF(WEEKDAY(Table2_1[[#This Row],[Transaction  Date]],2)&lt;=5,"Weekday","Weekend")</f>
        <v>Weekday</v>
      </c>
      <c r="T83" s="37" t="str">
        <f>FLOOR(Table2_1[[#This Row],[Age]],15)&amp; "-"&amp; FLOOR(Table2_1[[#This Row],[Age]],15)+14</f>
        <v>15-29</v>
      </c>
    </row>
    <row r="84" spans="1:20" x14ac:dyDescent="0.3">
      <c r="A84" s="18">
        <v>45307</v>
      </c>
      <c r="B84" s="17" t="s">
        <v>1015</v>
      </c>
      <c r="C84" s="17" t="s">
        <v>51</v>
      </c>
      <c r="D84" s="18">
        <v>25811</v>
      </c>
      <c r="E84" s="16" t="s">
        <v>68</v>
      </c>
      <c r="F84" s="31">
        <v>386</v>
      </c>
      <c r="G84" s="17" t="s">
        <v>42</v>
      </c>
      <c r="H84" s="17" t="s">
        <v>39</v>
      </c>
      <c r="I84" s="17" t="s">
        <v>17</v>
      </c>
      <c r="J84" s="27">
        <v>0.1</v>
      </c>
      <c r="K84" s="17" t="s">
        <v>926</v>
      </c>
      <c r="L84" s="32">
        <v>10</v>
      </c>
      <c r="M84" s="32">
        <f>_xlfn.XLOOKUP(Table2_1[[#This Row],[Product Code]],Product_Code,Unit_Price,0)</f>
        <v>11</v>
      </c>
      <c r="N84" s="31">
        <f>DATEDIF(Table2_1[[#This Row],[Buyer Date of Birth]],Table2_1[[#This Row],[Transaction  Date]],"Y")</f>
        <v>53</v>
      </c>
      <c r="O84" s="33">
        <v>3860</v>
      </c>
      <c r="P84" s="33">
        <f>Table2_1[[#This Row],[Quantity Purchased]]*Table2_1[[#This Row],[UnitPrice]]*(1-Table2_1[[#This Row],[Discount]])</f>
        <v>3821.4</v>
      </c>
      <c r="Q84" s="33">
        <f>Table2_1[[#This Row],[Revenue]]-Table2_1[[#This Row],[COGS]]</f>
        <v>-38.599999999999909</v>
      </c>
      <c r="R84" s="39">
        <f>WEEKDAY(Table2_1[[#This Row],[Transaction  Date]])</f>
        <v>3</v>
      </c>
      <c r="S84" s="17" t="str">
        <f>IF(WEEKDAY(Table2_1[[#This Row],[Transaction  Date]],2)&lt;=5,"Weekday","Weekend")</f>
        <v>Weekday</v>
      </c>
      <c r="T84" s="37" t="str">
        <f>FLOOR(Table2_1[[#This Row],[Age]],15)&amp; "-"&amp; FLOOR(Table2_1[[#This Row],[Age]],15)+14</f>
        <v>45-59</v>
      </c>
    </row>
    <row r="85" spans="1:20" x14ac:dyDescent="0.3">
      <c r="A85" s="18">
        <v>45307</v>
      </c>
      <c r="B85" s="17" t="s">
        <v>1016</v>
      </c>
      <c r="C85" s="17" t="s">
        <v>55</v>
      </c>
      <c r="D85" s="18">
        <v>32834</v>
      </c>
      <c r="E85" s="16" t="s">
        <v>14</v>
      </c>
      <c r="F85" s="31">
        <v>383</v>
      </c>
      <c r="G85" s="17" t="s">
        <v>34</v>
      </c>
      <c r="H85" s="17" t="s">
        <v>48</v>
      </c>
      <c r="I85" s="17" t="s">
        <v>17</v>
      </c>
      <c r="J85" s="27">
        <v>0.1</v>
      </c>
      <c r="K85" s="17" t="s">
        <v>930</v>
      </c>
      <c r="L85" s="32">
        <v>14</v>
      </c>
      <c r="M85" s="32">
        <f>_xlfn.XLOOKUP(Table2_1[[#This Row],[Product Code]],Product_Code,Unit_Price,0)</f>
        <v>28</v>
      </c>
      <c r="N85" s="31">
        <f>DATEDIF(Table2_1[[#This Row],[Buyer Date of Birth]],Table2_1[[#This Row],[Transaction  Date]],"Y")</f>
        <v>34</v>
      </c>
      <c r="O85" s="33">
        <v>5362</v>
      </c>
      <c r="P85" s="33">
        <f>Table2_1[[#This Row],[Quantity Purchased]]*Table2_1[[#This Row],[UnitPrice]]*(1-Table2_1[[#This Row],[Discount]])</f>
        <v>9651.6</v>
      </c>
      <c r="Q85" s="33">
        <f>Table2_1[[#This Row],[Revenue]]-Table2_1[[#This Row],[COGS]]</f>
        <v>4289.6000000000004</v>
      </c>
      <c r="R85" s="39">
        <f>WEEKDAY(Table2_1[[#This Row],[Transaction  Date]])</f>
        <v>3</v>
      </c>
      <c r="S85" s="17" t="str">
        <f>IF(WEEKDAY(Table2_1[[#This Row],[Transaction  Date]],2)&lt;=5,"Weekday","Weekend")</f>
        <v>Weekday</v>
      </c>
      <c r="T85" s="37" t="str">
        <f>FLOOR(Table2_1[[#This Row],[Age]],15)&amp; "-"&amp; FLOOR(Table2_1[[#This Row],[Age]],15)+14</f>
        <v>30-44</v>
      </c>
    </row>
    <row r="86" spans="1:20" x14ac:dyDescent="0.3">
      <c r="A86" s="18">
        <v>45308</v>
      </c>
      <c r="B86" s="17" t="s">
        <v>1017</v>
      </c>
      <c r="C86" s="17" t="s">
        <v>55</v>
      </c>
      <c r="D86" s="18">
        <v>26856</v>
      </c>
      <c r="E86" s="16" t="s">
        <v>33</v>
      </c>
      <c r="F86" s="31">
        <v>36</v>
      </c>
      <c r="G86" s="17" t="s">
        <v>34</v>
      </c>
      <c r="H86" s="17" t="s">
        <v>48</v>
      </c>
      <c r="I86" s="17" t="s">
        <v>17</v>
      </c>
      <c r="J86" s="27">
        <v>0.1</v>
      </c>
      <c r="K86" s="17" t="s">
        <v>930</v>
      </c>
      <c r="L86" s="32">
        <v>14</v>
      </c>
      <c r="M86" s="32">
        <f>_xlfn.XLOOKUP(Table2_1[[#This Row],[Product Code]],Product_Code,Unit_Price,0)</f>
        <v>28</v>
      </c>
      <c r="N86" s="31">
        <f>DATEDIF(Table2_1[[#This Row],[Buyer Date of Birth]],Table2_1[[#This Row],[Transaction  Date]],"Y")</f>
        <v>50</v>
      </c>
      <c r="O86" s="33">
        <v>504</v>
      </c>
      <c r="P86" s="33">
        <f>Table2_1[[#This Row],[Quantity Purchased]]*Table2_1[[#This Row],[UnitPrice]]*(1-Table2_1[[#This Row],[Discount]])</f>
        <v>907.2</v>
      </c>
      <c r="Q86" s="33">
        <f>Table2_1[[#This Row],[Revenue]]-Table2_1[[#This Row],[COGS]]</f>
        <v>403.20000000000005</v>
      </c>
      <c r="R86" s="39">
        <f>WEEKDAY(Table2_1[[#This Row],[Transaction  Date]])</f>
        <v>4</v>
      </c>
      <c r="S86" s="17" t="str">
        <f>IF(WEEKDAY(Table2_1[[#This Row],[Transaction  Date]],2)&lt;=5,"Weekday","Weekend")</f>
        <v>Weekday</v>
      </c>
      <c r="T86" s="37" t="str">
        <f>FLOOR(Table2_1[[#This Row],[Age]],15)&amp; "-"&amp; FLOOR(Table2_1[[#This Row],[Age]],15)+14</f>
        <v>45-59</v>
      </c>
    </row>
    <row r="87" spans="1:20" x14ac:dyDescent="0.3">
      <c r="A87" s="18">
        <v>45308</v>
      </c>
      <c r="B87" s="17" t="s">
        <v>1018</v>
      </c>
      <c r="C87" s="17" t="s">
        <v>13</v>
      </c>
      <c r="D87" s="18">
        <v>35451</v>
      </c>
      <c r="E87" s="16" t="s">
        <v>33</v>
      </c>
      <c r="F87" s="31">
        <v>369</v>
      </c>
      <c r="G87" s="17" t="s">
        <v>47</v>
      </c>
      <c r="H87" s="17" t="s">
        <v>39</v>
      </c>
      <c r="I87" s="17" t="s">
        <v>17</v>
      </c>
      <c r="J87" s="27">
        <v>0.1</v>
      </c>
      <c r="K87" s="17" t="s">
        <v>931</v>
      </c>
      <c r="L87" s="32">
        <v>7</v>
      </c>
      <c r="M87" s="32">
        <f>_xlfn.XLOOKUP(Table2_1[[#This Row],[Product Code]],Product_Code,Unit_Price,0)</f>
        <v>9</v>
      </c>
      <c r="N87" s="31">
        <f>DATEDIF(Table2_1[[#This Row],[Buyer Date of Birth]],Table2_1[[#This Row],[Transaction  Date]],"Y")</f>
        <v>26</v>
      </c>
      <c r="O87" s="33">
        <v>2583</v>
      </c>
      <c r="P87" s="33">
        <f>Table2_1[[#This Row],[Quantity Purchased]]*Table2_1[[#This Row],[UnitPrice]]*(1-Table2_1[[#This Row],[Discount]])</f>
        <v>2988.9</v>
      </c>
      <c r="Q87" s="33">
        <f>Table2_1[[#This Row],[Revenue]]-Table2_1[[#This Row],[COGS]]</f>
        <v>405.90000000000009</v>
      </c>
      <c r="R87" s="39">
        <f>WEEKDAY(Table2_1[[#This Row],[Transaction  Date]])</f>
        <v>4</v>
      </c>
      <c r="S87" s="17" t="str">
        <f>IF(WEEKDAY(Table2_1[[#This Row],[Transaction  Date]],2)&lt;=5,"Weekday","Weekend")</f>
        <v>Weekday</v>
      </c>
      <c r="T87" s="37" t="str">
        <f>FLOOR(Table2_1[[#This Row],[Age]],15)&amp; "-"&amp; FLOOR(Table2_1[[#This Row],[Age]],15)+14</f>
        <v>15-29</v>
      </c>
    </row>
    <row r="88" spans="1:20" x14ac:dyDescent="0.3">
      <c r="A88" s="18">
        <v>45308</v>
      </c>
      <c r="B88" s="17" t="s">
        <v>1019</v>
      </c>
      <c r="C88" s="17" t="s">
        <v>71</v>
      </c>
      <c r="D88" s="18">
        <v>36317</v>
      </c>
      <c r="E88" s="16" t="s">
        <v>68</v>
      </c>
      <c r="F88" s="31">
        <v>260</v>
      </c>
      <c r="G88" s="17" t="s">
        <v>56</v>
      </c>
      <c r="H88" s="17" t="s">
        <v>43</v>
      </c>
      <c r="I88" s="17" t="s">
        <v>23</v>
      </c>
      <c r="J88" s="27">
        <v>0.1</v>
      </c>
      <c r="K88" s="17" t="s">
        <v>935</v>
      </c>
      <c r="L88" s="32">
        <v>18</v>
      </c>
      <c r="M88" s="32">
        <f>_xlfn.XLOOKUP(Table2_1[[#This Row],[Product Code]],Product_Code,Unit_Price,0)</f>
        <v>36</v>
      </c>
      <c r="N88" s="31">
        <f>DATEDIF(Table2_1[[#This Row],[Buyer Date of Birth]],Table2_1[[#This Row],[Transaction  Date]],"Y")</f>
        <v>24</v>
      </c>
      <c r="O88" s="33">
        <v>4680</v>
      </c>
      <c r="P88" s="33">
        <f>Table2_1[[#This Row],[Quantity Purchased]]*Table2_1[[#This Row],[UnitPrice]]*(1-Table2_1[[#This Row],[Discount]])</f>
        <v>8424</v>
      </c>
      <c r="Q88" s="33">
        <f>Table2_1[[#This Row],[Revenue]]-Table2_1[[#This Row],[COGS]]</f>
        <v>3744</v>
      </c>
      <c r="R88" s="39">
        <f>WEEKDAY(Table2_1[[#This Row],[Transaction  Date]])</f>
        <v>4</v>
      </c>
      <c r="S88" s="17" t="str">
        <f>IF(WEEKDAY(Table2_1[[#This Row],[Transaction  Date]],2)&lt;=5,"Weekday","Weekend")</f>
        <v>Weekday</v>
      </c>
      <c r="T88" s="37" t="str">
        <f>FLOOR(Table2_1[[#This Row],[Age]],15)&amp; "-"&amp; FLOOR(Table2_1[[#This Row],[Age]],15)+14</f>
        <v>15-29</v>
      </c>
    </row>
    <row r="89" spans="1:20" x14ac:dyDescent="0.3">
      <c r="A89" s="18">
        <v>45308</v>
      </c>
      <c r="B89" s="17" t="s">
        <v>1020</v>
      </c>
      <c r="C89" s="17" t="s">
        <v>32</v>
      </c>
      <c r="D89" s="18">
        <v>34043</v>
      </c>
      <c r="E89" s="16" t="s">
        <v>68</v>
      </c>
      <c r="F89" s="31">
        <v>261</v>
      </c>
      <c r="G89" s="17" t="s">
        <v>59</v>
      </c>
      <c r="H89" s="17" t="s">
        <v>52</v>
      </c>
      <c r="I89" s="17" t="s">
        <v>17</v>
      </c>
      <c r="J89" s="27">
        <v>0.1</v>
      </c>
      <c r="K89" s="17" t="s">
        <v>932</v>
      </c>
      <c r="L89" s="32">
        <v>19</v>
      </c>
      <c r="M89" s="32">
        <f>_xlfn.XLOOKUP(Table2_1[[#This Row],[Product Code]],Product_Code,Unit_Price,0)</f>
        <v>23</v>
      </c>
      <c r="N89" s="31">
        <f>DATEDIF(Table2_1[[#This Row],[Buyer Date of Birth]],Table2_1[[#This Row],[Transaction  Date]],"Y")</f>
        <v>30</v>
      </c>
      <c r="O89" s="33">
        <v>4959</v>
      </c>
      <c r="P89" s="33">
        <f>Table2_1[[#This Row],[Quantity Purchased]]*Table2_1[[#This Row],[UnitPrice]]*(1-Table2_1[[#This Row],[Discount]])</f>
        <v>5402.7</v>
      </c>
      <c r="Q89" s="33">
        <f>Table2_1[[#This Row],[Revenue]]-Table2_1[[#This Row],[COGS]]</f>
        <v>443.69999999999982</v>
      </c>
      <c r="R89" s="39">
        <f>WEEKDAY(Table2_1[[#This Row],[Transaction  Date]])</f>
        <v>4</v>
      </c>
      <c r="S89" s="17" t="str">
        <f>IF(WEEKDAY(Table2_1[[#This Row],[Transaction  Date]],2)&lt;=5,"Weekday","Weekend")</f>
        <v>Weekday</v>
      </c>
      <c r="T89" s="37" t="str">
        <f>FLOOR(Table2_1[[#This Row],[Age]],15)&amp; "-"&amp; FLOOR(Table2_1[[#This Row],[Age]],15)+14</f>
        <v>30-44</v>
      </c>
    </row>
    <row r="90" spans="1:20" x14ac:dyDescent="0.3">
      <c r="A90" s="18">
        <v>45308</v>
      </c>
      <c r="B90" s="17" t="s">
        <v>1021</v>
      </c>
      <c r="C90" s="17" t="s">
        <v>94</v>
      </c>
      <c r="D90" s="18">
        <v>28131</v>
      </c>
      <c r="E90" s="16" t="s">
        <v>33</v>
      </c>
      <c r="F90" s="31">
        <v>408</v>
      </c>
      <c r="G90" s="17" t="s">
        <v>65</v>
      </c>
      <c r="H90" s="17" t="s">
        <v>43</v>
      </c>
      <c r="I90" s="17" t="s">
        <v>23</v>
      </c>
      <c r="J90" s="27">
        <v>0.1</v>
      </c>
      <c r="K90" s="17" t="s">
        <v>928</v>
      </c>
      <c r="L90" s="32">
        <v>3</v>
      </c>
      <c r="M90" s="32">
        <f>_xlfn.XLOOKUP(Table2_1[[#This Row],[Product Code]],Product_Code,Unit_Price,0)</f>
        <v>5</v>
      </c>
      <c r="N90" s="31">
        <f>DATEDIF(Table2_1[[#This Row],[Buyer Date of Birth]],Table2_1[[#This Row],[Transaction  Date]],"Y")</f>
        <v>47</v>
      </c>
      <c r="O90" s="33">
        <v>1224</v>
      </c>
      <c r="P90" s="33">
        <f>Table2_1[[#This Row],[Quantity Purchased]]*Table2_1[[#This Row],[UnitPrice]]*(1-Table2_1[[#This Row],[Discount]])</f>
        <v>1836</v>
      </c>
      <c r="Q90" s="33">
        <f>Table2_1[[#This Row],[Revenue]]-Table2_1[[#This Row],[COGS]]</f>
        <v>612</v>
      </c>
      <c r="R90" s="39">
        <f>WEEKDAY(Table2_1[[#This Row],[Transaction  Date]])</f>
        <v>4</v>
      </c>
      <c r="S90" s="17" t="str">
        <f>IF(WEEKDAY(Table2_1[[#This Row],[Transaction  Date]],2)&lt;=5,"Weekday","Weekend")</f>
        <v>Weekday</v>
      </c>
      <c r="T90" s="37" t="str">
        <f>FLOOR(Table2_1[[#This Row],[Age]],15)&amp; "-"&amp; FLOOR(Table2_1[[#This Row],[Age]],15)+14</f>
        <v>45-59</v>
      </c>
    </row>
    <row r="91" spans="1:20" x14ac:dyDescent="0.3">
      <c r="A91" s="18">
        <v>45309</v>
      </c>
      <c r="B91" s="17" t="s">
        <v>1022</v>
      </c>
      <c r="C91" s="17" t="s">
        <v>38</v>
      </c>
      <c r="D91" s="18">
        <v>27366</v>
      </c>
      <c r="E91" s="16" t="s">
        <v>14</v>
      </c>
      <c r="F91" s="31">
        <v>472</v>
      </c>
      <c r="G91" s="17" t="s">
        <v>59</v>
      </c>
      <c r="H91" s="17" t="s">
        <v>43</v>
      </c>
      <c r="I91" s="17" t="s">
        <v>17</v>
      </c>
      <c r="J91" s="27">
        <v>0.1</v>
      </c>
      <c r="K91" s="17" t="s">
        <v>932</v>
      </c>
      <c r="L91" s="32">
        <v>19</v>
      </c>
      <c r="M91" s="32">
        <f>_xlfn.XLOOKUP(Table2_1[[#This Row],[Product Code]],Product_Code,Unit_Price,0)</f>
        <v>23</v>
      </c>
      <c r="N91" s="31">
        <f>DATEDIF(Table2_1[[#This Row],[Buyer Date of Birth]],Table2_1[[#This Row],[Transaction  Date]],"Y")</f>
        <v>49</v>
      </c>
      <c r="O91" s="33">
        <v>8968</v>
      </c>
      <c r="P91" s="33">
        <f>Table2_1[[#This Row],[Quantity Purchased]]*Table2_1[[#This Row],[UnitPrice]]*(1-Table2_1[[#This Row],[Discount]])</f>
        <v>9770.4</v>
      </c>
      <c r="Q91" s="33">
        <f>Table2_1[[#This Row],[Revenue]]-Table2_1[[#This Row],[COGS]]</f>
        <v>802.39999999999964</v>
      </c>
      <c r="R91" s="39">
        <f>WEEKDAY(Table2_1[[#This Row],[Transaction  Date]])</f>
        <v>5</v>
      </c>
      <c r="S91" s="17" t="str">
        <f>IF(WEEKDAY(Table2_1[[#This Row],[Transaction  Date]],2)&lt;=5,"Weekday","Weekend")</f>
        <v>Weekday</v>
      </c>
      <c r="T91" s="37" t="str">
        <f>FLOOR(Table2_1[[#This Row],[Age]],15)&amp; "-"&amp; FLOOR(Table2_1[[#This Row],[Age]],15)+14</f>
        <v>45-59</v>
      </c>
    </row>
    <row r="92" spans="1:20" x14ac:dyDescent="0.3">
      <c r="A92" s="18">
        <v>45309</v>
      </c>
      <c r="B92" s="17" t="s">
        <v>1023</v>
      </c>
      <c r="C92" s="17" t="s">
        <v>38</v>
      </c>
      <c r="D92" s="18">
        <v>32141</v>
      </c>
      <c r="E92" s="16" t="s">
        <v>33</v>
      </c>
      <c r="F92" s="31">
        <v>326</v>
      </c>
      <c r="G92" s="17" t="s">
        <v>15</v>
      </c>
      <c r="H92" s="17" t="s">
        <v>35</v>
      </c>
      <c r="I92" s="17" t="s">
        <v>29</v>
      </c>
      <c r="J92" s="27">
        <v>0.1</v>
      </c>
      <c r="K92" s="17" t="s">
        <v>929</v>
      </c>
      <c r="L92" s="32">
        <v>10</v>
      </c>
      <c r="M92" s="32">
        <f>_xlfn.XLOOKUP(Table2_1[[#This Row],[Product Code]],Product_Code,Unit_Price,0)</f>
        <v>14</v>
      </c>
      <c r="N92" s="31">
        <f>DATEDIF(Table2_1[[#This Row],[Buyer Date of Birth]],Table2_1[[#This Row],[Transaction  Date]],"Y")</f>
        <v>36</v>
      </c>
      <c r="O92" s="33">
        <v>3260</v>
      </c>
      <c r="P92" s="33">
        <f>Table2_1[[#This Row],[Quantity Purchased]]*Table2_1[[#This Row],[UnitPrice]]*(1-Table2_1[[#This Row],[Discount]])</f>
        <v>4107.6000000000004</v>
      </c>
      <c r="Q92" s="33">
        <f>Table2_1[[#This Row],[Revenue]]-Table2_1[[#This Row],[COGS]]</f>
        <v>847.60000000000036</v>
      </c>
      <c r="R92" s="39">
        <f>WEEKDAY(Table2_1[[#This Row],[Transaction  Date]])</f>
        <v>5</v>
      </c>
      <c r="S92" s="17" t="str">
        <f>IF(WEEKDAY(Table2_1[[#This Row],[Transaction  Date]],2)&lt;=5,"Weekday","Weekend")</f>
        <v>Weekday</v>
      </c>
      <c r="T92" s="37" t="str">
        <f>FLOOR(Table2_1[[#This Row],[Age]],15)&amp; "-"&amp; FLOOR(Table2_1[[#This Row],[Age]],15)+14</f>
        <v>30-44</v>
      </c>
    </row>
    <row r="93" spans="1:20" x14ac:dyDescent="0.3">
      <c r="A93" s="18">
        <v>45309</v>
      </c>
      <c r="B93" s="17" t="s">
        <v>1024</v>
      </c>
      <c r="C93" s="17" t="s">
        <v>46</v>
      </c>
      <c r="D93" s="18">
        <v>38728</v>
      </c>
      <c r="E93" s="16" t="s">
        <v>20</v>
      </c>
      <c r="F93" s="31">
        <v>266</v>
      </c>
      <c r="G93" s="17" t="s">
        <v>27</v>
      </c>
      <c r="H93" s="17" t="s">
        <v>52</v>
      </c>
      <c r="I93" s="17" t="s">
        <v>17</v>
      </c>
      <c r="J93" s="27">
        <v>0.1</v>
      </c>
      <c r="K93" s="17" t="s">
        <v>927</v>
      </c>
      <c r="L93" s="32">
        <v>18</v>
      </c>
      <c r="M93" s="32">
        <f>_xlfn.XLOOKUP(Table2_1[[#This Row],[Product Code]],Product_Code,Unit_Price,0)</f>
        <v>22</v>
      </c>
      <c r="N93" s="31">
        <f>DATEDIF(Table2_1[[#This Row],[Buyer Date of Birth]],Table2_1[[#This Row],[Transaction  Date]],"Y")</f>
        <v>18</v>
      </c>
      <c r="O93" s="33">
        <v>4788</v>
      </c>
      <c r="P93" s="33">
        <f>Table2_1[[#This Row],[Quantity Purchased]]*Table2_1[[#This Row],[UnitPrice]]*(1-Table2_1[[#This Row],[Discount]])</f>
        <v>5266.8</v>
      </c>
      <c r="Q93" s="33">
        <f>Table2_1[[#This Row],[Revenue]]-Table2_1[[#This Row],[COGS]]</f>
        <v>478.80000000000018</v>
      </c>
      <c r="R93" s="39">
        <f>WEEKDAY(Table2_1[[#This Row],[Transaction  Date]])</f>
        <v>5</v>
      </c>
      <c r="S93" s="17" t="str">
        <f>IF(WEEKDAY(Table2_1[[#This Row],[Transaction  Date]],2)&lt;=5,"Weekday","Weekend")</f>
        <v>Weekday</v>
      </c>
      <c r="T93" s="37" t="str">
        <f>FLOOR(Table2_1[[#This Row],[Age]],15)&amp; "-"&amp; FLOOR(Table2_1[[#This Row],[Age]],15)+14</f>
        <v>15-29</v>
      </c>
    </row>
    <row r="94" spans="1:20" x14ac:dyDescent="0.3">
      <c r="A94" s="18">
        <v>45309</v>
      </c>
      <c r="B94" s="17" t="s">
        <v>1025</v>
      </c>
      <c r="C94" s="17" t="s">
        <v>78</v>
      </c>
      <c r="D94" s="18">
        <v>27998</v>
      </c>
      <c r="E94" s="16" t="s">
        <v>14</v>
      </c>
      <c r="F94" s="31">
        <v>324</v>
      </c>
      <c r="G94" s="17" t="s">
        <v>34</v>
      </c>
      <c r="H94" s="17" t="s">
        <v>48</v>
      </c>
      <c r="I94" s="17" t="s">
        <v>17</v>
      </c>
      <c r="J94" s="27">
        <v>0.1</v>
      </c>
      <c r="K94" s="17" t="s">
        <v>930</v>
      </c>
      <c r="L94" s="32">
        <v>14</v>
      </c>
      <c r="M94" s="32">
        <f>_xlfn.XLOOKUP(Table2_1[[#This Row],[Product Code]],Product_Code,Unit_Price,0)</f>
        <v>28</v>
      </c>
      <c r="N94" s="31">
        <f>DATEDIF(Table2_1[[#This Row],[Buyer Date of Birth]],Table2_1[[#This Row],[Transaction  Date]],"Y")</f>
        <v>47</v>
      </c>
      <c r="O94" s="33">
        <v>4536</v>
      </c>
      <c r="P94" s="33">
        <f>Table2_1[[#This Row],[Quantity Purchased]]*Table2_1[[#This Row],[UnitPrice]]*(1-Table2_1[[#This Row],[Discount]])</f>
        <v>8164.8</v>
      </c>
      <c r="Q94" s="33">
        <f>Table2_1[[#This Row],[Revenue]]-Table2_1[[#This Row],[COGS]]</f>
        <v>3628.8</v>
      </c>
      <c r="R94" s="39">
        <f>WEEKDAY(Table2_1[[#This Row],[Transaction  Date]])</f>
        <v>5</v>
      </c>
      <c r="S94" s="17" t="str">
        <f>IF(WEEKDAY(Table2_1[[#This Row],[Transaction  Date]],2)&lt;=5,"Weekday","Weekend")</f>
        <v>Weekday</v>
      </c>
      <c r="T94" s="37" t="str">
        <f>FLOOR(Table2_1[[#This Row],[Age]],15)&amp; "-"&amp; FLOOR(Table2_1[[#This Row],[Age]],15)+14</f>
        <v>45-59</v>
      </c>
    </row>
    <row r="95" spans="1:20" x14ac:dyDescent="0.3">
      <c r="A95" s="18">
        <v>45309</v>
      </c>
      <c r="B95" s="17" t="s">
        <v>1026</v>
      </c>
      <c r="C95" s="17" t="s">
        <v>46</v>
      </c>
      <c r="D95" s="18">
        <v>38529</v>
      </c>
      <c r="E95" s="16" t="s">
        <v>20</v>
      </c>
      <c r="F95" s="31">
        <v>18</v>
      </c>
      <c r="G95" s="17" t="s">
        <v>27</v>
      </c>
      <c r="H95" s="17" t="s">
        <v>28</v>
      </c>
      <c r="I95" s="17" t="s">
        <v>17</v>
      </c>
      <c r="J95" s="27">
        <v>0.1</v>
      </c>
      <c r="K95" s="17" t="s">
        <v>927</v>
      </c>
      <c r="L95" s="32">
        <v>18</v>
      </c>
      <c r="M95" s="32">
        <f>_xlfn.XLOOKUP(Table2_1[[#This Row],[Product Code]],Product_Code,Unit_Price,0)</f>
        <v>22</v>
      </c>
      <c r="N95" s="31">
        <f>DATEDIF(Table2_1[[#This Row],[Buyer Date of Birth]],Table2_1[[#This Row],[Transaction  Date]],"Y")</f>
        <v>18</v>
      </c>
      <c r="O95" s="33">
        <v>324</v>
      </c>
      <c r="P95" s="33">
        <f>Table2_1[[#This Row],[Quantity Purchased]]*Table2_1[[#This Row],[UnitPrice]]*(1-Table2_1[[#This Row],[Discount]])</f>
        <v>356.40000000000003</v>
      </c>
      <c r="Q95" s="33">
        <f>Table2_1[[#This Row],[Revenue]]-Table2_1[[#This Row],[COGS]]</f>
        <v>32.400000000000034</v>
      </c>
      <c r="R95" s="39">
        <f>WEEKDAY(Table2_1[[#This Row],[Transaction  Date]])</f>
        <v>5</v>
      </c>
      <c r="S95" s="17" t="str">
        <f>IF(WEEKDAY(Table2_1[[#This Row],[Transaction  Date]],2)&lt;=5,"Weekday","Weekend")</f>
        <v>Weekday</v>
      </c>
      <c r="T95" s="37" t="str">
        <f>FLOOR(Table2_1[[#This Row],[Age]],15)&amp; "-"&amp; FLOOR(Table2_1[[#This Row],[Age]],15)+14</f>
        <v>15-29</v>
      </c>
    </row>
    <row r="96" spans="1:20" x14ac:dyDescent="0.3">
      <c r="A96" s="18">
        <v>45309</v>
      </c>
      <c r="B96" s="17" t="s">
        <v>1027</v>
      </c>
      <c r="C96" s="17" t="s">
        <v>38</v>
      </c>
      <c r="D96" s="18">
        <v>32586</v>
      </c>
      <c r="E96" s="16" t="s">
        <v>68</v>
      </c>
      <c r="F96" s="31">
        <v>461</v>
      </c>
      <c r="G96" s="17" t="s">
        <v>42</v>
      </c>
      <c r="H96" s="17" t="s">
        <v>52</v>
      </c>
      <c r="I96" s="17" t="s">
        <v>23</v>
      </c>
      <c r="J96" s="27">
        <v>0.1</v>
      </c>
      <c r="K96" s="17" t="s">
        <v>926</v>
      </c>
      <c r="L96" s="32">
        <v>10</v>
      </c>
      <c r="M96" s="32">
        <f>_xlfn.XLOOKUP(Table2_1[[#This Row],[Product Code]],Product_Code,Unit_Price,0)</f>
        <v>11</v>
      </c>
      <c r="N96" s="31">
        <f>DATEDIF(Table2_1[[#This Row],[Buyer Date of Birth]],Table2_1[[#This Row],[Transaction  Date]],"Y")</f>
        <v>34</v>
      </c>
      <c r="O96" s="33">
        <v>4610</v>
      </c>
      <c r="P96" s="33">
        <f>Table2_1[[#This Row],[Quantity Purchased]]*Table2_1[[#This Row],[UnitPrice]]*(1-Table2_1[[#This Row],[Discount]])</f>
        <v>4563.9000000000005</v>
      </c>
      <c r="Q96" s="33">
        <f>Table2_1[[#This Row],[Revenue]]-Table2_1[[#This Row],[COGS]]</f>
        <v>-46.099999999999454</v>
      </c>
      <c r="R96" s="39">
        <f>WEEKDAY(Table2_1[[#This Row],[Transaction  Date]])</f>
        <v>5</v>
      </c>
      <c r="S96" s="17" t="str">
        <f>IF(WEEKDAY(Table2_1[[#This Row],[Transaction  Date]],2)&lt;=5,"Weekday","Weekend")</f>
        <v>Weekday</v>
      </c>
      <c r="T96" s="37" t="str">
        <f>FLOOR(Table2_1[[#This Row],[Age]],15)&amp; "-"&amp; FLOOR(Table2_1[[#This Row],[Age]],15)+14</f>
        <v>30-44</v>
      </c>
    </row>
    <row r="97" spans="1:20" x14ac:dyDescent="0.3">
      <c r="A97" s="18">
        <v>45309</v>
      </c>
      <c r="B97" s="17" t="s">
        <v>1028</v>
      </c>
      <c r="C97" s="17" t="s">
        <v>78</v>
      </c>
      <c r="D97" s="18">
        <v>35169</v>
      </c>
      <c r="E97" s="16" t="s">
        <v>14</v>
      </c>
      <c r="F97" s="31">
        <v>464</v>
      </c>
      <c r="G97" s="17" t="s">
        <v>47</v>
      </c>
      <c r="H97" s="17" t="s">
        <v>52</v>
      </c>
      <c r="I97" s="17" t="s">
        <v>17</v>
      </c>
      <c r="J97" s="27">
        <v>0.1</v>
      </c>
      <c r="K97" s="17" t="s">
        <v>931</v>
      </c>
      <c r="L97" s="32">
        <v>7</v>
      </c>
      <c r="M97" s="32">
        <f>_xlfn.XLOOKUP(Table2_1[[#This Row],[Product Code]],Product_Code,Unit_Price,0)</f>
        <v>9</v>
      </c>
      <c r="N97" s="31">
        <f>DATEDIF(Table2_1[[#This Row],[Buyer Date of Birth]],Table2_1[[#This Row],[Transaction  Date]],"Y")</f>
        <v>27</v>
      </c>
      <c r="O97" s="33">
        <v>3248</v>
      </c>
      <c r="P97" s="33">
        <f>Table2_1[[#This Row],[Quantity Purchased]]*Table2_1[[#This Row],[UnitPrice]]*(1-Table2_1[[#This Row],[Discount]])</f>
        <v>3758.4</v>
      </c>
      <c r="Q97" s="33">
        <f>Table2_1[[#This Row],[Revenue]]-Table2_1[[#This Row],[COGS]]</f>
        <v>510.40000000000009</v>
      </c>
      <c r="R97" s="39">
        <f>WEEKDAY(Table2_1[[#This Row],[Transaction  Date]])</f>
        <v>5</v>
      </c>
      <c r="S97" s="17" t="str">
        <f>IF(WEEKDAY(Table2_1[[#This Row],[Transaction  Date]],2)&lt;=5,"Weekday","Weekend")</f>
        <v>Weekday</v>
      </c>
      <c r="T97" s="37" t="str">
        <f>FLOOR(Table2_1[[#This Row],[Age]],15)&amp; "-"&amp; FLOOR(Table2_1[[#This Row],[Age]],15)+14</f>
        <v>15-29</v>
      </c>
    </row>
    <row r="98" spans="1:20" x14ac:dyDescent="0.3">
      <c r="A98" s="18">
        <v>45309</v>
      </c>
      <c r="B98" s="17" t="s">
        <v>1029</v>
      </c>
      <c r="C98" s="17" t="s">
        <v>51</v>
      </c>
      <c r="D98" s="18">
        <v>15942</v>
      </c>
      <c r="E98" s="16" t="s">
        <v>33</v>
      </c>
      <c r="F98" s="31">
        <v>199</v>
      </c>
      <c r="G98" s="17" t="s">
        <v>65</v>
      </c>
      <c r="H98" s="17" t="s">
        <v>43</v>
      </c>
      <c r="I98" s="17" t="s">
        <v>17</v>
      </c>
      <c r="J98" s="27">
        <v>0.1</v>
      </c>
      <c r="K98" s="17" t="s">
        <v>928</v>
      </c>
      <c r="L98" s="32">
        <v>3</v>
      </c>
      <c r="M98" s="32">
        <f>_xlfn.XLOOKUP(Table2_1[[#This Row],[Product Code]],Product_Code,Unit_Price,0)</f>
        <v>5</v>
      </c>
      <c r="N98" s="31">
        <f>DATEDIF(Table2_1[[#This Row],[Buyer Date of Birth]],Table2_1[[#This Row],[Transaction  Date]],"Y")</f>
        <v>80</v>
      </c>
      <c r="O98" s="33">
        <v>597</v>
      </c>
      <c r="P98" s="33">
        <f>Table2_1[[#This Row],[Quantity Purchased]]*Table2_1[[#This Row],[UnitPrice]]*(1-Table2_1[[#This Row],[Discount]])</f>
        <v>895.5</v>
      </c>
      <c r="Q98" s="33">
        <f>Table2_1[[#This Row],[Revenue]]-Table2_1[[#This Row],[COGS]]</f>
        <v>298.5</v>
      </c>
      <c r="R98" s="39">
        <f>WEEKDAY(Table2_1[[#This Row],[Transaction  Date]])</f>
        <v>5</v>
      </c>
      <c r="S98" s="17" t="str">
        <f>IF(WEEKDAY(Table2_1[[#This Row],[Transaction  Date]],2)&lt;=5,"Weekday","Weekend")</f>
        <v>Weekday</v>
      </c>
      <c r="T98" s="37" t="str">
        <f>FLOOR(Table2_1[[#This Row],[Age]],15)&amp; "-"&amp; FLOOR(Table2_1[[#This Row],[Age]],15)+14</f>
        <v>75-89</v>
      </c>
    </row>
    <row r="99" spans="1:20" x14ac:dyDescent="0.3">
      <c r="A99" s="18">
        <v>45310</v>
      </c>
      <c r="B99" s="17" t="s">
        <v>1030</v>
      </c>
      <c r="C99" s="17" t="s">
        <v>94</v>
      </c>
      <c r="D99" s="18">
        <v>19359</v>
      </c>
      <c r="E99" s="16" t="s">
        <v>33</v>
      </c>
      <c r="F99" s="31">
        <v>490</v>
      </c>
      <c r="G99" s="17" t="s">
        <v>42</v>
      </c>
      <c r="H99" s="17" t="s">
        <v>28</v>
      </c>
      <c r="I99" s="17" t="s">
        <v>17</v>
      </c>
      <c r="J99" s="27">
        <v>0.1</v>
      </c>
      <c r="K99" s="17" t="s">
        <v>926</v>
      </c>
      <c r="L99" s="32">
        <v>10</v>
      </c>
      <c r="M99" s="32">
        <f>_xlfn.XLOOKUP(Table2_1[[#This Row],[Product Code]],Product_Code,Unit_Price,0)</f>
        <v>11</v>
      </c>
      <c r="N99" s="31">
        <f>DATEDIF(Table2_1[[#This Row],[Buyer Date of Birth]],Table2_1[[#This Row],[Transaction  Date]],"Y")</f>
        <v>71</v>
      </c>
      <c r="O99" s="33">
        <v>4900</v>
      </c>
      <c r="P99" s="33">
        <f>Table2_1[[#This Row],[Quantity Purchased]]*Table2_1[[#This Row],[UnitPrice]]*(1-Table2_1[[#This Row],[Discount]])</f>
        <v>4851</v>
      </c>
      <c r="Q99" s="33">
        <f>Table2_1[[#This Row],[Revenue]]-Table2_1[[#This Row],[COGS]]</f>
        <v>-49</v>
      </c>
      <c r="R99" s="39">
        <f>WEEKDAY(Table2_1[[#This Row],[Transaction  Date]])</f>
        <v>6</v>
      </c>
      <c r="S99" s="17" t="str">
        <f>IF(WEEKDAY(Table2_1[[#This Row],[Transaction  Date]],2)&lt;=5,"Weekday","Weekend")</f>
        <v>Weekday</v>
      </c>
      <c r="T99" s="37" t="str">
        <f>FLOOR(Table2_1[[#This Row],[Age]],15)&amp; "-"&amp; FLOOR(Table2_1[[#This Row],[Age]],15)+14</f>
        <v>60-74</v>
      </c>
    </row>
    <row r="100" spans="1:20" x14ac:dyDescent="0.3">
      <c r="A100" s="18">
        <v>45310</v>
      </c>
      <c r="B100" s="17" t="s">
        <v>1031</v>
      </c>
      <c r="C100" s="17" t="s">
        <v>94</v>
      </c>
      <c r="D100" s="18">
        <v>37810</v>
      </c>
      <c r="E100" s="16" t="s">
        <v>14</v>
      </c>
      <c r="F100" s="31">
        <v>473</v>
      </c>
      <c r="G100" s="17" t="s">
        <v>21</v>
      </c>
      <c r="H100" s="17" t="s">
        <v>48</v>
      </c>
      <c r="I100" s="17" t="s">
        <v>17</v>
      </c>
      <c r="J100" s="27">
        <v>0.1</v>
      </c>
      <c r="K100" s="17" t="s">
        <v>934</v>
      </c>
      <c r="L100" s="32">
        <v>10</v>
      </c>
      <c r="M100" s="32">
        <f>_xlfn.XLOOKUP(Table2_1[[#This Row],[Product Code]],Product_Code,Unit_Price,0)</f>
        <v>45</v>
      </c>
      <c r="N100" s="31">
        <f>DATEDIF(Table2_1[[#This Row],[Buyer Date of Birth]],Table2_1[[#This Row],[Transaction  Date]],"Y")</f>
        <v>20</v>
      </c>
      <c r="O100" s="33">
        <v>4730</v>
      </c>
      <c r="P100" s="33">
        <f>Table2_1[[#This Row],[Quantity Purchased]]*Table2_1[[#This Row],[UnitPrice]]*(1-Table2_1[[#This Row],[Discount]])</f>
        <v>19156.5</v>
      </c>
      <c r="Q100" s="33">
        <f>Table2_1[[#This Row],[Revenue]]-Table2_1[[#This Row],[COGS]]</f>
        <v>14426.5</v>
      </c>
      <c r="R100" s="39">
        <f>WEEKDAY(Table2_1[[#This Row],[Transaction  Date]])</f>
        <v>6</v>
      </c>
      <c r="S100" s="17" t="str">
        <f>IF(WEEKDAY(Table2_1[[#This Row],[Transaction  Date]],2)&lt;=5,"Weekday","Weekend")</f>
        <v>Weekday</v>
      </c>
      <c r="T100" s="37" t="str">
        <f>FLOOR(Table2_1[[#This Row],[Age]],15)&amp; "-"&amp; FLOOR(Table2_1[[#This Row],[Age]],15)+14</f>
        <v>15-29</v>
      </c>
    </row>
    <row r="101" spans="1:20" x14ac:dyDescent="0.3">
      <c r="A101" s="18">
        <v>45310</v>
      </c>
      <c r="B101" s="17" t="s">
        <v>1032</v>
      </c>
      <c r="C101" s="17" t="s">
        <v>78</v>
      </c>
      <c r="D101" s="18">
        <v>23622</v>
      </c>
      <c r="E101" s="16" t="s">
        <v>14</v>
      </c>
      <c r="F101" s="31">
        <v>370</v>
      </c>
      <c r="G101" s="17" t="s">
        <v>42</v>
      </c>
      <c r="H101" s="17" t="s">
        <v>52</v>
      </c>
      <c r="I101" s="17" t="s">
        <v>17</v>
      </c>
      <c r="J101" s="27">
        <v>0.1</v>
      </c>
      <c r="K101" s="17" t="s">
        <v>926</v>
      </c>
      <c r="L101" s="32">
        <v>10</v>
      </c>
      <c r="M101" s="32">
        <f>_xlfn.XLOOKUP(Table2_1[[#This Row],[Product Code]],Product_Code,Unit_Price,0)</f>
        <v>11</v>
      </c>
      <c r="N101" s="31">
        <f>DATEDIF(Table2_1[[#This Row],[Buyer Date of Birth]],Table2_1[[#This Row],[Transaction  Date]],"Y")</f>
        <v>59</v>
      </c>
      <c r="O101" s="33">
        <v>3700</v>
      </c>
      <c r="P101" s="33">
        <f>Table2_1[[#This Row],[Quantity Purchased]]*Table2_1[[#This Row],[UnitPrice]]*(1-Table2_1[[#This Row],[Discount]])</f>
        <v>3663</v>
      </c>
      <c r="Q101" s="33">
        <f>Table2_1[[#This Row],[Revenue]]-Table2_1[[#This Row],[COGS]]</f>
        <v>-37</v>
      </c>
      <c r="R101" s="39">
        <f>WEEKDAY(Table2_1[[#This Row],[Transaction  Date]])</f>
        <v>6</v>
      </c>
      <c r="S101" s="17" t="str">
        <f>IF(WEEKDAY(Table2_1[[#This Row],[Transaction  Date]],2)&lt;=5,"Weekday","Weekend")</f>
        <v>Weekday</v>
      </c>
      <c r="T101" s="37" t="str">
        <f>FLOOR(Table2_1[[#This Row],[Age]],15)&amp; "-"&amp; FLOOR(Table2_1[[#This Row],[Age]],15)+14</f>
        <v>45-59</v>
      </c>
    </row>
    <row r="102" spans="1:20" x14ac:dyDescent="0.3">
      <c r="A102" s="18">
        <v>45310</v>
      </c>
      <c r="B102" s="17" t="s">
        <v>1033</v>
      </c>
      <c r="C102" s="17" t="s">
        <v>83</v>
      </c>
      <c r="D102" s="18">
        <v>35112</v>
      </c>
      <c r="E102" s="16" t="s">
        <v>20</v>
      </c>
      <c r="F102" s="31">
        <v>32</v>
      </c>
      <c r="G102" s="17" t="s">
        <v>34</v>
      </c>
      <c r="H102" s="17" t="s">
        <v>52</v>
      </c>
      <c r="I102" s="17" t="s">
        <v>17</v>
      </c>
      <c r="J102" s="27">
        <v>0.1</v>
      </c>
      <c r="K102" s="17" t="s">
        <v>930</v>
      </c>
      <c r="L102" s="32">
        <v>14</v>
      </c>
      <c r="M102" s="32">
        <f>_xlfn.XLOOKUP(Table2_1[[#This Row],[Product Code]],Product_Code,Unit_Price,0)</f>
        <v>28</v>
      </c>
      <c r="N102" s="31">
        <f>DATEDIF(Table2_1[[#This Row],[Buyer Date of Birth]],Table2_1[[#This Row],[Transaction  Date]],"Y")</f>
        <v>27</v>
      </c>
      <c r="O102" s="33">
        <v>448</v>
      </c>
      <c r="P102" s="33">
        <f>Table2_1[[#This Row],[Quantity Purchased]]*Table2_1[[#This Row],[UnitPrice]]*(1-Table2_1[[#This Row],[Discount]])</f>
        <v>806.4</v>
      </c>
      <c r="Q102" s="33">
        <f>Table2_1[[#This Row],[Revenue]]-Table2_1[[#This Row],[COGS]]</f>
        <v>358.4</v>
      </c>
      <c r="R102" s="39">
        <f>WEEKDAY(Table2_1[[#This Row],[Transaction  Date]])</f>
        <v>6</v>
      </c>
      <c r="S102" s="17" t="str">
        <f>IF(WEEKDAY(Table2_1[[#This Row],[Transaction  Date]],2)&lt;=5,"Weekday","Weekend")</f>
        <v>Weekday</v>
      </c>
      <c r="T102" s="37" t="str">
        <f>FLOOR(Table2_1[[#This Row],[Age]],15)&amp; "-"&amp; FLOOR(Table2_1[[#This Row],[Age]],15)+14</f>
        <v>15-29</v>
      </c>
    </row>
    <row r="103" spans="1:20" x14ac:dyDescent="0.3">
      <c r="A103" s="18">
        <v>45311</v>
      </c>
      <c r="B103" s="17" t="s">
        <v>1034</v>
      </c>
      <c r="C103" s="17" t="s">
        <v>94</v>
      </c>
      <c r="D103" s="18">
        <v>36494</v>
      </c>
      <c r="E103" s="16" t="s">
        <v>20</v>
      </c>
      <c r="F103" s="31">
        <v>100</v>
      </c>
      <c r="G103" s="17" t="s">
        <v>56</v>
      </c>
      <c r="H103" s="17" t="s">
        <v>43</v>
      </c>
      <c r="I103" s="17" t="s">
        <v>17</v>
      </c>
      <c r="J103" s="27">
        <v>0.1</v>
      </c>
      <c r="K103" s="17" t="s">
        <v>935</v>
      </c>
      <c r="L103" s="32">
        <v>18</v>
      </c>
      <c r="M103" s="32">
        <f>_xlfn.XLOOKUP(Table2_1[[#This Row],[Product Code]],Product_Code,Unit_Price,0)</f>
        <v>36</v>
      </c>
      <c r="N103" s="31">
        <f>DATEDIF(Table2_1[[#This Row],[Buyer Date of Birth]],Table2_1[[#This Row],[Transaction  Date]],"Y")</f>
        <v>24</v>
      </c>
      <c r="O103" s="33">
        <v>1800</v>
      </c>
      <c r="P103" s="33">
        <f>Table2_1[[#This Row],[Quantity Purchased]]*Table2_1[[#This Row],[UnitPrice]]*(1-Table2_1[[#This Row],[Discount]])</f>
        <v>3240</v>
      </c>
      <c r="Q103" s="33">
        <f>Table2_1[[#This Row],[Revenue]]-Table2_1[[#This Row],[COGS]]</f>
        <v>1440</v>
      </c>
      <c r="R103" s="39">
        <f>WEEKDAY(Table2_1[[#This Row],[Transaction  Date]])</f>
        <v>7</v>
      </c>
      <c r="S103" s="17" t="str">
        <f>IF(WEEKDAY(Table2_1[[#This Row],[Transaction  Date]],2)&lt;=5,"Weekday","Weekend")</f>
        <v>Weekend</v>
      </c>
      <c r="T103" s="37" t="str">
        <f>FLOOR(Table2_1[[#This Row],[Age]],15)&amp; "-"&amp; FLOOR(Table2_1[[#This Row],[Age]],15)+14</f>
        <v>15-29</v>
      </c>
    </row>
    <row r="104" spans="1:20" x14ac:dyDescent="0.3">
      <c r="A104" s="18">
        <v>45311</v>
      </c>
      <c r="B104" s="17" t="s">
        <v>1035</v>
      </c>
      <c r="C104" s="17" t="s">
        <v>94</v>
      </c>
      <c r="D104" s="18">
        <v>28525</v>
      </c>
      <c r="E104" s="16" t="s">
        <v>20</v>
      </c>
      <c r="F104" s="31">
        <v>434</v>
      </c>
      <c r="G104" s="17" t="s">
        <v>42</v>
      </c>
      <c r="H104" s="17" t="s">
        <v>52</v>
      </c>
      <c r="I104" s="17" t="s">
        <v>17</v>
      </c>
      <c r="J104" s="27">
        <v>0.1</v>
      </c>
      <c r="K104" s="17" t="s">
        <v>926</v>
      </c>
      <c r="L104" s="32">
        <v>10</v>
      </c>
      <c r="M104" s="32">
        <f>_xlfn.XLOOKUP(Table2_1[[#This Row],[Product Code]],Product_Code,Unit_Price,0)</f>
        <v>11</v>
      </c>
      <c r="N104" s="31">
        <f>DATEDIF(Table2_1[[#This Row],[Buyer Date of Birth]],Table2_1[[#This Row],[Transaction  Date]],"Y")</f>
        <v>45</v>
      </c>
      <c r="O104" s="33">
        <v>4340</v>
      </c>
      <c r="P104" s="33">
        <f>Table2_1[[#This Row],[Quantity Purchased]]*Table2_1[[#This Row],[UnitPrice]]*(1-Table2_1[[#This Row],[Discount]])</f>
        <v>4296.6000000000004</v>
      </c>
      <c r="Q104" s="33">
        <f>Table2_1[[#This Row],[Revenue]]-Table2_1[[#This Row],[COGS]]</f>
        <v>-43.399999999999636</v>
      </c>
      <c r="R104" s="39">
        <f>WEEKDAY(Table2_1[[#This Row],[Transaction  Date]])</f>
        <v>7</v>
      </c>
      <c r="S104" s="17" t="str">
        <f>IF(WEEKDAY(Table2_1[[#This Row],[Transaction  Date]],2)&lt;=5,"Weekday","Weekend")</f>
        <v>Weekend</v>
      </c>
      <c r="T104" s="37" t="str">
        <f>FLOOR(Table2_1[[#This Row],[Age]],15)&amp; "-"&amp; FLOOR(Table2_1[[#This Row],[Age]],15)+14</f>
        <v>45-59</v>
      </c>
    </row>
    <row r="105" spans="1:20" x14ac:dyDescent="0.3">
      <c r="A105" s="18">
        <v>45311</v>
      </c>
      <c r="B105" s="17" t="s">
        <v>1036</v>
      </c>
      <c r="C105" s="17" t="s">
        <v>78</v>
      </c>
      <c r="D105" s="18">
        <v>16533</v>
      </c>
      <c r="E105" s="16" t="s">
        <v>33</v>
      </c>
      <c r="F105" s="31">
        <v>45</v>
      </c>
      <c r="G105" s="17" t="s">
        <v>47</v>
      </c>
      <c r="H105" s="17" t="s">
        <v>52</v>
      </c>
      <c r="I105" s="17" t="s">
        <v>17</v>
      </c>
      <c r="J105" s="27">
        <v>0.1</v>
      </c>
      <c r="K105" s="17" t="s">
        <v>931</v>
      </c>
      <c r="L105" s="32">
        <v>7</v>
      </c>
      <c r="M105" s="32">
        <f>_xlfn.XLOOKUP(Table2_1[[#This Row],[Product Code]],Product_Code,Unit_Price,0)</f>
        <v>9</v>
      </c>
      <c r="N105" s="31">
        <f>DATEDIF(Table2_1[[#This Row],[Buyer Date of Birth]],Table2_1[[#This Row],[Transaction  Date]],"Y")</f>
        <v>78</v>
      </c>
      <c r="O105" s="33">
        <v>315</v>
      </c>
      <c r="P105" s="33">
        <f>Table2_1[[#This Row],[Quantity Purchased]]*Table2_1[[#This Row],[UnitPrice]]*(1-Table2_1[[#This Row],[Discount]])</f>
        <v>364.5</v>
      </c>
      <c r="Q105" s="33">
        <f>Table2_1[[#This Row],[Revenue]]-Table2_1[[#This Row],[COGS]]</f>
        <v>49.5</v>
      </c>
      <c r="R105" s="39">
        <f>WEEKDAY(Table2_1[[#This Row],[Transaction  Date]])</f>
        <v>7</v>
      </c>
      <c r="S105" s="17" t="str">
        <f>IF(WEEKDAY(Table2_1[[#This Row],[Transaction  Date]],2)&lt;=5,"Weekday","Weekend")</f>
        <v>Weekend</v>
      </c>
      <c r="T105" s="37" t="str">
        <f>FLOOR(Table2_1[[#This Row],[Age]],15)&amp; "-"&amp; FLOOR(Table2_1[[#This Row],[Age]],15)+14</f>
        <v>75-89</v>
      </c>
    </row>
    <row r="106" spans="1:20" x14ac:dyDescent="0.3">
      <c r="A106" s="18">
        <v>45311</v>
      </c>
      <c r="B106" s="17" t="s">
        <v>1037</v>
      </c>
      <c r="C106" s="17" t="s">
        <v>94</v>
      </c>
      <c r="D106" s="18">
        <v>27175</v>
      </c>
      <c r="E106" s="16" t="s">
        <v>20</v>
      </c>
      <c r="F106" s="31">
        <v>368</v>
      </c>
      <c r="G106" s="17" t="s">
        <v>65</v>
      </c>
      <c r="H106" s="17" t="s">
        <v>48</v>
      </c>
      <c r="I106" s="17" t="s">
        <v>17</v>
      </c>
      <c r="J106" s="27">
        <v>0.1</v>
      </c>
      <c r="K106" s="17" t="s">
        <v>928</v>
      </c>
      <c r="L106" s="32">
        <v>3</v>
      </c>
      <c r="M106" s="32">
        <f>_xlfn.XLOOKUP(Table2_1[[#This Row],[Product Code]],Product_Code,Unit_Price,0)</f>
        <v>5</v>
      </c>
      <c r="N106" s="31">
        <f>DATEDIF(Table2_1[[#This Row],[Buyer Date of Birth]],Table2_1[[#This Row],[Transaction  Date]],"Y")</f>
        <v>49</v>
      </c>
      <c r="O106" s="33">
        <v>1104</v>
      </c>
      <c r="P106" s="33">
        <f>Table2_1[[#This Row],[Quantity Purchased]]*Table2_1[[#This Row],[UnitPrice]]*(1-Table2_1[[#This Row],[Discount]])</f>
        <v>1656</v>
      </c>
      <c r="Q106" s="33">
        <f>Table2_1[[#This Row],[Revenue]]-Table2_1[[#This Row],[COGS]]</f>
        <v>552</v>
      </c>
      <c r="R106" s="39">
        <f>WEEKDAY(Table2_1[[#This Row],[Transaction  Date]])</f>
        <v>7</v>
      </c>
      <c r="S106" s="17" t="str">
        <f>IF(WEEKDAY(Table2_1[[#This Row],[Transaction  Date]],2)&lt;=5,"Weekday","Weekend")</f>
        <v>Weekend</v>
      </c>
      <c r="T106" s="37" t="str">
        <f>FLOOR(Table2_1[[#This Row],[Age]],15)&amp; "-"&amp; FLOOR(Table2_1[[#This Row],[Age]],15)+14</f>
        <v>45-59</v>
      </c>
    </row>
    <row r="107" spans="1:20" x14ac:dyDescent="0.3">
      <c r="A107" s="18">
        <v>45311</v>
      </c>
      <c r="B107" s="17" t="s">
        <v>1038</v>
      </c>
      <c r="C107" s="17" t="s">
        <v>38</v>
      </c>
      <c r="D107" s="18">
        <v>26958</v>
      </c>
      <c r="E107" s="16" t="s">
        <v>20</v>
      </c>
      <c r="F107" s="31">
        <v>421</v>
      </c>
      <c r="G107" s="17" t="s">
        <v>56</v>
      </c>
      <c r="H107" s="17" t="s">
        <v>43</v>
      </c>
      <c r="I107" s="17" t="s">
        <v>17</v>
      </c>
      <c r="J107" s="27">
        <v>0.1</v>
      </c>
      <c r="K107" s="17" t="s">
        <v>935</v>
      </c>
      <c r="L107" s="32">
        <v>18</v>
      </c>
      <c r="M107" s="32">
        <f>_xlfn.XLOOKUP(Table2_1[[#This Row],[Product Code]],Product_Code,Unit_Price,0)</f>
        <v>36</v>
      </c>
      <c r="N107" s="31">
        <f>DATEDIF(Table2_1[[#This Row],[Buyer Date of Birth]],Table2_1[[#This Row],[Transaction  Date]],"Y")</f>
        <v>50</v>
      </c>
      <c r="O107" s="33">
        <v>7578</v>
      </c>
      <c r="P107" s="33">
        <f>Table2_1[[#This Row],[Quantity Purchased]]*Table2_1[[#This Row],[UnitPrice]]*(1-Table2_1[[#This Row],[Discount]])</f>
        <v>13640.4</v>
      </c>
      <c r="Q107" s="33">
        <f>Table2_1[[#This Row],[Revenue]]-Table2_1[[#This Row],[COGS]]</f>
        <v>6062.4</v>
      </c>
      <c r="R107" s="39">
        <f>WEEKDAY(Table2_1[[#This Row],[Transaction  Date]])</f>
        <v>7</v>
      </c>
      <c r="S107" s="17" t="str">
        <f>IF(WEEKDAY(Table2_1[[#This Row],[Transaction  Date]],2)&lt;=5,"Weekday","Weekend")</f>
        <v>Weekend</v>
      </c>
      <c r="T107" s="37" t="str">
        <f>FLOOR(Table2_1[[#This Row],[Age]],15)&amp; "-"&amp; FLOOR(Table2_1[[#This Row],[Age]],15)+14</f>
        <v>45-59</v>
      </c>
    </row>
    <row r="108" spans="1:20" x14ac:dyDescent="0.3">
      <c r="A108" s="18">
        <v>45311</v>
      </c>
      <c r="B108" s="17" t="s">
        <v>1039</v>
      </c>
      <c r="C108" s="17" t="s">
        <v>71</v>
      </c>
      <c r="D108" s="18">
        <v>36633</v>
      </c>
      <c r="E108" s="16" t="s">
        <v>68</v>
      </c>
      <c r="F108" s="31">
        <v>297</v>
      </c>
      <c r="G108" s="17" t="s">
        <v>42</v>
      </c>
      <c r="H108" s="17" t="s">
        <v>28</v>
      </c>
      <c r="I108" s="17" t="s">
        <v>17</v>
      </c>
      <c r="J108" s="27">
        <v>0.1</v>
      </c>
      <c r="K108" s="17" t="s">
        <v>926</v>
      </c>
      <c r="L108" s="32">
        <v>10</v>
      </c>
      <c r="M108" s="32">
        <f>_xlfn.XLOOKUP(Table2_1[[#This Row],[Product Code]],Product_Code,Unit_Price,0)</f>
        <v>11</v>
      </c>
      <c r="N108" s="31">
        <f>DATEDIF(Table2_1[[#This Row],[Buyer Date of Birth]],Table2_1[[#This Row],[Transaction  Date]],"Y")</f>
        <v>23</v>
      </c>
      <c r="O108" s="33">
        <v>2970</v>
      </c>
      <c r="P108" s="33">
        <f>Table2_1[[#This Row],[Quantity Purchased]]*Table2_1[[#This Row],[UnitPrice]]*(1-Table2_1[[#This Row],[Discount]])</f>
        <v>2940.3</v>
      </c>
      <c r="Q108" s="33">
        <f>Table2_1[[#This Row],[Revenue]]-Table2_1[[#This Row],[COGS]]</f>
        <v>-29.699999999999818</v>
      </c>
      <c r="R108" s="39">
        <f>WEEKDAY(Table2_1[[#This Row],[Transaction  Date]])</f>
        <v>7</v>
      </c>
      <c r="S108" s="17" t="str">
        <f>IF(WEEKDAY(Table2_1[[#This Row],[Transaction  Date]],2)&lt;=5,"Weekday","Weekend")</f>
        <v>Weekend</v>
      </c>
      <c r="T108" s="37" t="str">
        <f>FLOOR(Table2_1[[#This Row],[Age]],15)&amp; "-"&amp; FLOOR(Table2_1[[#This Row],[Age]],15)+14</f>
        <v>15-29</v>
      </c>
    </row>
    <row r="109" spans="1:20" x14ac:dyDescent="0.3">
      <c r="A109" s="18">
        <v>45312</v>
      </c>
      <c r="B109" s="17" t="s">
        <v>1040</v>
      </c>
      <c r="C109" s="17" t="s">
        <v>94</v>
      </c>
      <c r="D109" s="18">
        <v>24538</v>
      </c>
      <c r="E109" s="16" t="s">
        <v>68</v>
      </c>
      <c r="F109" s="31">
        <v>28</v>
      </c>
      <c r="G109" s="17" t="s">
        <v>21</v>
      </c>
      <c r="H109" s="17" t="s">
        <v>39</v>
      </c>
      <c r="I109" s="17" t="s">
        <v>17</v>
      </c>
      <c r="J109" s="27">
        <v>0.1</v>
      </c>
      <c r="K109" s="17" t="s">
        <v>934</v>
      </c>
      <c r="L109" s="32">
        <v>10</v>
      </c>
      <c r="M109" s="32">
        <f>_xlfn.XLOOKUP(Table2_1[[#This Row],[Product Code]],Product_Code,Unit_Price,0)</f>
        <v>45</v>
      </c>
      <c r="N109" s="31">
        <f>DATEDIF(Table2_1[[#This Row],[Buyer Date of Birth]],Table2_1[[#This Row],[Transaction  Date]],"Y")</f>
        <v>56</v>
      </c>
      <c r="O109" s="33">
        <v>280</v>
      </c>
      <c r="P109" s="33">
        <f>Table2_1[[#This Row],[Quantity Purchased]]*Table2_1[[#This Row],[UnitPrice]]*(1-Table2_1[[#This Row],[Discount]])</f>
        <v>1134</v>
      </c>
      <c r="Q109" s="33">
        <f>Table2_1[[#This Row],[Revenue]]-Table2_1[[#This Row],[COGS]]</f>
        <v>854</v>
      </c>
      <c r="R109" s="39">
        <f>WEEKDAY(Table2_1[[#This Row],[Transaction  Date]])</f>
        <v>1</v>
      </c>
      <c r="S109" s="17" t="str">
        <f>IF(WEEKDAY(Table2_1[[#This Row],[Transaction  Date]],2)&lt;=5,"Weekday","Weekend")</f>
        <v>Weekend</v>
      </c>
      <c r="T109" s="37" t="str">
        <f>FLOOR(Table2_1[[#This Row],[Age]],15)&amp; "-"&amp; FLOOR(Table2_1[[#This Row],[Age]],15)+14</f>
        <v>45-59</v>
      </c>
    </row>
    <row r="110" spans="1:20" x14ac:dyDescent="0.3">
      <c r="A110" s="18">
        <v>45312</v>
      </c>
      <c r="B110" s="17" t="s">
        <v>1041</v>
      </c>
      <c r="C110" s="17" t="s">
        <v>26</v>
      </c>
      <c r="D110" s="18">
        <v>30133</v>
      </c>
      <c r="E110" s="16" t="s">
        <v>68</v>
      </c>
      <c r="F110" s="31">
        <v>444</v>
      </c>
      <c r="G110" s="17" t="s">
        <v>15</v>
      </c>
      <c r="H110" s="17" t="s">
        <v>43</v>
      </c>
      <c r="I110" s="17" t="s">
        <v>29</v>
      </c>
      <c r="J110" s="27">
        <v>0.1</v>
      </c>
      <c r="K110" s="17" t="s">
        <v>929</v>
      </c>
      <c r="L110" s="32">
        <v>10</v>
      </c>
      <c r="M110" s="32">
        <f>_xlfn.XLOOKUP(Table2_1[[#This Row],[Product Code]],Product_Code,Unit_Price,0)</f>
        <v>14</v>
      </c>
      <c r="N110" s="31">
        <f>DATEDIF(Table2_1[[#This Row],[Buyer Date of Birth]],Table2_1[[#This Row],[Transaction  Date]],"Y")</f>
        <v>41</v>
      </c>
      <c r="O110" s="33">
        <v>4440</v>
      </c>
      <c r="P110" s="33">
        <f>Table2_1[[#This Row],[Quantity Purchased]]*Table2_1[[#This Row],[UnitPrice]]*(1-Table2_1[[#This Row],[Discount]])</f>
        <v>5594.4000000000005</v>
      </c>
      <c r="Q110" s="33">
        <f>Table2_1[[#This Row],[Revenue]]-Table2_1[[#This Row],[COGS]]</f>
        <v>1154.4000000000005</v>
      </c>
      <c r="R110" s="39">
        <f>WEEKDAY(Table2_1[[#This Row],[Transaction  Date]])</f>
        <v>1</v>
      </c>
      <c r="S110" s="17" t="str">
        <f>IF(WEEKDAY(Table2_1[[#This Row],[Transaction  Date]],2)&lt;=5,"Weekday","Weekend")</f>
        <v>Weekend</v>
      </c>
      <c r="T110" s="37" t="str">
        <f>FLOOR(Table2_1[[#This Row],[Age]],15)&amp; "-"&amp; FLOOR(Table2_1[[#This Row],[Age]],15)+14</f>
        <v>30-44</v>
      </c>
    </row>
    <row r="111" spans="1:20" x14ac:dyDescent="0.3">
      <c r="A111" s="18">
        <v>45312</v>
      </c>
      <c r="B111" s="17" t="s">
        <v>1042</v>
      </c>
      <c r="C111" s="17" t="s">
        <v>94</v>
      </c>
      <c r="D111" s="18">
        <v>32496</v>
      </c>
      <c r="E111" s="16" t="s">
        <v>14</v>
      </c>
      <c r="F111" s="31">
        <v>245</v>
      </c>
      <c r="G111" s="17" t="s">
        <v>32</v>
      </c>
      <c r="H111" s="17" t="s">
        <v>52</v>
      </c>
      <c r="I111" s="17" t="s">
        <v>17</v>
      </c>
      <c r="J111" s="27">
        <v>0.1</v>
      </c>
      <c r="K111" s="17" t="s">
        <v>32</v>
      </c>
      <c r="L111" s="32">
        <v>0</v>
      </c>
      <c r="M111" s="32">
        <f>_xlfn.XLOOKUP(Table2_1[[#This Row],[Product Code]],Product_Code,Unit_Price,0)</f>
        <v>0</v>
      </c>
      <c r="N111" s="31">
        <f>DATEDIF(Table2_1[[#This Row],[Buyer Date of Birth]],Table2_1[[#This Row],[Transaction  Date]],"Y")</f>
        <v>35</v>
      </c>
      <c r="O111" s="33">
        <v>0</v>
      </c>
      <c r="P111" s="33">
        <f>Table2_1[[#This Row],[Quantity Purchased]]*Table2_1[[#This Row],[UnitPrice]]*(1-Table2_1[[#This Row],[Discount]])</f>
        <v>0</v>
      </c>
      <c r="Q111" s="33">
        <f>Table2_1[[#This Row],[Revenue]]-Table2_1[[#This Row],[COGS]]</f>
        <v>0</v>
      </c>
      <c r="R111" s="39">
        <f>WEEKDAY(Table2_1[[#This Row],[Transaction  Date]])</f>
        <v>1</v>
      </c>
      <c r="S111" s="17" t="str">
        <f>IF(WEEKDAY(Table2_1[[#This Row],[Transaction  Date]],2)&lt;=5,"Weekday","Weekend")</f>
        <v>Weekend</v>
      </c>
      <c r="T111" s="37" t="str">
        <f>FLOOR(Table2_1[[#This Row],[Age]],15)&amp; "-"&amp; FLOOR(Table2_1[[#This Row],[Age]],15)+14</f>
        <v>30-44</v>
      </c>
    </row>
    <row r="112" spans="1:20" x14ac:dyDescent="0.3">
      <c r="A112" s="18">
        <v>45312</v>
      </c>
      <c r="B112" s="17" t="s">
        <v>1043</v>
      </c>
      <c r="C112" s="17" t="s">
        <v>78</v>
      </c>
      <c r="D112" s="18">
        <v>34623</v>
      </c>
      <c r="E112" s="16" t="s">
        <v>33</v>
      </c>
      <c r="F112" s="31">
        <v>352</v>
      </c>
      <c r="G112" s="17" t="s">
        <v>21</v>
      </c>
      <c r="H112" s="17" t="s">
        <v>39</v>
      </c>
      <c r="I112" s="17" t="s">
        <v>17</v>
      </c>
      <c r="J112" s="27">
        <v>0.1</v>
      </c>
      <c r="K112" s="17" t="s">
        <v>934</v>
      </c>
      <c r="L112" s="32">
        <v>10</v>
      </c>
      <c r="M112" s="32">
        <f>_xlfn.XLOOKUP(Table2_1[[#This Row],[Product Code]],Product_Code,Unit_Price,0)</f>
        <v>45</v>
      </c>
      <c r="N112" s="31">
        <f>DATEDIF(Table2_1[[#This Row],[Buyer Date of Birth]],Table2_1[[#This Row],[Transaction  Date]],"Y")</f>
        <v>29</v>
      </c>
      <c r="O112" s="33">
        <v>3520</v>
      </c>
      <c r="P112" s="33">
        <f>Table2_1[[#This Row],[Quantity Purchased]]*Table2_1[[#This Row],[UnitPrice]]*(1-Table2_1[[#This Row],[Discount]])</f>
        <v>14256</v>
      </c>
      <c r="Q112" s="33">
        <f>Table2_1[[#This Row],[Revenue]]-Table2_1[[#This Row],[COGS]]</f>
        <v>10736</v>
      </c>
      <c r="R112" s="39">
        <f>WEEKDAY(Table2_1[[#This Row],[Transaction  Date]])</f>
        <v>1</v>
      </c>
      <c r="S112" s="17" t="str">
        <f>IF(WEEKDAY(Table2_1[[#This Row],[Transaction  Date]],2)&lt;=5,"Weekday","Weekend")</f>
        <v>Weekend</v>
      </c>
      <c r="T112" s="37" t="str">
        <f>FLOOR(Table2_1[[#This Row],[Age]],15)&amp; "-"&amp; FLOOR(Table2_1[[#This Row],[Age]],15)+14</f>
        <v>15-29</v>
      </c>
    </row>
    <row r="113" spans="1:20" x14ac:dyDescent="0.3">
      <c r="A113" s="18">
        <v>45313</v>
      </c>
      <c r="B113" s="17" t="s">
        <v>1044</v>
      </c>
      <c r="C113" s="17" t="s">
        <v>78</v>
      </c>
      <c r="D113" s="18">
        <v>26317</v>
      </c>
      <c r="E113" s="16" t="s">
        <v>68</v>
      </c>
      <c r="F113" s="31">
        <v>381</v>
      </c>
      <c r="G113" s="17" t="s">
        <v>21</v>
      </c>
      <c r="H113" s="17" t="s">
        <v>28</v>
      </c>
      <c r="I113" s="17" t="s">
        <v>29</v>
      </c>
      <c r="J113" s="27">
        <v>0.1</v>
      </c>
      <c r="K113" s="17" t="s">
        <v>934</v>
      </c>
      <c r="L113" s="32">
        <v>10</v>
      </c>
      <c r="M113" s="32">
        <f>_xlfn.XLOOKUP(Table2_1[[#This Row],[Product Code]],Product_Code,Unit_Price,0)</f>
        <v>45</v>
      </c>
      <c r="N113" s="31">
        <f>DATEDIF(Table2_1[[#This Row],[Buyer Date of Birth]],Table2_1[[#This Row],[Transaction  Date]],"Y")</f>
        <v>52</v>
      </c>
      <c r="O113" s="33">
        <v>3810</v>
      </c>
      <c r="P113" s="33">
        <f>Table2_1[[#This Row],[Quantity Purchased]]*Table2_1[[#This Row],[UnitPrice]]*(1-Table2_1[[#This Row],[Discount]])</f>
        <v>15430.5</v>
      </c>
      <c r="Q113" s="33">
        <f>Table2_1[[#This Row],[Revenue]]-Table2_1[[#This Row],[COGS]]</f>
        <v>11620.5</v>
      </c>
      <c r="R113" s="39">
        <f>WEEKDAY(Table2_1[[#This Row],[Transaction  Date]])</f>
        <v>2</v>
      </c>
      <c r="S113" s="17" t="str">
        <f>IF(WEEKDAY(Table2_1[[#This Row],[Transaction  Date]],2)&lt;=5,"Weekday","Weekend")</f>
        <v>Weekday</v>
      </c>
      <c r="T113" s="37" t="str">
        <f>FLOOR(Table2_1[[#This Row],[Age]],15)&amp; "-"&amp; FLOOR(Table2_1[[#This Row],[Age]],15)+14</f>
        <v>45-59</v>
      </c>
    </row>
    <row r="114" spans="1:20" x14ac:dyDescent="0.3">
      <c r="A114" s="18">
        <v>45313</v>
      </c>
      <c r="B114" s="17" t="s">
        <v>1045</v>
      </c>
      <c r="C114" s="17" t="s">
        <v>71</v>
      </c>
      <c r="D114" s="18">
        <v>30661</v>
      </c>
      <c r="E114" s="16" t="s">
        <v>14</v>
      </c>
      <c r="F114" s="31">
        <v>286</v>
      </c>
      <c r="G114" s="17" t="s">
        <v>59</v>
      </c>
      <c r="H114" s="17" t="s">
        <v>48</v>
      </c>
      <c r="I114" s="17" t="s">
        <v>17</v>
      </c>
      <c r="J114" s="27">
        <v>0.1</v>
      </c>
      <c r="K114" s="17" t="s">
        <v>932</v>
      </c>
      <c r="L114" s="32">
        <v>19</v>
      </c>
      <c r="M114" s="32">
        <f>_xlfn.XLOOKUP(Table2_1[[#This Row],[Product Code]],Product_Code,Unit_Price,0)</f>
        <v>23</v>
      </c>
      <c r="N114" s="31">
        <f>DATEDIF(Table2_1[[#This Row],[Buyer Date of Birth]],Table2_1[[#This Row],[Transaction  Date]],"Y")</f>
        <v>40</v>
      </c>
      <c r="O114" s="33">
        <v>5434</v>
      </c>
      <c r="P114" s="33">
        <f>Table2_1[[#This Row],[Quantity Purchased]]*Table2_1[[#This Row],[UnitPrice]]*(1-Table2_1[[#This Row],[Discount]])</f>
        <v>5920.2</v>
      </c>
      <c r="Q114" s="33">
        <f>Table2_1[[#This Row],[Revenue]]-Table2_1[[#This Row],[COGS]]</f>
        <v>486.19999999999982</v>
      </c>
      <c r="R114" s="39">
        <f>WEEKDAY(Table2_1[[#This Row],[Transaction  Date]])</f>
        <v>2</v>
      </c>
      <c r="S114" s="17" t="str">
        <f>IF(WEEKDAY(Table2_1[[#This Row],[Transaction  Date]],2)&lt;=5,"Weekday","Weekend")</f>
        <v>Weekday</v>
      </c>
      <c r="T114" s="37" t="str">
        <f>FLOOR(Table2_1[[#This Row],[Age]],15)&amp; "-"&amp; FLOOR(Table2_1[[#This Row],[Age]],15)+14</f>
        <v>30-44</v>
      </c>
    </row>
    <row r="115" spans="1:20" x14ac:dyDescent="0.3">
      <c r="A115" s="18">
        <v>45313</v>
      </c>
      <c r="B115" s="17" t="s">
        <v>1046</v>
      </c>
      <c r="C115" s="17" t="s">
        <v>46</v>
      </c>
      <c r="D115" s="18">
        <v>17578</v>
      </c>
      <c r="E115" s="16" t="s">
        <v>33</v>
      </c>
      <c r="F115" s="31">
        <v>172</v>
      </c>
      <c r="G115" s="17" t="s">
        <v>64</v>
      </c>
      <c r="H115" s="17" t="s">
        <v>28</v>
      </c>
      <c r="I115" s="17" t="s">
        <v>17</v>
      </c>
      <c r="J115" s="27">
        <v>0.1</v>
      </c>
      <c r="K115" s="17" t="s">
        <v>933</v>
      </c>
      <c r="L115" s="32">
        <v>5</v>
      </c>
      <c r="M115" s="32">
        <f>_xlfn.XLOOKUP(Table2_1[[#This Row],[Product Code]],Product_Code,Unit_Price,0)</f>
        <v>7</v>
      </c>
      <c r="N115" s="31">
        <f>DATEDIF(Table2_1[[#This Row],[Buyer Date of Birth]],Table2_1[[#This Row],[Transaction  Date]],"Y")</f>
        <v>75</v>
      </c>
      <c r="O115" s="33">
        <v>860</v>
      </c>
      <c r="P115" s="33">
        <f>Table2_1[[#This Row],[Quantity Purchased]]*Table2_1[[#This Row],[UnitPrice]]*(1-Table2_1[[#This Row],[Discount]])</f>
        <v>1083.6000000000001</v>
      </c>
      <c r="Q115" s="33">
        <f>Table2_1[[#This Row],[Revenue]]-Table2_1[[#This Row],[COGS]]</f>
        <v>223.60000000000014</v>
      </c>
      <c r="R115" s="39">
        <f>WEEKDAY(Table2_1[[#This Row],[Transaction  Date]])</f>
        <v>2</v>
      </c>
      <c r="S115" s="17" t="str">
        <f>IF(WEEKDAY(Table2_1[[#This Row],[Transaction  Date]],2)&lt;=5,"Weekday","Weekend")</f>
        <v>Weekday</v>
      </c>
      <c r="T115" s="37" t="str">
        <f>FLOOR(Table2_1[[#This Row],[Age]],15)&amp; "-"&amp; FLOOR(Table2_1[[#This Row],[Age]],15)+14</f>
        <v>75-89</v>
      </c>
    </row>
    <row r="116" spans="1:20" x14ac:dyDescent="0.3">
      <c r="A116" s="18">
        <v>45313</v>
      </c>
      <c r="B116" s="17" t="s">
        <v>1047</v>
      </c>
      <c r="C116" s="17" t="s">
        <v>32</v>
      </c>
      <c r="D116" s="18">
        <v>18373</v>
      </c>
      <c r="E116" s="16" t="s">
        <v>68</v>
      </c>
      <c r="F116" s="31">
        <v>477</v>
      </c>
      <c r="G116" s="17" t="s">
        <v>47</v>
      </c>
      <c r="H116" s="17" t="s">
        <v>43</v>
      </c>
      <c r="I116" s="17" t="s">
        <v>17</v>
      </c>
      <c r="J116" s="27">
        <v>0.1</v>
      </c>
      <c r="K116" s="17" t="s">
        <v>931</v>
      </c>
      <c r="L116" s="32">
        <v>7</v>
      </c>
      <c r="M116" s="32">
        <f>_xlfn.XLOOKUP(Table2_1[[#This Row],[Product Code]],Product_Code,Unit_Price,0)</f>
        <v>9</v>
      </c>
      <c r="N116" s="31">
        <f>DATEDIF(Table2_1[[#This Row],[Buyer Date of Birth]],Table2_1[[#This Row],[Transaction  Date]],"Y")</f>
        <v>73</v>
      </c>
      <c r="O116" s="33">
        <v>3339</v>
      </c>
      <c r="P116" s="33">
        <f>Table2_1[[#This Row],[Quantity Purchased]]*Table2_1[[#This Row],[UnitPrice]]*(1-Table2_1[[#This Row],[Discount]])</f>
        <v>3863.7000000000003</v>
      </c>
      <c r="Q116" s="33">
        <f>Table2_1[[#This Row],[Revenue]]-Table2_1[[#This Row],[COGS]]</f>
        <v>524.70000000000027</v>
      </c>
      <c r="R116" s="39">
        <f>WEEKDAY(Table2_1[[#This Row],[Transaction  Date]])</f>
        <v>2</v>
      </c>
      <c r="S116" s="17" t="str">
        <f>IF(WEEKDAY(Table2_1[[#This Row],[Transaction  Date]],2)&lt;=5,"Weekday","Weekend")</f>
        <v>Weekday</v>
      </c>
      <c r="T116" s="37" t="str">
        <f>FLOOR(Table2_1[[#This Row],[Age]],15)&amp; "-"&amp; FLOOR(Table2_1[[#This Row],[Age]],15)+14</f>
        <v>60-74</v>
      </c>
    </row>
    <row r="117" spans="1:20" x14ac:dyDescent="0.3">
      <c r="A117" s="18">
        <v>45314</v>
      </c>
      <c r="B117" s="17" t="s">
        <v>1048</v>
      </c>
      <c r="C117" s="17" t="s">
        <v>51</v>
      </c>
      <c r="D117" s="18">
        <v>20223</v>
      </c>
      <c r="E117" s="16" t="s">
        <v>33</v>
      </c>
      <c r="F117" s="31">
        <v>243</v>
      </c>
      <c r="G117" s="17" t="s">
        <v>59</v>
      </c>
      <c r="H117" s="17" t="s">
        <v>52</v>
      </c>
      <c r="I117" s="17" t="s">
        <v>17</v>
      </c>
      <c r="J117" s="27">
        <v>0.1</v>
      </c>
      <c r="K117" s="17" t="s">
        <v>932</v>
      </c>
      <c r="L117" s="32">
        <v>19</v>
      </c>
      <c r="M117" s="32">
        <f>_xlfn.XLOOKUP(Table2_1[[#This Row],[Product Code]],Product_Code,Unit_Price,0)</f>
        <v>23</v>
      </c>
      <c r="N117" s="31">
        <f>DATEDIF(Table2_1[[#This Row],[Buyer Date of Birth]],Table2_1[[#This Row],[Transaction  Date]],"Y")</f>
        <v>68</v>
      </c>
      <c r="O117" s="33">
        <v>4617</v>
      </c>
      <c r="P117" s="33">
        <f>Table2_1[[#This Row],[Quantity Purchased]]*Table2_1[[#This Row],[UnitPrice]]*(1-Table2_1[[#This Row],[Discount]])</f>
        <v>5030.1000000000004</v>
      </c>
      <c r="Q117" s="33">
        <f>Table2_1[[#This Row],[Revenue]]-Table2_1[[#This Row],[COGS]]</f>
        <v>413.10000000000036</v>
      </c>
      <c r="R117" s="39">
        <f>WEEKDAY(Table2_1[[#This Row],[Transaction  Date]])</f>
        <v>3</v>
      </c>
      <c r="S117" s="17" t="str">
        <f>IF(WEEKDAY(Table2_1[[#This Row],[Transaction  Date]],2)&lt;=5,"Weekday","Weekend")</f>
        <v>Weekday</v>
      </c>
      <c r="T117" s="37" t="str">
        <f>FLOOR(Table2_1[[#This Row],[Age]],15)&amp; "-"&amp; FLOOR(Table2_1[[#This Row],[Age]],15)+14</f>
        <v>60-74</v>
      </c>
    </row>
    <row r="118" spans="1:20" x14ac:dyDescent="0.3">
      <c r="A118" s="18">
        <v>45314</v>
      </c>
      <c r="B118" s="17" t="s">
        <v>1049</v>
      </c>
      <c r="C118" s="17" t="s">
        <v>51</v>
      </c>
      <c r="D118" s="18">
        <v>33439</v>
      </c>
      <c r="E118" s="16" t="s">
        <v>33</v>
      </c>
      <c r="F118" s="31">
        <v>35</v>
      </c>
      <c r="G118" s="17" t="s">
        <v>56</v>
      </c>
      <c r="H118" s="17" t="s">
        <v>48</v>
      </c>
      <c r="I118" s="17" t="s">
        <v>17</v>
      </c>
      <c r="J118" s="27">
        <v>0.1</v>
      </c>
      <c r="K118" s="17" t="s">
        <v>935</v>
      </c>
      <c r="L118" s="32">
        <v>18</v>
      </c>
      <c r="M118" s="32">
        <f>_xlfn.XLOOKUP(Table2_1[[#This Row],[Product Code]],Product_Code,Unit_Price,0)</f>
        <v>36</v>
      </c>
      <c r="N118" s="31">
        <f>DATEDIF(Table2_1[[#This Row],[Buyer Date of Birth]],Table2_1[[#This Row],[Transaction  Date]],"Y")</f>
        <v>32</v>
      </c>
      <c r="O118" s="33">
        <v>630</v>
      </c>
      <c r="P118" s="33">
        <f>Table2_1[[#This Row],[Quantity Purchased]]*Table2_1[[#This Row],[UnitPrice]]*(1-Table2_1[[#This Row],[Discount]])</f>
        <v>1134</v>
      </c>
      <c r="Q118" s="33">
        <f>Table2_1[[#This Row],[Revenue]]-Table2_1[[#This Row],[COGS]]</f>
        <v>504</v>
      </c>
      <c r="R118" s="39">
        <f>WEEKDAY(Table2_1[[#This Row],[Transaction  Date]])</f>
        <v>3</v>
      </c>
      <c r="S118" s="17" t="str">
        <f>IF(WEEKDAY(Table2_1[[#This Row],[Transaction  Date]],2)&lt;=5,"Weekday","Weekend")</f>
        <v>Weekday</v>
      </c>
      <c r="T118" s="37" t="str">
        <f>FLOOR(Table2_1[[#This Row],[Age]],15)&amp; "-"&amp; FLOOR(Table2_1[[#This Row],[Age]],15)+14</f>
        <v>30-44</v>
      </c>
    </row>
    <row r="119" spans="1:20" x14ac:dyDescent="0.3">
      <c r="A119" s="18">
        <v>45314</v>
      </c>
      <c r="B119" s="17" t="s">
        <v>1050</v>
      </c>
      <c r="C119" s="17" t="s">
        <v>71</v>
      </c>
      <c r="D119" s="18">
        <v>16894</v>
      </c>
      <c r="E119" s="16" t="s">
        <v>14</v>
      </c>
      <c r="F119" s="31">
        <v>255</v>
      </c>
      <c r="G119" s="17" t="s">
        <v>64</v>
      </c>
      <c r="H119" s="17" t="s">
        <v>48</v>
      </c>
      <c r="I119" s="17" t="s">
        <v>17</v>
      </c>
      <c r="J119" s="27">
        <v>0.1</v>
      </c>
      <c r="K119" s="17" t="s">
        <v>933</v>
      </c>
      <c r="L119" s="32">
        <v>5</v>
      </c>
      <c r="M119" s="32">
        <f>_xlfn.XLOOKUP(Table2_1[[#This Row],[Product Code]],Product_Code,Unit_Price,0)</f>
        <v>7</v>
      </c>
      <c r="N119" s="31">
        <f>DATEDIF(Table2_1[[#This Row],[Buyer Date of Birth]],Table2_1[[#This Row],[Transaction  Date]],"Y")</f>
        <v>77</v>
      </c>
      <c r="O119" s="33">
        <v>1275</v>
      </c>
      <c r="P119" s="33">
        <f>Table2_1[[#This Row],[Quantity Purchased]]*Table2_1[[#This Row],[UnitPrice]]*(1-Table2_1[[#This Row],[Discount]])</f>
        <v>1606.5</v>
      </c>
      <c r="Q119" s="33">
        <f>Table2_1[[#This Row],[Revenue]]-Table2_1[[#This Row],[COGS]]</f>
        <v>331.5</v>
      </c>
      <c r="R119" s="39">
        <f>WEEKDAY(Table2_1[[#This Row],[Transaction  Date]])</f>
        <v>3</v>
      </c>
      <c r="S119" s="17" t="str">
        <f>IF(WEEKDAY(Table2_1[[#This Row],[Transaction  Date]],2)&lt;=5,"Weekday","Weekend")</f>
        <v>Weekday</v>
      </c>
      <c r="T119" s="37" t="str">
        <f>FLOOR(Table2_1[[#This Row],[Age]],15)&amp; "-"&amp; FLOOR(Table2_1[[#This Row],[Age]],15)+14</f>
        <v>75-89</v>
      </c>
    </row>
    <row r="120" spans="1:20" x14ac:dyDescent="0.3">
      <c r="A120" s="18">
        <v>45314</v>
      </c>
      <c r="B120" s="17" t="s">
        <v>1051</v>
      </c>
      <c r="C120" s="17" t="s">
        <v>83</v>
      </c>
      <c r="D120" s="18">
        <v>18413</v>
      </c>
      <c r="E120" s="16" t="s">
        <v>14</v>
      </c>
      <c r="F120" s="31">
        <v>257</v>
      </c>
      <c r="G120" s="17" t="s">
        <v>42</v>
      </c>
      <c r="H120" s="17" t="s">
        <v>48</v>
      </c>
      <c r="I120" s="17" t="s">
        <v>17</v>
      </c>
      <c r="J120" s="27">
        <v>0.1</v>
      </c>
      <c r="K120" s="17" t="s">
        <v>926</v>
      </c>
      <c r="L120" s="32">
        <v>10</v>
      </c>
      <c r="M120" s="32">
        <f>_xlfn.XLOOKUP(Table2_1[[#This Row],[Product Code]],Product_Code,Unit_Price,0)</f>
        <v>11</v>
      </c>
      <c r="N120" s="31">
        <f>DATEDIF(Table2_1[[#This Row],[Buyer Date of Birth]],Table2_1[[#This Row],[Transaction  Date]],"Y")</f>
        <v>73</v>
      </c>
      <c r="O120" s="33">
        <v>2570</v>
      </c>
      <c r="P120" s="33">
        <f>Table2_1[[#This Row],[Quantity Purchased]]*Table2_1[[#This Row],[UnitPrice]]*(1-Table2_1[[#This Row],[Discount]])</f>
        <v>2544.3000000000002</v>
      </c>
      <c r="Q120" s="33">
        <f>Table2_1[[#This Row],[Revenue]]-Table2_1[[#This Row],[COGS]]</f>
        <v>-25.699999999999818</v>
      </c>
      <c r="R120" s="39">
        <f>WEEKDAY(Table2_1[[#This Row],[Transaction  Date]])</f>
        <v>3</v>
      </c>
      <c r="S120" s="17" t="str">
        <f>IF(WEEKDAY(Table2_1[[#This Row],[Transaction  Date]],2)&lt;=5,"Weekday","Weekend")</f>
        <v>Weekday</v>
      </c>
      <c r="T120" s="37" t="str">
        <f>FLOOR(Table2_1[[#This Row],[Age]],15)&amp; "-"&amp; FLOOR(Table2_1[[#This Row],[Age]],15)+14</f>
        <v>60-74</v>
      </c>
    </row>
    <row r="121" spans="1:20" x14ac:dyDescent="0.3">
      <c r="A121" s="18">
        <v>45315</v>
      </c>
      <c r="B121" s="17" t="s">
        <v>1027</v>
      </c>
      <c r="C121" s="17" t="s">
        <v>38</v>
      </c>
      <c r="D121" s="18">
        <v>35938</v>
      </c>
      <c r="E121" s="16" t="s">
        <v>20</v>
      </c>
      <c r="F121" s="31">
        <v>337</v>
      </c>
      <c r="G121" s="17" t="s">
        <v>15</v>
      </c>
      <c r="H121" s="17" t="s">
        <v>48</v>
      </c>
      <c r="I121" s="17" t="s">
        <v>23</v>
      </c>
      <c r="J121" s="27">
        <v>0.1</v>
      </c>
      <c r="K121" s="17" t="s">
        <v>929</v>
      </c>
      <c r="L121" s="32">
        <v>10</v>
      </c>
      <c r="M121" s="32">
        <f>_xlfn.XLOOKUP(Table2_1[[#This Row],[Product Code]],Product_Code,Unit_Price,0)</f>
        <v>14</v>
      </c>
      <c r="N121" s="31">
        <f>DATEDIF(Table2_1[[#This Row],[Buyer Date of Birth]],Table2_1[[#This Row],[Transaction  Date]],"Y")</f>
        <v>25</v>
      </c>
      <c r="O121" s="33">
        <v>3370</v>
      </c>
      <c r="P121" s="33">
        <f>Table2_1[[#This Row],[Quantity Purchased]]*Table2_1[[#This Row],[UnitPrice]]*(1-Table2_1[[#This Row],[Discount]])</f>
        <v>4246.2</v>
      </c>
      <c r="Q121" s="33">
        <f>Table2_1[[#This Row],[Revenue]]-Table2_1[[#This Row],[COGS]]</f>
        <v>876.19999999999982</v>
      </c>
      <c r="R121" s="39">
        <f>WEEKDAY(Table2_1[[#This Row],[Transaction  Date]])</f>
        <v>4</v>
      </c>
      <c r="S121" s="17" t="str">
        <f>IF(WEEKDAY(Table2_1[[#This Row],[Transaction  Date]],2)&lt;=5,"Weekday","Weekend")</f>
        <v>Weekday</v>
      </c>
      <c r="T121" s="37" t="str">
        <f>FLOOR(Table2_1[[#This Row],[Age]],15)&amp; "-"&amp; FLOOR(Table2_1[[#This Row],[Age]],15)+14</f>
        <v>15-29</v>
      </c>
    </row>
    <row r="122" spans="1:20" x14ac:dyDescent="0.3">
      <c r="A122" s="18">
        <v>45315</v>
      </c>
      <c r="B122" s="17" t="s">
        <v>1052</v>
      </c>
      <c r="C122" s="17" t="s">
        <v>83</v>
      </c>
      <c r="D122" s="18">
        <v>36190</v>
      </c>
      <c r="E122" s="16" t="s">
        <v>68</v>
      </c>
      <c r="F122" s="31">
        <v>150</v>
      </c>
      <c r="G122" s="17" t="s">
        <v>65</v>
      </c>
      <c r="H122" s="17" t="s">
        <v>48</v>
      </c>
      <c r="I122" s="17" t="s">
        <v>29</v>
      </c>
      <c r="J122" s="27">
        <v>0.1</v>
      </c>
      <c r="K122" s="17" t="s">
        <v>928</v>
      </c>
      <c r="L122" s="32">
        <v>3</v>
      </c>
      <c r="M122" s="32">
        <f>_xlfn.XLOOKUP(Table2_1[[#This Row],[Product Code]],Product_Code,Unit_Price,0)</f>
        <v>5</v>
      </c>
      <c r="N122" s="31">
        <f>DATEDIF(Table2_1[[#This Row],[Buyer Date of Birth]],Table2_1[[#This Row],[Transaction  Date]],"Y")</f>
        <v>24</v>
      </c>
      <c r="O122" s="33">
        <v>450</v>
      </c>
      <c r="P122" s="33">
        <f>Table2_1[[#This Row],[Quantity Purchased]]*Table2_1[[#This Row],[UnitPrice]]*(1-Table2_1[[#This Row],[Discount]])</f>
        <v>675</v>
      </c>
      <c r="Q122" s="33">
        <f>Table2_1[[#This Row],[Revenue]]-Table2_1[[#This Row],[COGS]]</f>
        <v>225</v>
      </c>
      <c r="R122" s="39">
        <f>WEEKDAY(Table2_1[[#This Row],[Transaction  Date]])</f>
        <v>4</v>
      </c>
      <c r="S122" s="17" t="str">
        <f>IF(WEEKDAY(Table2_1[[#This Row],[Transaction  Date]],2)&lt;=5,"Weekday","Weekend")</f>
        <v>Weekday</v>
      </c>
      <c r="T122" s="37" t="str">
        <f>FLOOR(Table2_1[[#This Row],[Age]],15)&amp; "-"&amp; FLOOR(Table2_1[[#This Row],[Age]],15)+14</f>
        <v>15-29</v>
      </c>
    </row>
    <row r="123" spans="1:20" x14ac:dyDescent="0.3">
      <c r="A123" s="18">
        <v>45315</v>
      </c>
      <c r="B123" s="17" t="s">
        <v>1053</v>
      </c>
      <c r="C123" s="17" t="s">
        <v>51</v>
      </c>
      <c r="D123" s="18">
        <v>16133</v>
      </c>
      <c r="E123" s="16" t="s">
        <v>68</v>
      </c>
      <c r="F123" s="31">
        <v>303</v>
      </c>
      <c r="G123" s="17" t="s">
        <v>47</v>
      </c>
      <c r="H123" s="17" t="s">
        <v>28</v>
      </c>
      <c r="I123" s="17" t="s">
        <v>17</v>
      </c>
      <c r="J123" s="27">
        <v>0.1</v>
      </c>
      <c r="K123" s="17" t="s">
        <v>931</v>
      </c>
      <c r="L123" s="32">
        <v>7</v>
      </c>
      <c r="M123" s="32">
        <f>_xlfn.XLOOKUP(Table2_1[[#This Row],[Product Code]],Product_Code,Unit_Price,0)</f>
        <v>9</v>
      </c>
      <c r="N123" s="31">
        <f>DATEDIF(Table2_1[[#This Row],[Buyer Date of Birth]],Table2_1[[#This Row],[Transaction  Date]],"Y")</f>
        <v>79</v>
      </c>
      <c r="O123" s="33">
        <v>2121</v>
      </c>
      <c r="P123" s="33">
        <f>Table2_1[[#This Row],[Quantity Purchased]]*Table2_1[[#This Row],[UnitPrice]]*(1-Table2_1[[#This Row],[Discount]])</f>
        <v>2454.3000000000002</v>
      </c>
      <c r="Q123" s="33">
        <f>Table2_1[[#This Row],[Revenue]]-Table2_1[[#This Row],[COGS]]</f>
        <v>333.30000000000018</v>
      </c>
      <c r="R123" s="39">
        <f>WEEKDAY(Table2_1[[#This Row],[Transaction  Date]])</f>
        <v>4</v>
      </c>
      <c r="S123" s="17" t="str">
        <f>IF(WEEKDAY(Table2_1[[#This Row],[Transaction  Date]],2)&lt;=5,"Weekday","Weekend")</f>
        <v>Weekday</v>
      </c>
      <c r="T123" s="37" t="str">
        <f>FLOOR(Table2_1[[#This Row],[Age]],15)&amp; "-"&amp; FLOOR(Table2_1[[#This Row],[Age]],15)+14</f>
        <v>75-89</v>
      </c>
    </row>
    <row r="124" spans="1:20" x14ac:dyDescent="0.3">
      <c r="A124" s="18">
        <v>45315</v>
      </c>
      <c r="B124" s="17" t="s">
        <v>1054</v>
      </c>
      <c r="C124" s="17" t="s">
        <v>71</v>
      </c>
      <c r="D124" s="18">
        <v>21945</v>
      </c>
      <c r="E124" s="16" t="s">
        <v>68</v>
      </c>
      <c r="F124" s="31">
        <v>227</v>
      </c>
      <c r="G124" s="17" t="s">
        <v>47</v>
      </c>
      <c r="H124" s="17" t="s">
        <v>28</v>
      </c>
      <c r="I124" s="17" t="s">
        <v>17</v>
      </c>
      <c r="J124" s="27">
        <v>0.1</v>
      </c>
      <c r="K124" s="17" t="s">
        <v>931</v>
      </c>
      <c r="L124" s="32">
        <v>7</v>
      </c>
      <c r="M124" s="32">
        <f>_xlfn.XLOOKUP(Table2_1[[#This Row],[Product Code]],Product_Code,Unit_Price,0)</f>
        <v>9</v>
      </c>
      <c r="N124" s="31">
        <f>DATEDIF(Table2_1[[#This Row],[Buyer Date of Birth]],Table2_1[[#This Row],[Transaction  Date]],"Y")</f>
        <v>63</v>
      </c>
      <c r="O124" s="33">
        <v>1589</v>
      </c>
      <c r="P124" s="33">
        <f>Table2_1[[#This Row],[Quantity Purchased]]*Table2_1[[#This Row],[UnitPrice]]*(1-Table2_1[[#This Row],[Discount]])</f>
        <v>1838.7</v>
      </c>
      <c r="Q124" s="33">
        <f>Table2_1[[#This Row],[Revenue]]-Table2_1[[#This Row],[COGS]]</f>
        <v>249.70000000000005</v>
      </c>
      <c r="R124" s="39">
        <f>WEEKDAY(Table2_1[[#This Row],[Transaction  Date]])</f>
        <v>4</v>
      </c>
      <c r="S124" s="17" t="str">
        <f>IF(WEEKDAY(Table2_1[[#This Row],[Transaction  Date]],2)&lt;=5,"Weekday","Weekend")</f>
        <v>Weekday</v>
      </c>
      <c r="T124" s="37" t="str">
        <f>FLOOR(Table2_1[[#This Row],[Age]],15)&amp; "-"&amp; FLOOR(Table2_1[[#This Row],[Age]],15)+14</f>
        <v>60-74</v>
      </c>
    </row>
    <row r="125" spans="1:20" x14ac:dyDescent="0.3">
      <c r="A125" s="18">
        <v>45315</v>
      </c>
      <c r="B125" s="17" t="s">
        <v>1835</v>
      </c>
      <c r="C125" s="17" t="s">
        <v>46</v>
      </c>
      <c r="D125" s="18">
        <v>37440</v>
      </c>
      <c r="E125" s="16" t="s">
        <v>14</v>
      </c>
      <c r="F125" s="31">
        <v>83</v>
      </c>
      <c r="G125" s="17" t="s">
        <v>47</v>
      </c>
      <c r="H125" s="17" t="s">
        <v>52</v>
      </c>
      <c r="I125" s="17" t="s">
        <v>17</v>
      </c>
      <c r="J125" s="27">
        <v>0.1</v>
      </c>
      <c r="K125" s="17" t="s">
        <v>931</v>
      </c>
      <c r="L125" s="32">
        <v>7</v>
      </c>
      <c r="M125" s="32">
        <f>_xlfn.XLOOKUP(Table2_1[[#This Row],[Product Code]],Product_Code,Unit_Price,0)</f>
        <v>9</v>
      </c>
      <c r="N125" s="31">
        <f>DATEDIF(Table2_1[[#This Row],[Buyer Date of Birth]],Table2_1[[#This Row],[Transaction  Date]],"Y")</f>
        <v>21</v>
      </c>
      <c r="O125" s="33">
        <v>581</v>
      </c>
      <c r="P125" s="33">
        <f>Table2_1[[#This Row],[Quantity Purchased]]*Table2_1[[#This Row],[UnitPrice]]*(1-Table2_1[[#This Row],[Discount]])</f>
        <v>672.30000000000007</v>
      </c>
      <c r="Q125" s="33">
        <f>Table2_1[[#This Row],[Revenue]]-Table2_1[[#This Row],[COGS]]</f>
        <v>91.300000000000068</v>
      </c>
      <c r="R125" s="39">
        <f>WEEKDAY(Table2_1[[#This Row],[Transaction  Date]])</f>
        <v>4</v>
      </c>
      <c r="S125" s="17" t="str">
        <f>IF(WEEKDAY(Table2_1[[#This Row],[Transaction  Date]],2)&lt;=5,"Weekday","Weekend")</f>
        <v>Weekday</v>
      </c>
      <c r="T125" s="37" t="str">
        <f>FLOOR(Table2_1[[#This Row],[Age]],15)&amp; "-"&amp; FLOOR(Table2_1[[#This Row],[Age]],15)+14</f>
        <v>15-29</v>
      </c>
    </row>
    <row r="126" spans="1:20" x14ac:dyDescent="0.3">
      <c r="A126" s="18">
        <v>45316</v>
      </c>
      <c r="B126" s="17" t="s">
        <v>1055</v>
      </c>
      <c r="C126" s="17" t="s">
        <v>71</v>
      </c>
      <c r="D126" s="18">
        <v>21296</v>
      </c>
      <c r="E126" s="16" t="s">
        <v>33</v>
      </c>
      <c r="F126" s="31">
        <v>447</v>
      </c>
      <c r="G126" s="17" t="s">
        <v>34</v>
      </c>
      <c r="H126" s="17" t="s">
        <v>52</v>
      </c>
      <c r="I126" s="17" t="s">
        <v>17</v>
      </c>
      <c r="J126" s="27">
        <v>0.1</v>
      </c>
      <c r="K126" s="17" t="s">
        <v>930</v>
      </c>
      <c r="L126" s="32">
        <v>14</v>
      </c>
      <c r="M126" s="32">
        <f>_xlfn.XLOOKUP(Table2_1[[#This Row],[Product Code]],Product_Code,Unit_Price,0)</f>
        <v>28</v>
      </c>
      <c r="N126" s="31">
        <f>DATEDIF(Table2_1[[#This Row],[Buyer Date of Birth]],Table2_1[[#This Row],[Transaction  Date]],"Y")</f>
        <v>65</v>
      </c>
      <c r="O126" s="33">
        <v>6258</v>
      </c>
      <c r="P126" s="33">
        <f>Table2_1[[#This Row],[Quantity Purchased]]*Table2_1[[#This Row],[UnitPrice]]*(1-Table2_1[[#This Row],[Discount]])</f>
        <v>11264.4</v>
      </c>
      <c r="Q126" s="33">
        <f>Table2_1[[#This Row],[Revenue]]-Table2_1[[#This Row],[COGS]]</f>
        <v>5006.3999999999996</v>
      </c>
      <c r="R126" s="39">
        <f>WEEKDAY(Table2_1[[#This Row],[Transaction  Date]])</f>
        <v>5</v>
      </c>
      <c r="S126" s="17" t="str">
        <f>IF(WEEKDAY(Table2_1[[#This Row],[Transaction  Date]],2)&lt;=5,"Weekday","Weekend")</f>
        <v>Weekday</v>
      </c>
      <c r="T126" s="37" t="str">
        <f>FLOOR(Table2_1[[#This Row],[Age]],15)&amp; "-"&amp; FLOOR(Table2_1[[#This Row],[Age]],15)+14</f>
        <v>60-74</v>
      </c>
    </row>
    <row r="127" spans="1:20" x14ac:dyDescent="0.3">
      <c r="A127" s="18">
        <v>45316</v>
      </c>
      <c r="B127" s="17" t="s">
        <v>1056</v>
      </c>
      <c r="C127" s="17" t="s">
        <v>55</v>
      </c>
      <c r="D127" s="18">
        <v>33960</v>
      </c>
      <c r="E127" s="16" t="s">
        <v>20</v>
      </c>
      <c r="F127" s="31">
        <v>230</v>
      </c>
      <c r="G127" s="17" t="s">
        <v>34</v>
      </c>
      <c r="H127" s="17" t="s">
        <v>48</v>
      </c>
      <c r="I127" s="17" t="s">
        <v>17</v>
      </c>
      <c r="J127" s="27">
        <v>0.1</v>
      </c>
      <c r="K127" s="17" t="s">
        <v>930</v>
      </c>
      <c r="L127" s="32">
        <v>14</v>
      </c>
      <c r="M127" s="32">
        <f>_xlfn.XLOOKUP(Table2_1[[#This Row],[Product Code]],Product_Code,Unit_Price,0)</f>
        <v>28</v>
      </c>
      <c r="N127" s="31">
        <f>DATEDIF(Table2_1[[#This Row],[Buyer Date of Birth]],Table2_1[[#This Row],[Transaction  Date]],"Y")</f>
        <v>31</v>
      </c>
      <c r="O127" s="33">
        <v>3220</v>
      </c>
      <c r="P127" s="33">
        <f>Table2_1[[#This Row],[Quantity Purchased]]*Table2_1[[#This Row],[UnitPrice]]*(1-Table2_1[[#This Row],[Discount]])</f>
        <v>5796</v>
      </c>
      <c r="Q127" s="33">
        <f>Table2_1[[#This Row],[Revenue]]-Table2_1[[#This Row],[COGS]]</f>
        <v>2576</v>
      </c>
      <c r="R127" s="39">
        <f>WEEKDAY(Table2_1[[#This Row],[Transaction  Date]])</f>
        <v>5</v>
      </c>
      <c r="S127" s="17" t="str">
        <f>IF(WEEKDAY(Table2_1[[#This Row],[Transaction  Date]],2)&lt;=5,"Weekday","Weekend")</f>
        <v>Weekday</v>
      </c>
      <c r="T127" s="37" t="str">
        <f>FLOOR(Table2_1[[#This Row],[Age]],15)&amp; "-"&amp; FLOOR(Table2_1[[#This Row],[Age]],15)+14</f>
        <v>30-44</v>
      </c>
    </row>
    <row r="128" spans="1:20" x14ac:dyDescent="0.3">
      <c r="A128" s="18">
        <v>45316</v>
      </c>
      <c r="B128" s="17" t="s">
        <v>1057</v>
      </c>
      <c r="C128" s="17" t="s">
        <v>51</v>
      </c>
      <c r="D128" s="18">
        <v>18353</v>
      </c>
      <c r="E128" s="16" t="s">
        <v>20</v>
      </c>
      <c r="F128" s="31">
        <v>195</v>
      </c>
      <c r="G128" s="17" t="s">
        <v>56</v>
      </c>
      <c r="H128" s="17" t="s">
        <v>28</v>
      </c>
      <c r="I128" s="17" t="s">
        <v>17</v>
      </c>
      <c r="J128" s="27">
        <v>0.1</v>
      </c>
      <c r="K128" s="17" t="s">
        <v>935</v>
      </c>
      <c r="L128" s="32">
        <v>18</v>
      </c>
      <c r="M128" s="32">
        <f>_xlfn.XLOOKUP(Table2_1[[#This Row],[Product Code]],Product_Code,Unit_Price,0)</f>
        <v>36</v>
      </c>
      <c r="N128" s="31">
        <f>DATEDIF(Table2_1[[#This Row],[Buyer Date of Birth]],Table2_1[[#This Row],[Transaction  Date]],"Y")</f>
        <v>73</v>
      </c>
      <c r="O128" s="33">
        <v>3510</v>
      </c>
      <c r="P128" s="33">
        <f>Table2_1[[#This Row],[Quantity Purchased]]*Table2_1[[#This Row],[UnitPrice]]*(1-Table2_1[[#This Row],[Discount]])</f>
        <v>6318</v>
      </c>
      <c r="Q128" s="33">
        <f>Table2_1[[#This Row],[Revenue]]-Table2_1[[#This Row],[COGS]]</f>
        <v>2808</v>
      </c>
      <c r="R128" s="39">
        <f>WEEKDAY(Table2_1[[#This Row],[Transaction  Date]])</f>
        <v>5</v>
      </c>
      <c r="S128" s="17" t="str">
        <f>IF(WEEKDAY(Table2_1[[#This Row],[Transaction  Date]],2)&lt;=5,"Weekday","Weekend")</f>
        <v>Weekday</v>
      </c>
      <c r="T128" s="37" t="str">
        <f>FLOOR(Table2_1[[#This Row],[Age]],15)&amp; "-"&amp; FLOOR(Table2_1[[#This Row],[Age]],15)+14</f>
        <v>60-74</v>
      </c>
    </row>
    <row r="129" spans="1:20" x14ac:dyDescent="0.3">
      <c r="A129" s="18">
        <v>45316</v>
      </c>
      <c r="B129" s="17" t="s">
        <v>1058</v>
      </c>
      <c r="C129" s="17" t="s">
        <v>38</v>
      </c>
      <c r="D129" s="18">
        <v>32320</v>
      </c>
      <c r="E129" s="16" t="s">
        <v>68</v>
      </c>
      <c r="F129" s="31">
        <v>191</v>
      </c>
      <c r="G129" s="17" t="s">
        <v>64</v>
      </c>
      <c r="H129" s="17" t="s">
        <v>48</v>
      </c>
      <c r="I129" s="17" t="s">
        <v>17</v>
      </c>
      <c r="J129" s="27">
        <v>0.1</v>
      </c>
      <c r="K129" s="17" t="s">
        <v>933</v>
      </c>
      <c r="L129" s="32">
        <v>5</v>
      </c>
      <c r="M129" s="32">
        <f>_xlfn.XLOOKUP(Table2_1[[#This Row],[Product Code]],Product_Code,Unit_Price,0)</f>
        <v>7</v>
      </c>
      <c r="N129" s="31">
        <f>DATEDIF(Table2_1[[#This Row],[Buyer Date of Birth]],Table2_1[[#This Row],[Transaction  Date]],"Y")</f>
        <v>35</v>
      </c>
      <c r="O129" s="33">
        <v>955</v>
      </c>
      <c r="P129" s="33">
        <f>Table2_1[[#This Row],[Quantity Purchased]]*Table2_1[[#This Row],[UnitPrice]]*(1-Table2_1[[#This Row],[Discount]])</f>
        <v>1203.3</v>
      </c>
      <c r="Q129" s="33">
        <f>Table2_1[[#This Row],[Revenue]]-Table2_1[[#This Row],[COGS]]</f>
        <v>248.29999999999995</v>
      </c>
      <c r="R129" s="39">
        <f>WEEKDAY(Table2_1[[#This Row],[Transaction  Date]])</f>
        <v>5</v>
      </c>
      <c r="S129" s="17" t="str">
        <f>IF(WEEKDAY(Table2_1[[#This Row],[Transaction  Date]],2)&lt;=5,"Weekday","Weekend")</f>
        <v>Weekday</v>
      </c>
      <c r="T129" s="37" t="str">
        <f>FLOOR(Table2_1[[#This Row],[Age]],15)&amp; "-"&amp; FLOOR(Table2_1[[#This Row],[Age]],15)+14</f>
        <v>30-44</v>
      </c>
    </row>
    <row r="130" spans="1:20" x14ac:dyDescent="0.3">
      <c r="A130" s="18">
        <v>45316</v>
      </c>
      <c r="B130" s="17" t="s">
        <v>1059</v>
      </c>
      <c r="C130" s="17" t="s">
        <v>55</v>
      </c>
      <c r="D130" s="18">
        <v>20280</v>
      </c>
      <c r="E130" s="16" t="s">
        <v>68</v>
      </c>
      <c r="F130" s="31">
        <v>216</v>
      </c>
      <c r="G130" s="17" t="s">
        <v>59</v>
      </c>
      <c r="H130" s="17" t="s">
        <v>52</v>
      </c>
      <c r="I130" s="17" t="s">
        <v>17</v>
      </c>
      <c r="J130" s="27">
        <v>0.1</v>
      </c>
      <c r="K130" s="17" t="s">
        <v>932</v>
      </c>
      <c r="L130" s="32">
        <v>19</v>
      </c>
      <c r="M130" s="32">
        <f>_xlfn.XLOOKUP(Table2_1[[#This Row],[Product Code]],Product_Code,Unit_Price,0)</f>
        <v>23</v>
      </c>
      <c r="N130" s="31">
        <f>DATEDIF(Table2_1[[#This Row],[Buyer Date of Birth]],Table2_1[[#This Row],[Transaction  Date]],"Y")</f>
        <v>68</v>
      </c>
      <c r="O130" s="33">
        <v>4104</v>
      </c>
      <c r="P130" s="33">
        <f>Table2_1[[#This Row],[Quantity Purchased]]*Table2_1[[#This Row],[UnitPrice]]*(1-Table2_1[[#This Row],[Discount]])</f>
        <v>4471.2</v>
      </c>
      <c r="Q130" s="33">
        <f>Table2_1[[#This Row],[Revenue]]-Table2_1[[#This Row],[COGS]]</f>
        <v>367.19999999999982</v>
      </c>
      <c r="R130" s="39">
        <f>WEEKDAY(Table2_1[[#This Row],[Transaction  Date]])</f>
        <v>5</v>
      </c>
      <c r="S130" s="17" t="str">
        <f>IF(WEEKDAY(Table2_1[[#This Row],[Transaction  Date]],2)&lt;=5,"Weekday","Weekend")</f>
        <v>Weekday</v>
      </c>
      <c r="T130" s="37" t="str">
        <f>FLOOR(Table2_1[[#This Row],[Age]],15)&amp; "-"&amp; FLOOR(Table2_1[[#This Row],[Age]],15)+14</f>
        <v>60-74</v>
      </c>
    </row>
    <row r="131" spans="1:20" x14ac:dyDescent="0.3">
      <c r="A131" s="18">
        <v>45316</v>
      </c>
      <c r="B131" s="17" t="s">
        <v>1060</v>
      </c>
      <c r="C131" s="17" t="s">
        <v>51</v>
      </c>
      <c r="D131" s="18">
        <v>25943</v>
      </c>
      <c r="E131" s="16" t="s">
        <v>68</v>
      </c>
      <c r="F131" s="31">
        <v>302</v>
      </c>
      <c r="G131" s="17" t="s">
        <v>56</v>
      </c>
      <c r="H131" s="17" t="s">
        <v>48</v>
      </c>
      <c r="I131" s="17" t="s">
        <v>17</v>
      </c>
      <c r="J131" s="27">
        <v>0.1</v>
      </c>
      <c r="K131" s="17" t="s">
        <v>935</v>
      </c>
      <c r="L131" s="32">
        <v>18</v>
      </c>
      <c r="M131" s="32">
        <f>_xlfn.XLOOKUP(Table2_1[[#This Row],[Product Code]],Product_Code,Unit_Price,0)</f>
        <v>36</v>
      </c>
      <c r="N131" s="31">
        <f>DATEDIF(Table2_1[[#This Row],[Buyer Date of Birth]],Table2_1[[#This Row],[Transaction  Date]],"Y")</f>
        <v>53</v>
      </c>
      <c r="O131" s="33">
        <v>5436</v>
      </c>
      <c r="P131" s="33">
        <f>Table2_1[[#This Row],[Quantity Purchased]]*Table2_1[[#This Row],[UnitPrice]]*(1-Table2_1[[#This Row],[Discount]])</f>
        <v>9784.8000000000011</v>
      </c>
      <c r="Q131" s="33">
        <f>Table2_1[[#This Row],[Revenue]]-Table2_1[[#This Row],[COGS]]</f>
        <v>4348.8000000000011</v>
      </c>
      <c r="R131" s="39">
        <f>WEEKDAY(Table2_1[[#This Row],[Transaction  Date]])</f>
        <v>5</v>
      </c>
      <c r="S131" s="17" t="str">
        <f>IF(WEEKDAY(Table2_1[[#This Row],[Transaction  Date]],2)&lt;=5,"Weekday","Weekend")</f>
        <v>Weekday</v>
      </c>
      <c r="T131" s="37" t="str">
        <f>FLOOR(Table2_1[[#This Row],[Age]],15)&amp; "-"&amp; FLOOR(Table2_1[[#This Row],[Age]],15)+14</f>
        <v>45-59</v>
      </c>
    </row>
    <row r="132" spans="1:20" x14ac:dyDescent="0.3">
      <c r="A132" s="18">
        <v>45316</v>
      </c>
      <c r="B132" s="17" t="s">
        <v>1061</v>
      </c>
      <c r="C132" s="17" t="s">
        <v>78</v>
      </c>
      <c r="D132" s="18">
        <v>16695</v>
      </c>
      <c r="E132" s="16" t="s">
        <v>33</v>
      </c>
      <c r="F132" s="31">
        <v>49</v>
      </c>
      <c r="G132" s="17" t="s">
        <v>15</v>
      </c>
      <c r="H132" s="17" t="s">
        <v>52</v>
      </c>
      <c r="I132" s="17" t="s">
        <v>17</v>
      </c>
      <c r="J132" s="27">
        <v>0.1</v>
      </c>
      <c r="K132" s="17" t="s">
        <v>929</v>
      </c>
      <c r="L132" s="32">
        <v>10</v>
      </c>
      <c r="M132" s="32">
        <f>_xlfn.XLOOKUP(Table2_1[[#This Row],[Product Code]],Product_Code,Unit_Price,0)</f>
        <v>14</v>
      </c>
      <c r="N132" s="31">
        <f>DATEDIF(Table2_1[[#This Row],[Buyer Date of Birth]],Table2_1[[#This Row],[Transaction  Date]],"Y")</f>
        <v>78</v>
      </c>
      <c r="O132" s="33">
        <v>490</v>
      </c>
      <c r="P132" s="33">
        <f>Table2_1[[#This Row],[Quantity Purchased]]*Table2_1[[#This Row],[UnitPrice]]*(1-Table2_1[[#This Row],[Discount]])</f>
        <v>617.4</v>
      </c>
      <c r="Q132" s="33">
        <f>Table2_1[[#This Row],[Revenue]]-Table2_1[[#This Row],[COGS]]</f>
        <v>127.39999999999998</v>
      </c>
      <c r="R132" s="39">
        <f>WEEKDAY(Table2_1[[#This Row],[Transaction  Date]])</f>
        <v>5</v>
      </c>
      <c r="S132" s="17" t="str">
        <f>IF(WEEKDAY(Table2_1[[#This Row],[Transaction  Date]],2)&lt;=5,"Weekday","Weekend")</f>
        <v>Weekday</v>
      </c>
      <c r="T132" s="37" t="str">
        <f>FLOOR(Table2_1[[#This Row],[Age]],15)&amp; "-"&amp; FLOOR(Table2_1[[#This Row],[Age]],15)+14</f>
        <v>75-89</v>
      </c>
    </row>
    <row r="133" spans="1:20" x14ac:dyDescent="0.3">
      <c r="A133" s="18">
        <v>45316</v>
      </c>
      <c r="B133" s="17" t="s">
        <v>1062</v>
      </c>
      <c r="C133" s="17" t="s">
        <v>71</v>
      </c>
      <c r="D133" s="18">
        <v>23091</v>
      </c>
      <c r="E133" s="16" t="s">
        <v>68</v>
      </c>
      <c r="F133" s="31">
        <v>138</v>
      </c>
      <c r="G133" s="17" t="s">
        <v>59</v>
      </c>
      <c r="H133" s="17" t="s">
        <v>52</v>
      </c>
      <c r="I133" s="17" t="s">
        <v>17</v>
      </c>
      <c r="J133" s="27">
        <v>0.1</v>
      </c>
      <c r="K133" s="17" t="s">
        <v>932</v>
      </c>
      <c r="L133" s="32">
        <v>19</v>
      </c>
      <c r="M133" s="32">
        <f>_xlfn.XLOOKUP(Table2_1[[#This Row],[Product Code]],Product_Code,Unit_Price,0)</f>
        <v>23</v>
      </c>
      <c r="N133" s="31">
        <f>DATEDIF(Table2_1[[#This Row],[Buyer Date of Birth]],Table2_1[[#This Row],[Transaction  Date]],"Y")</f>
        <v>60</v>
      </c>
      <c r="O133" s="33">
        <v>2622</v>
      </c>
      <c r="P133" s="33">
        <f>Table2_1[[#This Row],[Quantity Purchased]]*Table2_1[[#This Row],[UnitPrice]]*(1-Table2_1[[#This Row],[Discount]])</f>
        <v>2856.6</v>
      </c>
      <c r="Q133" s="33">
        <f>Table2_1[[#This Row],[Revenue]]-Table2_1[[#This Row],[COGS]]</f>
        <v>234.59999999999991</v>
      </c>
      <c r="R133" s="39">
        <f>WEEKDAY(Table2_1[[#This Row],[Transaction  Date]])</f>
        <v>5</v>
      </c>
      <c r="S133" s="17" t="str">
        <f>IF(WEEKDAY(Table2_1[[#This Row],[Transaction  Date]],2)&lt;=5,"Weekday","Weekend")</f>
        <v>Weekday</v>
      </c>
      <c r="T133" s="37" t="str">
        <f>FLOOR(Table2_1[[#This Row],[Age]],15)&amp; "-"&amp; FLOOR(Table2_1[[#This Row],[Age]],15)+14</f>
        <v>60-74</v>
      </c>
    </row>
    <row r="134" spans="1:20" x14ac:dyDescent="0.3">
      <c r="A134" s="18">
        <v>45316</v>
      </c>
      <c r="B134" s="17" t="s">
        <v>1063</v>
      </c>
      <c r="C134" s="17" t="s">
        <v>32</v>
      </c>
      <c r="D134" s="18">
        <v>20999</v>
      </c>
      <c r="E134" s="16" t="s">
        <v>14</v>
      </c>
      <c r="F134" s="31">
        <v>119</v>
      </c>
      <c r="G134" s="17" t="s">
        <v>64</v>
      </c>
      <c r="H134" s="17" t="s">
        <v>52</v>
      </c>
      <c r="I134" s="17" t="s">
        <v>17</v>
      </c>
      <c r="J134" s="27">
        <v>0.1</v>
      </c>
      <c r="K134" s="17" t="s">
        <v>933</v>
      </c>
      <c r="L134" s="32">
        <v>5</v>
      </c>
      <c r="M134" s="32">
        <f>_xlfn.XLOOKUP(Table2_1[[#This Row],[Product Code]],Product_Code,Unit_Price,0)</f>
        <v>7</v>
      </c>
      <c r="N134" s="31">
        <f>DATEDIF(Table2_1[[#This Row],[Buyer Date of Birth]],Table2_1[[#This Row],[Transaction  Date]],"Y")</f>
        <v>66</v>
      </c>
      <c r="O134" s="33">
        <v>595</v>
      </c>
      <c r="P134" s="33">
        <f>Table2_1[[#This Row],[Quantity Purchased]]*Table2_1[[#This Row],[UnitPrice]]*(1-Table2_1[[#This Row],[Discount]])</f>
        <v>749.7</v>
      </c>
      <c r="Q134" s="33">
        <f>Table2_1[[#This Row],[Revenue]]-Table2_1[[#This Row],[COGS]]</f>
        <v>154.70000000000005</v>
      </c>
      <c r="R134" s="39">
        <f>WEEKDAY(Table2_1[[#This Row],[Transaction  Date]])</f>
        <v>5</v>
      </c>
      <c r="S134" s="17" t="str">
        <f>IF(WEEKDAY(Table2_1[[#This Row],[Transaction  Date]],2)&lt;=5,"Weekday","Weekend")</f>
        <v>Weekday</v>
      </c>
      <c r="T134" s="37" t="str">
        <f>FLOOR(Table2_1[[#This Row],[Age]],15)&amp; "-"&amp; FLOOR(Table2_1[[#This Row],[Age]],15)+14</f>
        <v>60-74</v>
      </c>
    </row>
    <row r="135" spans="1:20" x14ac:dyDescent="0.3">
      <c r="A135" s="18">
        <v>45316</v>
      </c>
      <c r="B135" s="17" t="s">
        <v>1836</v>
      </c>
      <c r="C135" s="17" t="s">
        <v>38</v>
      </c>
      <c r="D135" s="18">
        <v>36982</v>
      </c>
      <c r="E135" s="16" t="s">
        <v>20</v>
      </c>
      <c r="F135" s="31">
        <v>57</v>
      </c>
      <c r="G135" s="17" t="s">
        <v>59</v>
      </c>
      <c r="H135" s="17" t="s">
        <v>43</v>
      </c>
      <c r="I135" s="17" t="s">
        <v>17</v>
      </c>
      <c r="J135" s="27">
        <v>0.1</v>
      </c>
      <c r="K135" s="17" t="s">
        <v>932</v>
      </c>
      <c r="L135" s="32">
        <v>19</v>
      </c>
      <c r="M135" s="32">
        <f>_xlfn.XLOOKUP(Table2_1[[#This Row],[Product Code]],Product_Code,Unit_Price,0)</f>
        <v>23</v>
      </c>
      <c r="N135" s="31">
        <f>DATEDIF(Table2_1[[#This Row],[Buyer Date of Birth]],Table2_1[[#This Row],[Transaction  Date]],"Y")</f>
        <v>22</v>
      </c>
      <c r="O135" s="33">
        <v>1083</v>
      </c>
      <c r="P135" s="33">
        <f>Table2_1[[#This Row],[Quantity Purchased]]*Table2_1[[#This Row],[UnitPrice]]*(1-Table2_1[[#This Row],[Discount]])</f>
        <v>1179.9000000000001</v>
      </c>
      <c r="Q135" s="33">
        <f>Table2_1[[#This Row],[Revenue]]-Table2_1[[#This Row],[COGS]]</f>
        <v>96.900000000000091</v>
      </c>
      <c r="R135" s="39">
        <f>WEEKDAY(Table2_1[[#This Row],[Transaction  Date]])</f>
        <v>5</v>
      </c>
      <c r="S135" s="17" t="str">
        <f>IF(WEEKDAY(Table2_1[[#This Row],[Transaction  Date]],2)&lt;=5,"Weekday","Weekend")</f>
        <v>Weekday</v>
      </c>
      <c r="T135" s="37" t="str">
        <f>FLOOR(Table2_1[[#This Row],[Age]],15)&amp; "-"&amp; FLOOR(Table2_1[[#This Row],[Age]],15)+14</f>
        <v>15-29</v>
      </c>
    </row>
    <row r="136" spans="1:20" x14ac:dyDescent="0.3">
      <c r="A136" s="18">
        <v>45316</v>
      </c>
      <c r="B136" s="17" t="s">
        <v>1064</v>
      </c>
      <c r="C136" s="17" t="s">
        <v>46</v>
      </c>
      <c r="D136" s="18">
        <v>28557</v>
      </c>
      <c r="E136" s="16" t="s">
        <v>14</v>
      </c>
      <c r="F136" s="31">
        <v>294</v>
      </c>
      <c r="G136" s="17" t="s">
        <v>56</v>
      </c>
      <c r="H136" s="17" t="s">
        <v>48</v>
      </c>
      <c r="I136" s="17" t="s">
        <v>17</v>
      </c>
      <c r="J136" s="27">
        <v>0.1</v>
      </c>
      <c r="K136" s="17" t="s">
        <v>935</v>
      </c>
      <c r="L136" s="32">
        <v>18</v>
      </c>
      <c r="M136" s="32">
        <f>_xlfn.XLOOKUP(Table2_1[[#This Row],[Product Code]],Product_Code,Unit_Price,0)</f>
        <v>36</v>
      </c>
      <c r="N136" s="31">
        <f>DATEDIF(Table2_1[[#This Row],[Buyer Date of Birth]],Table2_1[[#This Row],[Transaction  Date]],"Y")</f>
        <v>45</v>
      </c>
      <c r="O136" s="33">
        <v>5292</v>
      </c>
      <c r="P136" s="33">
        <f>Table2_1[[#This Row],[Quantity Purchased]]*Table2_1[[#This Row],[UnitPrice]]*(1-Table2_1[[#This Row],[Discount]])</f>
        <v>9525.6</v>
      </c>
      <c r="Q136" s="33">
        <f>Table2_1[[#This Row],[Revenue]]-Table2_1[[#This Row],[COGS]]</f>
        <v>4233.6000000000004</v>
      </c>
      <c r="R136" s="39">
        <f>WEEKDAY(Table2_1[[#This Row],[Transaction  Date]])</f>
        <v>5</v>
      </c>
      <c r="S136" s="17" t="str">
        <f>IF(WEEKDAY(Table2_1[[#This Row],[Transaction  Date]],2)&lt;=5,"Weekday","Weekend")</f>
        <v>Weekday</v>
      </c>
      <c r="T136" s="37" t="str">
        <f>FLOOR(Table2_1[[#This Row],[Age]],15)&amp; "-"&amp; FLOOR(Table2_1[[#This Row],[Age]],15)+14</f>
        <v>45-59</v>
      </c>
    </row>
    <row r="137" spans="1:20" x14ac:dyDescent="0.3">
      <c r="A137" s="18">
        <v>45317</v>
      </c>
      <c r="B137" s="17" t="s">
        <v>1065</v>
      </c>
      <c r="C137" s="17" t="s">
        <v>83</v>
      </c>
      <c r="D137" s="18">
        <v>33896</v>
      </c>
      <c r="E137" s="16" t="s">
        <v>20</v>
      </c>
      <c r="F137" s="31">
        <v>271</v>
      </c>
      <c r="G137" s="17" t="s">
        <v>64</v>
      </c>
      <c r="H137" s="17" t="s">
        <v>52</v>
      </c>
      <c r="I137" s="17" t="s">
        <v>17</v>
      </c>
      <c r="J137" s="27">
        <v>0.1</v>
      </c>
      <c r="K137" s="17" t="s">
        <v>933</v>
      </c>
      <c r="L137" s="32">
        <v>5</v>
      </c>
      <c r="M137" s="32">
        <f>_xlfn.XLOOKUP(Table2_1[[#This Row],[Product Code]],Product_Code,Unit_Price,0)</f>
        <v>7</v>
      </c>
      <c r="N137" s="31">
        <f>DATEDIF(Table2_1[[#This Row],[Buyer Date of Birth]],Table2_1[[#This Row],[Transaction  Date]],"Y")</f>
        <v>31</v>
      </c>
      <c r="O137" s="33">
        <v>1355</v>
      </c>
      <c r="P137" s="33">
        <f>Table2_1[[#This Row],[Quantity Purchased]]*Table2_1[[#This Row],[UnitPrice]]*(1-Table2_1[[#This Row],[Discount]])</f>
        <v>1707.3</v>
      </c>
      <c r="Q137" s="33">
        <f>Table2_1[[#This Row],[Revenue]]-Table2_1[[#This Row],[COGS]]</f>
        <v>352.29999999999995</v>
      </c>
      <c r="R137" s="39">
        <f>WEEKDAY(Table2_1[[#This Row],[Transaction  Date]])</f>
        <v>6</v>
      </c>
      <c r="S137" s="17" t="str">
        <f>IF(WEEKDAY(Table2_1[[#This Row],[Transaction  Date]],2)&lt;=5,"Weekday","Weekend")</f>
        <v>Weekday</v>
      </c>
      <c r="T137" s="37" t="str">
        <f>FLOOR(Table2_1[[#This Row],[Age]],15)&amp; "-"&amp; FLOOR(Table2_1[[#This Row],[Age]],15)+14</f>
        <v>30-44</v>
      </c>
    </row>
    <row r="138" spans="1:20" x14ac:dyDescent="0.3">
      <c r="A138" s="18">
        <v>45317</v>
      </c>
      <c r="B138" s="17" t="s">
        <v>1066</v>
      </c>
      <c r="C138" s="17" t="s">
        <v>55</v>
      </c>
      <c r="D138" s="18">
        <v>32690</v>
      </c>
      <c r="E138" s="16" t="s">
        <v>14</v>
      </c>
      <c r="F138" s="31">
        <v>274</v>
      </c>
      <c r="G138" s="17" t="s">
        <v>27</v>
      </c>
      <c r="H138" s="17" t="s">
        <v>39</v>
      </c>
      <c r="I138" s="17" t="s">
        <v>23</v>
      </c>
      <c r="J138" s="27">
        <v>0.1</v>
      </c>
      <c r="K138" s="17" t="s">
        <v>927</v>
      </c>
      <c r="L138" s="32">
        <v>18</v>
      </c>
      <c r="M138" s="32">
        <f>_xlfn.XLOOKUP(Table2_1[[#This Row],[Product Code]],Product_Code,Unit_Price,0)</f>
        <v>22</v>
      </c>
      <c r="N138" s="31">
        <f>DATEDIF(Table2_1[[#This Row],[Buyer Date of Birth]],Table2_1[[#This Row],[Transaction  Date]],"Y")</f>
        <v>34</v>
      </c>
      <c r="O138" s="33">
        <v>4932</v>
      </c>
      <c r="P138" s="33">
        <f>Table2_1[[#This Row],[Quantity Purchased]]*Table2_1[[#This Row],[UnitPrice]]*(1-Table2_1[[#This Row],[Discount]])</f>
        <v>5425.2</v>
      </c>
      <c r="Q138" s="33">
        <f>Table2_1[[#This Row],[Revenue]]-Table2_1[[#This Row],[COGS]]</f>
        <v>493.19999999999982</v>
      </c>
      <c r="R138" s="39">
        <f>WEEKDAY(Table2_1[[#This Row],[Transaction  Date]])</f>
        <v>6</v>
      </c>
      <c r="S138" s="17" t="str">
        <f>IF(WEEKDAY(Table2_1[[#This Row],[Transaction  Date]],2)&lt;=5,"Weekday","Weekend")</f>
        <v>Weekday</v>
      </c>
      <c r="T138" s="37" t="str">
        <f>FLOOR(Table2_1[[#This Row],[Age]],15)&amp; "-"&amp; FLOOR(Table2_1[[#This Row],[Age]],15)+14</f>
        <v>30-44</v>
      </c>
    </row>
    <row r="139" spans="1:20" x14ac:dyDescent="0.3">
      <c r="A139" s="18">
        <v>45317</v>
      </c>
      <c r="B139" s="17" t="s">
        <v>940</v>
      </c>
      <c r="C139" s="17" t="s">
        <v>13</v>
      </c>
      <c r="D139" s="18">
        <v>26964</v>
      </c>
      <c r="E139" s="16" t="s">
        <v>20</v>
      </c>
      <c r="F139" s="31">
        <v>410</v>
      </c>
      <c r="G139" s="17" t="s">
        <v>56</v>
      </c>
      <c r="H139" s="17" t="s">
        <v>52</v>
      </c>
      <c r="I139" s="17" t="s">
        <v>17</v>
      </c>
      <c r="J139" s="27">
        <v>0.1</v>
      </c>
      <c r="K139" s="17" t="s">
        <v>935</v>
      </c>
      <c r="L139" s="32">
        <v>18</v>
      </c>
      <c r="M139" s="32">
        <f>_xlfn.XLOOKUP(Table2_1[[#This Row],[Product Code]],Product_Code,Unit_Price,0)</f>
        <v>36</v>
      </c>
      <c r="N139" s="31">
        <f>DATEDIF(Table2_1[[#This Row],[Buyer Date of Birth]],Table2_1[[#This Row],[Transaction  Date]],"Y")</f>
        <v>50</v>
      </c>
      <c r="O139" s="33">
        <v>7380</v>
      </c>
      <c r="P139" s="33">
        <f>Table2_1[[#This Row],[Quantity Purchased]]*Table2_1[[#This Row],[UnitPrice]]*(1-Table2_1[[#This Row],[Discount]])</f>
        <v>13284</v>
      </c>
      <c r="Q139" s="33">
        <f>Table2_1[[#This Row],[Revenue]]-Table2_1[[#This Row],[COGS]]</f>
        <v>5904</v>
      </c>
      <c r="R139" s="39">
        <f>WEEKDAY(Table2_1[[#This Row],[Transaction  Date]])</f>
        <v>6</v>
      </c>
      <c r="S139" s="17" t="str">
        <f>IF(WEEKDAY(Table2_1[[#This Row],[Transaction  Date]],2)&lt;=5,"Weekday","Weekend")</f>
        <v>Weekday</v>
      </c>
      <c r="T139" s="37" t="str">
        <f>FLOOR(Table2_1[[#This Row],[Age]],15)&amp; "-"&amp; FLOOR(Table2_1[[#This Row],[Age]],15)+14</f>
        <v>45-59</v>
      </c>
    </row>
    <row r="140" spans="1:20" x14ac:dyDescent="0.3">
      <c r="A140" s="18">
        <v>45317</v>
      </c>
      <c r="B140" s="17" t="s">
        <v>1837</v>
      </c>
      <c r="C140" s="17" t="s">
        <v>26</v>
      </c>
      <c r="D140" s="18">
        <v>17499</v>
      </c>
      <c r="E140" s="16" t="s">
        <v>68</v>
      </c>
      <c r="F140" s="31">
        <v>70</v>
      </c>
      <c r="G140" s="17" t="s">
        <v>59</v>
      </c>
      <c r="H140" s="17" t="s">
        <v>48</v>
      </c>
      <c r="I140" s="17" t="s">
        <v>17</v>
      </c>
      <c r="J140" s="27">
        <v>0.1</v>
      </c>
      <c r="K140" s="17" t="s">
        <v>932</v>
      </c>
      <c r="L140" s="32">
        <v>19</v>
      </c>
      <c r="M140" s="32">
        <f>_xlfn.XLOOKUP(Table2_1[[#This Row],[Product Code]],Product_Code,Unit_Price,0)</f>
        <v>23</v>
      </c>
      <c r="N140" s="31">
        <f>DATEDIF(Table2_1[[#This Row],[Buyer Date of Birth]],Table2_1[[#This Row],[Transaction  Date]],"Y")</f>
        <v>76</v>
      </c>
      <c r="O140" s="33">
        <v>1330</v>
      </c>
      <c r="P140" s="33">
        <f>Table2_1[[#This Row],[Quantity Purchased]]*Table2_1[[#This Row],[UnitPrice]]*(1-Table2_1[[#This Row],[Discount]])</f>
        <v>1449</v>
      </c>
      <c r="Q140" s="33">
        <f>Table2_1[[#This Row],[Revenue]]-Table2_1[[#This Row],[COGS]]</f>
        <v>119</v>
      </c>
      <c r="R140" s="39">
        <f>WEEKDAY(Table2_1[[#This Row],[Transaction  Date]])</f>
        <v>6</v>
      </c>
      <c r="S140" s="17" t="str">
        <f>IF(WEEKDAY(Table2_1[[#This Row],[Transaction  Date]],2)&lt;=5,"Weekday","Weekend")</f>
        <v>Weekday</v>
      </c>
      <c r="T140" s="37" t="str">
        <f>FLOOR(Table2_1[[#This Row],[Age]],15)&amp; "-"&amp; FLOOR(Table2_1[[#This Row],[Age]],15)+14</f>
        <v>75-89</v>
      </c>
    </row>
    <row r="141" spans="1:20" x14ac:dyDescent="0.3">
      <c r="A141" s="18">
        <v>45318</v>
      </c>
      <c r="B141" s="17" t="s">
        <v>1067</v>
      </c>
      <c r="C141" s="17" t="s">
        <v>13</v>
      </c>
      <c r="D141" s="18">
        <v>21226</v>
      </c>
      <c r="E141" s="16" t="s">
        <v>33</v>
      </c>
      <c r="F141" s="31">
        <v>221</v>
      </c>
      <c r="G141" s="17" t="s">
        <v>56</v>
      </c>
      <c r="H141" s="17" t="s">
        <v>35</v>
      </c>
      <c r="I141" s="17" t="s">
        <v>17</v>
      </c>
      <c r="J141" s="27">
        <v>0.1</v>
      </c>
      <c r="K141" s="17" t="s">
        <v>935</v>
      </c>
      <c r="L141" s="32">
        <v>18</v>
      </c>
      <c r="M141" s="32">
        <f>_xlfn.XLOOKUP(Table2_1[[#This Row],[Product Code]],Product_Code,Unit_Price,0)</f>
        <v>36</v>
      </c>
      <c r="N141" s="31">
        <f>DATEDIF(Table2_1[[#This Row],[Buyer Date of Birth]],Table2_1[[#This Row],[Transaction  Date]],"Y")</f>
        <v>65</v>
      </c>
      <c r="O141" s="33">
        <v>3978</v>
      </c>
      <c r="P141" s="33">
        <f>Table2_1[[#This Row],[Quantity Purchased]]*Table2_1[[#This Row],[UnitPrice]]*(1-Table2_1[[#This Row],[Discount]])</f>
        <v>7160.4000000000005</v>
      </c>
      <c r="Q141" s="33">
        <f>Table2_1[[#This Row],[Revenue]]-Table2_1[[#This Row],[COGS]]</f>
        <v>3182.4000000000005</v>
      </c>
      <c r="R141" s="39">
        <f>WEEKDAY(Table2_1[[#This Row],[Transaction  Date]])</f>
        <v>7</v>
      </c>
      <c r="S141" s="17" t="str">
        <f>IF(WEEKDAY(Table2_1[[#This Row],[Transaction  Date]],2)&lt;=5,"Weekday","Weekend")</f>
        <v>Weekend</v>
      </c>
      <c r="T141" s="37" t="str">
        <f>FLOOR(Table2_1[[#This Row],[Age]],15)&amp; "-"&amp; FLOOR(Table2_1[[#This Row],[Age]],15)+14</f>
        <v>60-74</v>
      </c>
    </row>
    <row r="142" spans="1:20" x14ac:dyDescent="0.3">
      <c r="A142" s="18">
        <v>45318</v>
      </c>
      <c r="B142" s="17" t="s">
        <v>1068</v>
      </c>
      <c r="C142" s="17" t="s">
        <v>26</v>
      </c>
      <c r="D142" s="18">
        <v>27887</v>
      </c>
      <c r="E142" s="16" t="s">
        <v>33</v>
      </c>
      <c r="F142" s="31">
        <v>67</v>
      </c>
      <c r="G142" s="17" t="s">
        <v>47</v>
      </c>
      <c r="H142" s="17" t="s">
        <v>52</v>
      </c>
      <c r="I142" s="17" t="s">
        <v>17</v>
      </c>
      <c r="J142" s="27">
        <v>0.1</v>
      </c>
      <c r="K142" s="17" t="s">
        <v>931</v>
      </c>
      <c r="L142" s="32">
        <v>7</v>
      </c>
      <c r="M142" s="32">
        <f>_xlfn.XLOOKUP(Table2_1[[#This Row],[Product Code]],Product_Code,Unit_Price,0)</f>
        <v>9</v>
      </c>
      <c r="N142" s="31">
        <f>DATEDIF(Table2_1[[#This Row],[Buyer Date of Birth]],Table2_1[[#This Row],[Transaction  Date]],"Y")</f>
        <v>47</v>
      </c>
      <c r="O142" s="33">
        <v>469</v>
      </c>
      <c r="P142" s="33">
        <f>Table2_1[[#This Row],[Quantity Purchased]]*Table2_1[[#This Row],[UnitPrice]]*(1-Table2_1[[#This Row],[Discount]])</f>
        <v>542.70000000000005</v>
      </c>
      <c r="Q142" s="33">
        <f>Table2_1[[#This Row],[Revenue]]-Table2_1[[#This Row],[COGS]]</f>
        <v>73.700000000000045</v>
      </c>
      <c r="R142" s="39">
        <f>WEEKDAY(Table2_1[[#This Row],[Transaction  Date]])</f>
        <v>7</v>
      </c>
      <c r="S142" s="17" t="str">
        <f>IF(WEEKDAY(Table2_1[[#This Row],[Transaction  Date]],2)&lt;=5,"Weekday","Weekend")</f>
        <v>Weekend</v>
      </c>
      <c r="T142" s="37" t="str">
        <f>FLOOR(Table2_1[[#This Row],[Age]],15)&amp; "-"&amp; FLOOR(Table2_1[[#This Row],[Age]],15)+14</f>
        <v>45-59</v>
      </c>
    </row>
    <row r="143" spans="1:20" x14ac:dyDescent="0.3">
      <c r="A143" s="18">
        <v>45318</v>
      </c>
      <c r="B143" s="17" t="s">
        <v>1069</v>
      </c>
      <c r="C143" s="17" t="s">
        <v>78</v>
      </c>
      <c r="D143" s="18">
        <v>30915</v>
      </c>
      <c r="E143" s="16" t="s">
        <v>33</v>
      </c>
      <c r="F143" s="31">
        <v>455</v>
      </c>
      <c r="G143" s="17" t="s">
        <v>21</v>
      </c>
      <c r="H143" s="17" t="s">
        <v>52</v>
      </c>
      <c r="I143" s="17" t="s">
        <v>17</v>
      </c>
      <c r="J143" s="27">
        <v>0.1</v>
      </c>
      <c r="K143" s="17" t="s">
        <v>934</v>
      </c>
      <c r="L143" s="32">
        <v>10</v>
      </c>
      <c r="M143" s="32">
        <f>_xlfn.XLOOKUP(Table2_1[[#This Row],[Product Code]],Product_Code,Unit_Price,0)</f>
        <v>45</v>
      </c>
      <c r="N143" s="31">
        <f>DATEDIF(Table2_1[[#This Row],[Buyer Date of Birth]],Table2_1[[#This Row],[Transaction  Date]],"Y")</f>
        <v>39</v>
      </c>
      <c r="O143" s="33">
        <v>4550</v>
      </c>
      <c r="P143" s="33">
        <f>Table2_1[[#This Row],[Quantity Purchased]]*Table2_1[[#This Row],[UnitPrice]]*(1-Table2_1[[#This Row],[Discount]])</f>
        <v>18427.5</v>
      </c>
      <c r="Q143" s="33">
        <f>Table2_1[[#This Row],[Revenue]]-Table2_1[[#This Row],[COGS]]</f>
        <v>13877.5</v>
      </c>
      <c r="R143" s="39">
        <f>WEEKDAY(Table2_1[[#This Row],[Transaction  Date]])</f>
        <v>7</v>
      </c>
      <c r="S143" s="17" t="str">
        <f>IF(WEEKDAY(Table2_1[[#This Row],[Transaction  Date]],2)&lt;=5,"Weekday","Weekend")</f>
        <v>Weekend</v>
      </c>
      <c r="T143" s="37" t="str">
        <f>FLOOR(Table2_1[[#This Row],[Age]],15)&amp; "-"&amp; FLOOR(Table2_1[[#This Row],[Age]],15)+14</f>
        <v>30-44</v>
      </c>
    </row>
    <row r="144" spans="1:20" x14ac:dyDescent="0.3">
      <c r="A144" s="18">
        <v>45319</v>
      </c>
      <c r="B144" s="17" t="s">
        <v>1070</v>
      </c>
      <c r="C144" s="17" t="s">
        <v>71</v>
      </c>
      <c r="D144" s="18">
        <v>35412</v>
      </c>
      <c r="E144" s="16" t="s">
        <v>33</v>
      </c>
      <c r="F144" s="31">
        <v>481</v>
      </c>
      <c r="G144" s="17" t="s">
        <v>34</v>
      </c>
      <c r="H144" s="17" t="s">
        <v>52</v>
      </c>
      <c r="I144" s="17" t="s">
        <v>17</v>
      </c>
      <c r="J144" s="27">
        <v>0.1</v>
      </c>
      <c r="K144" s="17" t="s">
        <v>930</v>
      </c>
      <c r="L144" s="32">
        <v>14</v>
      </c>
      <c r="M144" s="32">
        <f>_xlfn.XLOOKUP(Table2_1[[#This Row],[Product Code]],Product_Code,Unit_Price,0)</f>
        <v>28</v>
      </c>
      <c r="N144" s="31">
        <f>DATEDIF(Table2_1[[#This Row],[Buyer Date of Birth]],Table2_1[[#This Row],[Transaction  Date]],"Y")</f>
        <v>27</v>
      </c>
      <c r="O144" s="33">
        <v>6734</v>
      </c>
      <c r="P144" s="33">
        <f>Table2_1[[#This Row],[Quantity Purchased]]*Table2_1[[#This Row],[UnitPrice]]*(1-Table2_1[[#This Row],[Discount]])</f>
        <v>12121.2</v>
      </c>
      <c r="Q144" s="33">
        <f>Table2_1[[#This Row],[Revenue]]-Table2_1[[#This Row],[COGS]]</f>
        <v>5387.2000000000007</v>
      </c>
      <c r="R144" s="39">
        <f>WEEKDAY(Table2_1[[#This Row],[Transaction  Date]])</f>
        <v>1</v>
      </c>
      <c r="S144" s="17" t="str">
        <f>IF(WEEKDAY(Table2_1[[#This Row],[Transaction  Date]],2)&lt;=5,"Weekday","Weekend")</f>
        <v>Weekend</v>
      </c>
      <c r="T144" s="37" t="str">
        <f>FLOOR(Table2_1[[#This Row],[Age]],15)&amp; "-"&amp; FLOOR(Table2_1[[#This Row],[Age]],15)+14</f>
        <v>15-29</v>
      </c>
    </row>
    <row r="145" spans="1:20" x14ac:dyDescent="0.3">
      <c r="A145" s="18">
        <v>45319</v>
      </c>
      <c r="B145" s="17" t="s">
        <v>1071</v>
      </c>
      <c r="C145" s="17" t="s">
        <v>26</v>
      </c>
      <c r="D145" s="18">
        <v>18192</v>
      </c>
      <c r="E145" s="16" t="s">
        <v>20</v>
      </c>
      <c r="F145" s="31">
        <v>376</v>
      </c>
      <c r="G145" s="17" t="s">
        <v>21</v>
      </c>
      <c r="H145" s="17" t="s">
        <v>28</v>
      </c>
      <c r="I145" s="17" t="s">
        <v>29</v>
      </c>
      <c r="J145" s="27">
        <v>0.1</v>
      </c>
      <c r="K145" s="17" t="s">
        <v>934</v>
      </c>
      <c r="L145" s="32">
        <v>10</v>
      </c>
      <c r="M145" s="32">
        <f>_xlfn.XLOOKUP(Table2_1[[#This Row],[Product Code]],Product_Code,Unit_Price,0)</f>
        <v>45</v>
      </c>
      <c r="N145" s="31">
        <f>DATEDIF(Table2_1[[#This Row],[Buyer Date of Birth]],Table2_1[[#This Row],[Transaction  Date]],"Y")</f>
        <v>74</v>
      </c>
      <c r="O145" s="33">
        <v>3760</v>
      </c>
      <c r="P145" s="33">
        <f>Table2_1[[#This Row],[Quantity Purchased]]*Table2_1[[#This Row],[UnitPrice]]*(1-Table2_1[[#This Row],[Discount]])</f>
        <v>15228</v>
      </c>
      <c r="Q145" s="33">
        <f>Table2_1[[#This Row],[Revenue]]-Table2_1[[#This Row],[COGS]]</f>
        <v>11468</v>
      </c>
      <c r="R145" s="39">
        <f>WEEKDAY(Table2_1[[#This Row],[Transaction  Date]])</f>
        <v>1</v>
      </c>
      <c r="S145" s="17" t="str">
        <f>IF(WEEKDAY(Table2_1[[#This Row],[Transaction  Date]],2)&lt;=5,"Weekday","Weekend")</f>
        <v>Weekend</v>
      </c>
      <c r="T145" s="37" t="str">
        <f>FLOOR(Table2_1[[#This Row],[Age]],15)&amp; "-"&amp; FLOOR(Table2_1[[#This Row],[Age]],15)+14</f>
        <v>60-74</v>
      </c>
    </row>
    <row r="146" spans="1:20" x14ac:dyDescent="0.3">
      <c r="A146" s="18">
        <v>45319</v>
      </c>
      <c r="B146" s="17" t="s">
        <v>1072</v>
      </c>
      <c r="C146" s="17" t="s">
        <v>71</v>
      </c>
      <c r="D146" s="18">
        <v>23194</v>
      </c>
      <c r="E146" s="16" t="s">
        <v>68</v>
      </c>
      <c r="F146" s="31">
        <v>225</v>
      </c>
      <c r="G146" s="17" t="s">
        <v>27</v>
      </c>
      <c r="H146" s="17" t="s">
        <v>52</v>
      </c>
      <c r="I146" s="17" t="s">
        <v>23</v>
      </c>
      <c r="J146" s="27">
        <v>0.1</v>
      </c>
      <c r="K146" s="17" t="s">
        <v>927</v>
      </c>
      <c r="L146" s="32">
        <v>18</v>
      </c>
      <c r="M146" s="32">
        <f>_xlfn.XLOOKUP(Table2_1[[#This Row],[Product Code]],Product_Code,Unit_Price,0)</f>
        <v>22</v>
      </c>
      <c r="N146" s="31">
        <f>DATEDIF(Table2_1[[#This Row],[Buyer Date of Birth]],Table2_1[[#This Row],[Transaction  Date]],"Y")</f>
        <v>60</v>
      </c>
      <c r="O146" s="33">
        <v>4050</v>
      </c>
      <c r="P146" s="33">
        <f>Table2_1[[#This Row],[Quantity Purchased]]*Table2_1[[#This Row],[UnitPrice]]*(1-Table2_1[[#This Row],[Discount]])</f>
        <v>4455</v>
      </c>
      <c r="Q146" s="33">
        <f>Table2_1[[#This Row],[Revenue]]-Table2_1[[#This Row],[COGS]]</f>
        <v>405</v>
      </c>
      <c r="R146" s="39">
        <f>WEEKDAY(Table2_1[[#This Row],[Transaction  Date]])</f>
        <v>1</v>
      </c>
      <c r="S146" s="17" t="str">
        <f>IF(WEEKDAY(Table2_1[[#This Row],[Transaction  Date]],2)&lt;=5,"Weekday","Weekend")</f>
        <v>Weekend</v>
      </c>
      <c r="T146" s="37" t="str">
        <f>FLOOR(Table2_1[[#This Row],[Age]],15)&amp; "-"&amp; FLOOR(Table2_1[[#This Row],[Age]],15)+14</f>
        <v>60-74</v>
      </c>
    </row>
    <row r="147" spans="1:20" x14ac:dyDescent="0.3">
      <c r="A147" s="18">
        <v>45319</v>
      </c>
      <c r="B147" s="17" t="s">
        <v>1073</v>
      </c>
      <c r="C147" s="17" t="s">
        <v>83</v>
      </c>
      <c r="D147" s="18">
        <v>31441</v>
      </c>
      <c r="E147" s="16" t="s">
        <v>20</v>
      </c>
      <c r="F147" s="31">
        <v>251</v>
      </c>
      <c r="G147" s="17" t="s">
        <v>15</v>
      </c>
      <c r="H147" s="17" t="s">
        <v>52</v>
      </c>
      <c r="I147" s="17" t="s">
        <v>17</v>
      </c>
      <c r="J147" s="27">
        <v>0.1</v>
      </c>
      <c r="K147" s="17" t="s">
        <v>929</v>
      </c>
      <c r="L147" s="32">
        <v>10</v>
      </c>
      <c r="M147" s="32">
        <f>_xlfn.XLOOKUP(Table2_1[[#This Row],[Product Code]],Product_Code,Unit_Price,0)</f>
        <v>14</v>
      </c>
      <c r="N147" s="31">
        <f>DATEDIF(Table2_1[[#This Row],[Buyer Date of Birth]],Table2_1[[#This Row],[Transaction  Date]],"Y")</f>
        <v>37</v>
      </c>
      <c r="O147" s="33">
        <v>2510</v>
      </c>
      <c r="P147" s="33">
        <f>Table2_1[[#This Row],[Quantity Purchased]]*Table2_1[[#This Row],[UnitPrice]]*(1-Table2_1[[#This Row],[Discount]])</f>
        <v>3162.6</v>
      </c>
      <c r="Q147" s="33">
        <f>Table2_1[[#This Row],[Revenue]]-Table2_1[[#This Row],[COGS]]</f>
        <v>652.59999999999991</v>
      </c>
      <c r="R147" s="39">
        <f>WEEKDAY(Table2_1[[#This Row],[Transaction  Date]])</f>
        <v>1</v>
      </c>
      <c r="S147" s="17" t="str">
        <f>IF(WEEKDAY(Table2_1[[#This Row],[Transaction  Date]],2)&lt;=5,"Weekday","Weekend")</f>
        <v>Weekend</v>
      </c>
      <c r="T147" s="37" t="str">
        <f>FLOOR(Table2_1[[#This Row],[Age]],15)&amp; "-"&amp; FLOOR(Table2_1[[#This Row],[Age]],15)+14</f>
        <v>30-44</v>
      </c>
    </row>
    <row r="148" spans="1:20" x14ac:dyDescent="0.3">
      <c r="A148" s="18">
        <v>45319</v>
      </c>
      <c r="B148" s="17" t="s">
        <v>1074</v>
      </c>
      <c r="C148" s="17" t="s">
        <v>55</v>
      </c>
      <c r="D148" s="18">
        <v>28872</v>
      </c>
      <c r="E148" s="16" t="s">
        <v>14</v>
      </c>
      <c r="F148" s="31">
        <v>131</v>
      </c>
      <c r="G148" s="17" t="s">
        <v>21</v>
      </c>
      <c r="H148" s="17" t="s">
        <v>48</v>
      </c>
      <c r="I148" s="17" t="s">
        <v>17</v>
      </c>
      <c r="J148" s="27">
        <v>0.1</v>
      </c>
      <c r="K148" s="17" t="s">
        <v>934</v>
      </c>
      <c r="L148" s="32">
        <v>10</v>
      </c>
      <c r="M148" s="32">
        <f>_xlfn.XLOOKUP(Table2_1[[#This Row],[Product Code]],Product_Code,Unit_Price,0)</f>
        <v>45</v>
      </c>
      <c r="N148" s="31">
        <f>DATEDIF(Table2_1[[#This Row],[Buyer Date of Birth]],Table2_1[[#This Row],[Transaction  Date]],"Y")</f>
        <v>45</v>
      </c>
      <c r="O148" s="33">
        <v>1310</v>
      </c>
      <c r="P148" s="33">
        <f>Table2_1[[#This Row],[Quantity Purchased]]*Table2_1[[#This Row],[UnitPrice]]*(1-Table2_1[[#This Row],[Discount]])</f>
        <v>5305.5</v>
      </c>
      <c r="Q148" s="33">
        <f>Table2_1[[#This Row],[Revenue]]-Table2_1[[#This Row],[COGS]]</f>
        <v>3995.5</v>
      </c>
      <c r="R148" s="39">
        <f>WEEKDAY(Table2_1[[#This Row],[Transaction  Date]])</f>
        <v>1</v>
      </c>
      <c r="S148" s="17" t="str">
        <f>IF(WEEKDAY(Table2_1[[#This Row],[Transaction  Date]],2)&lt;=5,"Weekday","Weekend")</f>
        <v>Weekend</v>
      </c>
      <c r="T148" s="37" t="str">
        <f>FLOOR(Table2_1[[#This Row],[Age]],15)&amp; "-"&amp; FLOOR(Table2_1[[#This Row],[Age]],15)+14</f>
        <v>45-59</v>
      </c>
    </row>
    <row r="149" spans="1:20" x14ac:dyDescent="0.3">
      <c r="A149" s="18">
        <v>45319</v>
      </c>
      <c r="B149" s="17" t="s">
        <v>1075</v>
      </c>
      <c r="C149" s="17" t="s">
        <v>32</v>
      </c>
      <c r="D149" s="18">
        <v>21749</v>
      </c>
      <c r="E149" s="16" t="s">
        <v>20</v>
      </c>
      <c r="F149" s="31">
        <v>361</v>
      </c>
      <c r="G149" s="17" t="s">
        <v>64</v>
      </c>
      <c r="H149" s="17" t="s">
        <v>52</v>
      </c>
      <c r="I149" s="17" t="s">
        <v>17</v>
      </c>
      <c r="J149" s="27">
        <v>0.1</v>
      </c>
      <c r="K149" s="17" t="s">
        <v>933</v>
      </c>
      <c r="L149" s="32">
        <v>5</v>
      </c>
      <c r="M149" s="32">
        <f>_xlfn.XLOOKUP(Table2_1[[#This Row],[Product Code]],Product_Code,Unit_Price,0)</f>
        <v>7</v>
      </c>
      <c r="N149" s="31">
        <f>DATEDIF(Table2_1[[#This Row],[Buyer Date of Birth]],Table2_1[[#This Row],[Transaction  Date]],"Y")</f>
        <v>64</v>
      </c>
      <c r="O149" s="33">
        <v>1805</v>
      </c>
      <c r="P149" s="33">
        <f>Table2_1[[#This Row],[Quantity Purchased]]*Table2_1[[#This Row],[UnitPrice]]*(1-Table2_1[[#This Row],[Discount]])</f>
        <v>2274.3000000000002</v>
      </c>
      <c r="Q149" s="33">
        <f>Table2_1[[#This Row],[Revenue]]-Table2_1[[#This Row],[COGS]]</f>
        <v>469.30000000000018</v>
      </c>
      <c r="R149" s="39">
        <f>WEEKDAY(Table2_1[[#This Row],[Transaction  Date]])</f>
        <v>1</v>
      </c>
      <c r="S149" s="17" t="str">
        <f>IF(WEEKDAY(Table2_1[[#This Row],[Transaction  Date]],2)&lt;=5,"Weekday","Weekend")</f>
        <v>Weekend</v>
      </c>
      <c r="T149" s="37" t="str">
        <f>FLOOR(Table2_1[[#This Row],[Age]],15)&amp; "-"&amp; FLOOR(Table2_1[[#This Row],[Age]],15)+14</f>
        <v>60-74</v>
      </c>
    </row>
    <row r="150" spans="1:20" x14ac:dyDescent="0.3">
      <c r="A150" s="18">
        <v>45319</v>
      </c>
      <c r="B150" s="17" t="s">
        <v>1076</v>
      </c>
      <c r="C150" s="17" t="s">
        <v>26</v>
      </c>
      <c r="D150" s="18">
        <v>18018</v>
      </c>
      <c r="E150" s="16" t="s">
        <v>33</v>
      </c>
      <c r="F150" s="31">
        <v>188</v>
      </c>
      <c r="G150" s="17" t="s">
        <v>64</v>
      </c>
      <c r="H150" s="17" t="s">
        <v>28</v>
      </c>
      <c r="I150" s="17" t="s">
        <v>17</v>
      </c>
      <c r="J150" s="27">
        <v>0.1</v>
      </c>
      <c r="K150" s="17" t="s">
        <v>933</v>
      </c>
      <c r="L150" s="32">
        <v>5</v>
      </c>
      <c r="M150" s="32">
        <f>_xlfn.XLOOKUP(Table2_1[[#This Row],[Product Code]],Product_Code,Unit_Price,0)</f>
        <v>7</v>
      </c>
      <c r="N150" s="31">
        <f>DATEDIF(Table2_1[[#This Row],[Buyer Date of Birth]],Table2_1[[#This Row],[Transaction  Date]],"Y")</f>
        <v>74</v>
      </c>
      <c r="O150" s="33">
        <v>940</v>
      </c>
      <c r="P150" s="33">
        <f>Table2_1[[#This Row],[Quantity Purchased]]*Table2_1[[#This Row],[UnitPrice]]*(1-Table2_1[[#This Row],[Discount]])</f>
        <v>1184.4000000000001</v>
      </c>
      <c r="Q150" s="33">
        <f>Table2_1[[#This Row],[Revenue]]-Table2_1[[#This Row],[COGS]]</f>
        <v>244.40000000000009</v>
      </c>
      <c r="R150" s="39">
        <f>WEEKDAY(Table2_1[[#This Row],[Transaction  Date]])</f>
        <v>1</v>
      </c>
      <c r="S150" s="17" t="str">
        <f>IF(WEEKDAY(Table2_1[[#This Row],[Transaction  Date]],2)&lt;=5,"Weekday","Weekend")</f>
        <v>Weekend</v>
      </c>
      <c r="T150" s="37" t="str">
        <f>FLOOR(Table2_1[[#This Row],[Age]],15)&amp; "-"&amp; FLOOR(Table2_1[[#This Row],[Age]],15)+14</f>
        <v>60-74</v>
      </c>
    </row>
    <row r="151" spans="1:20" x14ac:dyDescent="0.3">
      <c r="A151" s="18">
        <v>45320</v>
      </c>
      <c r="B151" s="17" t="s">
        <v>1077</v>
      </c>
      <c r="C151" s="17" t="s">
        <v>26</v>
      </c>
      <c r="D151" s="18">
        <v>36686</v>
      </c>
      <c r="E151" s="16" t="s">
        <v>20</v>
      </c>
      <c r="F151" s="31">
        <v>440</v>
      </c>
      <c r="G151" s="17" t="s">
        <v>15</v>
      </c>
      <c r="H151" s="17" t="s">
        <v>43</v>
      </c>
      <c r="I151" s="17" t="s">
        <v>17</v>
      </c>
      <c r="J151" s="27">
        <v>0.1</v>
      </c>
      <c r="K151" s="17" t="s">
        <v>929</v>
      </c>
      <c r="L151" s="32">
        <v>10</v>
      </c>
      <c r="M151" s="32">
        <f>_xlfn.XLOOKUP(Table2_1[[#This Row],[Product Code]],Product_Code,Unit_Price,0)</f>
        <v>14</v>
      </c>
      <c r="N151" s="31">
        <f>DATEDIF(Table2_1[[#This Row],[Buyer Date of Birth]],Table2_1[[#This Row],[Transaction  Date]],"Y")</f>
        <v>23</v>
      </c>
      <c r="O151" s="33">
        <v>4400</v>
      </c>
      <c r="P151" s="33">
        <f>Table2_1[[#This Row],[Quantity Purchased]]*Table2_1[[#This Row],[UnitPrice]]*(1-Table2_1[[#This Row],[Discount]])</f>
        <v>5544</v>
      </c>
      <c r="Q151" s="33">
        <f>Table2_1[[#This Row],[Revenue]]-Table2_1[[#This Row],[COGS]]</f>
        <v>1144</v>
      </c>
      <c r="R151" s="39">
        <f>WEEKDAY(Table2_1[[#This Row],[Transaction  Date]])</f>
        <v>2</v>
      </c>
      <c r="S151" s="17" t="str">
        <f>IF(WEEKDAY(Table2_1[[#This Row],[Transaction  Date]],2)&lt;=5,"Weekday","Weekend")</f>
        <v>Weekday</v>
      </c>
      <c r="T151" s="37" t="str">
        <f>FLOOR(Table2_1[[#This Row],[Age]],15)&amp; "-"&amp; FLOOR(Table2_1[[#This Row],[Age]],15)+14</f>
        <v>15-29</v>
      </c>
    </row>
    <row r="152" spans="1:20" x14ac:dyDescent="0.3">
      <c r="A152" s="18">
        <v>45320</v>
      </c>
      <c r="B152" s="17" t="s">
        <v>1078</v>
      </c>
      <c r="C152" s="17" t="s">
        <v>71</v>
      </c>
      <c r="D152" s="18">
        <v>23807</v>
      </c>
      <c r="E152" s="16" t="s">
        <v>68</v>
      </c>
      <c r="F152" s="31">
        <v>18</v>
      </c>
      <c r="G152" s="17" t="s">
        <v>59</v>
      </c>
      <c r="H152" s="17" t="s">
        <v>28</v>
      </c>
      <c r="I152" s="17" t="s">
        <v>17</v>
      </c>
      <c r="J152" s="27">
        <v>0.1</v>
      </c>
      <c r="K152" s="17" t="s">
        <v>932</v>
      </c>
      <c r="L152" s="32">
        <v>19</v>
      </c>
      <c r="M152" s="32">
        <f>_xlfn.XLOOKUP(Table2_1[[#This Row],[Product Code]],Product_Code,Unit_Price,0)</f>
        <v>23</v>
      </c>
      <c r="N152" s="31">
        <f>DATEDIF(Table2_1[[#This Row],[Buyer Date of Birth]],Table2_1[[#This Row],[Transaction  Date]],"Y")</f>
        <v>58</v>
      </c>
      <c r="O152" s="33">
        <v>342</v>
      </c>
      <c r="P152" s="33">
        <f>Table2_1[[#This Row],[Quantity Purchased]]*Table2_1[[#This Row],[UnitPrice]]*(1-Table2_1[[#This Row],[Discount]])</f>
        <v>372.6</v>
      </c>
      <c r="Q152" s="33">
        <f>Table2_1[[#This Row],[Revenue]]-Table2_1[[#This Row],[COGS]]</f>
        <v>30.600000000000023</v>
      </c>
      <c r="R152" s="39">
        <f>WEEKDAY(Table2_1[[#This Row],[Transaction  Date]])</f>
        <v>2</v>
      </c>
      <c r="S152" s="17" t="str">
        <f>IF(WEEKDAY(Table2_1[[#This Row],[Transaction  Date]],2)&lt;=5,"Weekday","Weekend")</f>
        <v>Weekday</v>
      </c>
      <c r="T152" s="37" t="str">
        <f>FLOOR(Table2_1[[#This Row],[Age]],15)&amp; "-"&amp; FLOOR(Table2_1[[#This Row],[Age]],15)+14</f>
        <v>45-59</v>
      </c>
    </row>
    <row r="153" spans="1:20" x14ac:dyDescent="0.3">
      <c r="A153" s="18">
        <v>45320</v>
      </c>
      <c r="B153" s="17" t="s">
        <v>1079</v>
      </c>
      <c r="C153" s="17" t="s">
        <v>13</v>
      </c>
      <c r="D153" s="18">
        <v>21232</v>
      </c>
      <c r="E153" s="16" t="s">
        <v>20</v>
      </c>
      <c r="F153" s="31">
        <v>390</v>
      </c>
      <c r="G153" s="17" t="s">
        <v>15</v>
      </c>
      <c r="H153" s="17" t="s">
        <v>35</v>
      </c>
      <c r="I153" s="17" t="s">
        <v>23</v>
      </c>
      <c r="J153" s="27">
        <v>0.1</v>
      </c>
      <c r="K153" s="17" t="s">
        <v>929</v>
      </c>
      <c r="L153" s="32">
        <v>10</v>
      </c>
      <c r="M153" s="32">
        <f>_xlfn.XLOOKUP(Table2_1[[#This Row],[Product Code]],Product_Code,Unit_Price,0)</f>
        <v>14</v>
      </c>
      <c r="N153" s="31">
        <f>DATEDIF(Table2_1[[#This Row],[Buyer Date of Birth]],Table2_1[[#This Row],[Transaction  Date]],"Y")</f>
        <v>65</v>
      </c>
      <c r="O153" s="33">
        <v>3900</v>
      </c>
      <c r="P153" s="33">
        <f>Table2_1[[#This Row],[Quantity Purchased]]*Table2_1[[#This Row],[UnitPrice]]*(1-Table2_1[[#This Row],[Discount]])</f>
        <v>4914</v>
      </c>
      <c r="Q153" s="33">
        <f>Table2_1[[#This Row],[Revenue]]-Table2_1[[#This Row],[COGS]]</f>
        <v>1014</v>
      </c>
      <c r="R153" s="39">
        <f>WEEKDAY(Table2_1[[#This Row],[Transaction  Date]])</f>
        <v>2</v>
      </c>
      <c r="S153" s="17" t="str">
        <f>IF(WEEKDAY(Table2_1[[#This Row],[Transaction  Date]],2)&lt;=5,"Weekday","Weekend")</f>
        <v>Weekday</v>
      </c>
      <c r="T153" s="37" t="str">
        <f>FLOOR(Table2_1[[#This Row],[Age]],15)&amp; "-"&amp; FLOOR(Table2_1[[#This Row],[Age]],15)+14</f>
        <v>60-74</v>
      </c>
    </row>
    <row r="154" spans="1:20" x14ac:dyDescent="0.3">
      <c r="A154" s="18">
        <v>45320</v>
      </c>
      <c r="B154" s="17" t="s">
        <v>1080</v>
      </c>
      <c r="C154" s="17" t="s">
        <v>51</v>
      </c>
      <c r="D154" s="18">
        <v>36359</v>
      </c>
      <c r="E154" s="16" t="s">
        <v>33</v>
      </c>
      <c r="F154" s="31">
        <v>447</v>
      </c>
      <c r="G154" s="17" t="s">
        <v>42</v>
      </c>
      <c r="H154" s="17" t="s">
        <v>52</v>
      </c>
      <c r="I154" s="17" t="s">
        <v>17</v>
      </c>
      <c r="J154" s="27">
        <v>0.1</v>
      </c>
      <c r="K154" s="17" t="s">
        <v>926</v>
      </c>
      <c r="L154" s="32">
        <v>10</v>
      </c>
      <c r="M154" s="32">
        <f>_xlfn.XLOOKUP(Table2_1[[#This Row],[Product Code]],Product_Code,Unit_Price,0)</f>
        <v>11</v>
      </c>
      <c r="N154" s="31">
        <f>DATEDIF(Table2_1[[#This Row],[Buyer Date of Birth]],Table2_1[[#This Row],[Transaction  Date]],"Y")</f>
        <v>24</v>
      </c>
      <c r="O154" s="33">
        <v>4470</v>
      </c>
      <c r="P154" s="33">
        <f>Table2_1[[#This Row],[Quantity Purchased]]*Table2_1[[#This Row],[UnitPrice]]*(1-Table2_1[[#This Row],[Discount]])</f>
        <v>4425.3</v>
      </c>
      <c r="Q154" s="33">
        <f>Table2_1[[#This Row],[Revenue]]-Table2_1[[#This Row],[COGS]]</f>
        <v>-44.699999999999818</v>
      </c>
      <c r="R154" s="39">
        <f>WEEKDAY(Table2_1[[#This Row],[Transaction  Date]])</f>
        <v>2</v>
      </c>
      <c r="S154" s="17" t="str">
        <f>IF(WEEKDAY(Table2_1[[#This Row],[Transaction  Date]],2)&lt;=5,"Weekday","Weekend")</f>
        <v>Weekday</v>
      </c>
      <c r="T154" s="37" t="str">
        <f>FLOOR(Table2_1[[#This Row],[Age]],15)&amp; "-"&amp; FLOOR(Table2_1[[#This Row],[Age]],15)+14</f>
        <v>15-29</v>
      </c>
    </row>
    <row r="155" spans="1:20" x14ac:dyDescent="0.3">
      <c r="A155" s="18">
        <v>45320</v>
      </c>
      <c r="B155" s="17" t="s">
        <v>1081</v>
      </c>
      <c r="C155" s="17" t="s">
        <v>71</v>
      </c>
      <c r="D155" s="18">
        <v>23915</v>
      </c>
      <c r="E155" s="16" t="s">
        <v>20</v>
      </c>
      <c r="F155" s="31">
        <v>243</v>
      </c>
      <c r="G155" s="17" t="s">
        <v>34</v>
      </c>
      <c r="H155" s="17" t="s">
        <v>28</v>
      </c>
      <c r="I155" s="17" t="s">
        <v>17</v>
      </c>
      <c r="J155" s="27">
        <v>0.1</v>
      </c>
      <c r="K155" s="17" t="s">
        <v>930</v>
      </c>
      <c r="L155" s="32">
        <v>14</v>
      </c>
      <c r="M155" s="32">
        <f>_xlfn.XLOOKUP(Table2_1[[#This Row],[Product Code]],Product_Code,Unit_Price,0)</f>
        <v>28</v>
      </c>
      <c r="N155" s="31">
        <f>DATEDIF(Table2_1[[#This Row],[Buyer Date of Birth]],Table2_1[[#This Row],[Transaction  Date]],"Y")</f>
        <v>58</v>
      </c>
      <c r="O155" s="33">
        <v>3402</v>
      </c>
      <c r="P155" s="33">
        <f>Table2_1[[#This Row],[Quantity Purchased]]*Table2_1[[#This Row],[UnitPrice]]*(1-Table2_1[[#This Row],[Discount]])</f>
        <v>6123.6</v>
      </c>
      <c r="Q155" s="33">
        <f>Table2_1[[#This Row],[Revenue]]-Table2_1[[#This Row],[COGS]]</f>
        <v>2721.6000000000004</v>
      </c>
      <c r="R155" s="39">
        <f>WEEKDAY(Table2_1[[#This Row],[Transaction  Date]])</f>
        <v>2</v>
      </c>
      <c r="S155" s="17" t="str">
        <f>IF(WEEKDAY(Table2_1[[#This Row],[Transaction  Date]],2)&lt;=5,"Weekday","Weekend")</f>
        <v>Weekday</v>
      </c>
      <c r="T155" s="37" t="str">
        <f>FLOOR(Table2_1[[#This Row],[Age]],15)&amp; "-"&amp; FLOOR(Table2_1[[#This Row],[Age]],15)+14</f>
        <v>45-59</v>
      </c>
    </row>
    <row r="156" spans="1:20" x14ac:dyDescent="0.3">
      <c r="A156" s="18">
        <v>45320</v>
      </c>
      <c r="B156" s="17" t="s">
        <v>1838</v>
      </c>
      <c r="C156" s="17" t="s">
        <v>83</v>
      </c>
      <c r="D156" s="18">
        <v>30327</v>
      </c>
      <c r="E156" s="16" t="s">
        <v>68</v>
      </c>
      <c r="F156" s="31">
        <v>456</v>
      </c>
      <c r="G156" s="17" t="s">
        <v>42</v>
      </c>
      <c r="H156" s="17" t="s">
        <v>52</v>
      </c>
      <c r="I156" s="17" t="s">
        <v>17</v>
      </c>
      <c r="J156" s="27">
        <v>0.1</v>
      </c>
      <c r="K156" s="17" t="s">
        <v>926</v>
      </c>
      <c r="L156" s="32">
        <v>10</v>
      </c>
      <c r="M156" s="32">
        <f>_xlfn.XLOOKUP(Table2_1[[#This Row],[Product Code]],Product_Code,Unit_Price,0)</f>
        <v>11</v>
      </c>
      <c r="N156" s="31">
        <f>DATEDIF(Table2_1[[#This Row],[Buyer Date of Birth]],Table2_1[[#This Row],[Transaction  Date]],"Y")</f>
        <v>41</v>
      </c>
      <c r="O156" s="33">
        <v>4560</v>
      </c>
      <c r="P156" s="33">
        <f>Table2_1[[#This Row],[Quantity Purchased]]*Table2_1[[#This Row],[UnitPrice]]*(1-Table2_1[[#This Row],[Discount]])</f>
        <v>4514.4000000000005</v>
      </c>
      <c r="Q156" s="33">
        <f>Table2_1[[#This Row],[Revenue]]-Table2_1[[#This Row],[COGS]]</f>
        <v>-45.599999999999454</v>
      </c>
      <c r="R156" s="39">
        <f>WEEKDAY(Table2_1[[#This Row],[Transaction  Date]])</f>
        <v>2</v>
      </c>
      <c r="S156" s="17" t="str">
        <f>IF(WEEKDAY(Table2_1[[#This Row],[Transaction  Date]],2)&lt;=5,"Weekday","Weekend")</f>
        <v>Weekday</v>
      </c>
      <c r="T156" s="37" t="str">
        <f>FLOOR(Table2_1[[#This Row],[Age]],15)&amp; "-"&amp; FLOOR(Table2_1[[#This Row],[Age]],15)+14</f>
        <v>30-44</v>
      </c>
    </row>
    <row r="157" spans="1:20" x14ac:dyDescent="0.3">
      <c r="A157" s="18">
        <v>45320</v>
      </c>
      <c r="B157" s="17" t="s">
        <v>1082</v>
      </c>
      <c r="C157" s="17" t="s">
        <v>83</v>
      </c>
      <c r="D157" s="18">
        <v>32198</v>
      </c>
      <c r="E157" s="16" t="s">
        <v>33</v>
      </c>
      <c r="F157" s="31">
        <v>383</v>
      </c>
      <c r="G157" s="17" t="s">
        <v>59</v>
      </c>
      <c r="H157" s="17" t="s">
        <v>52</v>
      </c>
      <c r="I157" s="17" t="s">
        <v>17</v>
      </c>
      <c r="J157" s="27">
        <v>0.1</v>
      </c>
      <c r="K157" s="17" t="s">
        <v>932</v>
      </c>
      <c r="L157" s="32">
        <v>19</v>
      </c>
      <c r="M157" s="32">
        <f>_xlfn.XLOOKUP(Table2_1[[#This Row],[Product Code]],Product_Code,Unit_Price,0)</f>
        <v>23</v>
      </c>
      <c r="N157" s="31">
        <f>DATEDIF(Table2_1[[#This Row],[Buyer Date of Birth]],Table2_1[[#This Row],[Transaction  Date]],"Y")</f>
        <v>35</v>
      </c>
      <c r="O157" s="33">
        <v>7277</v>
      </c>
      <c r="P157" s="33">
        <f>Table2_1[[#This Row],[Quantity Purchased]]*Table2_1[[#This Row],[UnitPrice]]*(1-Table2_1[[#This Row],[Discount]])</f>
        <v>7928.1</v>
      </c>
      <c r="Q157" s="33">
        <f>Table2_1[[#This Row],[Revenue]]-Table2_1[[#This Row],[COGS]]</f>
        <v>651.10000000000036</v>
      </c>
      <c r="R157" s="39">
        <f>WEEKDAY(Table2_1[[#This Row],[Transaction  Date]])</f>
        <v>2</v>
      </c>
      <c r="S157" s="17" t="str">
        <f>IF(WEEKDAY(Table2_1[[#This Row],[Transaction  Date]],2)&lt;=5,"Weekday","Weekend")</f>
        <v>Weekday</v>
      </c>
      <c r="T157" s="37" t="str">
        <f>FLOOR(Table2_1[[#This Row],[Age]],15)&amp; "-"&amp; FLOOR(Table2_1[[#This Row],[Age]],15)+14</f>
        <v>30-44</v>
      </c>
    </row>
    <row r="158" spans="1:20" x14ac:dyDescent="0.3">
      <c r="A158" s="18">
        <v>45320</v>
      </c>
      <c r="B158" s="17" t="s">
        <v>1083</v>
      </c>
      <c r="C158" s="17" t="s">
        <v>26</v>
      </c>
      <c r="D158" s="18">
        <v>22854</v>
      </c>
      <c r="E158" s="16" t="s">
        <v>33</v>
      </c>
      <c r="F158" s="31">
        <v>94</v>
      </c>
      <c r="G158" s="17" t="s">
        <v>21</v>
      </c>
      <c r="H158" s="17" t="s">
        <v>52</v>
      </c>
      <c r="I158" s="17" t="s">
        <v>17</v>
      </c>
      <c r="J158" s="27">
        <v>0.1</v>
      </c>
      <c r="K158" s="17" t="s">
        <v>934</v>
      </c>
      <c r="L158" s="32">
        <v>10</v>
      </c>
      <c r="M158" s="32">
        <f>_xlfn.XLOOKUP(Table2_1[[#This Row],[Product Code]],Product_Code,Unit_Price,0)</f>
        <v>45</v>
      </c>
      <c r="N158" s="31">
        <f>DATEDIF(Table2_1[[#This Row],[Buyer Date of Birth]],Table2_1[[#This Row],[Transaction  Date]],"Y")</f>
        <v>61</v>
      </c>
      <c r="O158" s="33">
        <v>940</v>
      </c>
      <c r="P158" s="33">
        <f>Table2_1[[#This Row],[Quantity Purchased]]*Table2_1[[#This Row],[UnitPrice]]*(1-Table2_1[[#This Row],[Discount]])</f>
        <v>3807</v>
      </c>
      <c r="Q158" s="33">
        <f>Table2_1[[#This Row],[Revenue]]-Table2_1[[#This Row],[COGS]]</f>
        <v>2867</v>
      </c>
      <c r="R158" s="39">
        <f>WEEKDAY(Table2_1[[#This Row],[Transaction  Date]])</f>
        <v>2</v>
      </c>
      <c r="S158" s="17" t="str">
        <f>IF(WEEKDAY(Table2_1[[#This Row],[Transaction  Date]],2)&lt;=5,"Weekday","Weekend")</f>
        <v>Weekday</v>
      </c>
      <c r="T158" s="37" t="str">
        <f>FLOOR(Table2_1[[#This Row],[Age]],15)&amp; "-"&amp; FLOOR(Table2_1[[#This Row],[Age]],15)+14</f>
        <v>60-74</v>
      </c>
    </row>
    <row r="159" spans="1:20" x14ac:dyDescent="0.3">
      <c r="A159" s="18">
        <v>45321</v>
      </c>
      <c r="B159" s="17" t="s">
        <v>1084</v>
      </c>
      <c r="C159" s="17" t="s">
        <v>13</v>
      </c>
      <c r="D159" s="18">
        <v>24246</v>
      </c>
      <c r="E159" s="16" t="s">
        <v>20</v>
      </c>
      <c r="F159" s="31">
        <v>220</v>
      </c>
      <c r="G159" s="17" t="s">
        <v>27</v>
      </c>
      <c r="H159" s="17" t="s">
        <v>35</v>
      </c>
      <c r="I159" s="17" t="s">
        <v>29</v>
      </c>
      <c r="J159" s="27">
        <v>0.1</v>
      </c>
      <c r="K159" s="17" t="s">
        <v>927</v>
      </c>
      <c r="L159" s="32">
        <v>18</v>
      </c>
      <c r="M159" s="32">
        <f>_xlfn.XLOOKUP(Table2_1[[#This Row],[Product Code]],Product_Code,Unit_Price,0)</f>
        <v>22</v>
      </c>
      <c r="N159" s="31">
        <f>DATEDIF(Table2_1[[#This Row],[Buyer Date of Birth]],Table2_1[[#This Row],[Transaction  Date]],"Y")</f>
        <v>57</v>
      </c>
      <c r="O159" s="33">
        <v>3960</v>
      </c>
      <c r="P159" s="33">
        <f>Table2_1[[#This Row],[Quantity Purchased]]*Table2_1[[#This Row],[UnitPrice]]*(1-Table2_1[[#This Row],[Discount]])</f>
        <v>4356</v>
      </c>
      <c r="Q159" s="33">
        <f>Table2_1[[#This Row],[Revenue]]-Table2_1[[#This Row],[COGS]]</f>
        <v>396</v>
      </c>
      <c r="R159" s="39">
        <f>WEEKDAY(Table2_1[[#This Row],[Transaction  Date]])</f>
        <v>3</v>
      </c>
      <c r="S159" s="17" t="str">
        <f>IF(WEEKDAY(Table2_1[[#This Row],[Transaction  Date]],2)&lt;=5,"Weekday","Weekend")</f>
        <v>Weekday</v>
      </c>
      <c r="T159" s="37" t="str">
        <f>FLOOR(Table2_1[[#This Row],[Age]],15)&amp; "-"&amp; FLOOR(Table2_1[[#This Row],[Age]],15)+14</f>
        <v>45-59</v>
      </c>
    </row>
    <row r="160" spans="1:20" x14ac:dyDescent="0.3">
      <c r="A160" s="18">
        <v>45321</v>
      </c>
      <c r="B160" s="17" t="s">
        <v>1085</v>
      </c>
      <c r="C160" s="17" t="s">
        <v>32</v>
      </c>
      <c r="D160" s="18">
        <v>26530</v>
      </c>
      <c r="E160" s="16" t="s">
        <v>68</v>
      </c>
      <c r="F160" s="31">
        <v>59</v>
      </c>
      <c r="G160" s="17" t="s">
        <v>34</v>
      </c>
      <c r="H160" s="17" t="s">
        <v>52</v>
      </c>
      <c r="I160" s="17" t="s">
        <v>17</v>
      </c>
      <c r="J160" s="27">
        <v>0.1</v>
      </c>
      <c r="K160" s="17" t="s">
        <v>930</v>
      </c>
      <c r="L160" s="32">
        <v>14</v>
      </c>
      <c r="M160" s="32">
        <f>_xlfn.XLOOKUP(Table2_1[[#This Row],[Product Code]],Product_Code,Unit_Price,0)</f>
        <v>28</v>
      </c>
      <c r="N160" s="31">
        <f>DATEDIF(Table2_1[[#This Row],[Buyer Date of Birth]],Table2_1[[#This Row],[Transaction  Date]],"Y")</f>
        <v>51</v>
      </c>
      <c r="O160" s="33">
        <v>826</v>
      </c>
      <c r="P160" s="33">
        <f>Table2_1[[#This Row],[Quantity Purchased]]*Table2_1[[#This Row],[UnitPrice]]*(1-Table2_1[[#This Row],[Discount]])</f>
        <v>1486.8</v>
      </c>
      <c r="Q160" s="33">
        <f>Table2_1[[#This Row],[Revenue]]-Table2_1[[#This Row],[COGS]]</f>
        <v>660.8</v>
      </c>
      <c r="R160" s="39">
        <f>WEEKDAY(Table2_1[[#This Row],[Transaction  Date]])</f>
        <v>3</v>
      </c>
      <c r="S160" s="17" t="str">
        <f>IF(WEEKDAY(Table2_1[[#This Row],[Transaction  Date]],2)&lt;=5,"Weekday","Weekend")</f>
        <v>Weekday</v>
      </c>
      <c r="T160" s="37" t="str">
        <f>FLOOR(Table2_1[[#This Row],[Age]],15)&amp; "-"&amp; FLOOR(Table2_1[[#This Row],[Age]],15)+14</f>
        <v>45-59</v>
      </c>
    </row>
    <row r="161" spans="1:20" x14ac:dyDescent="0.3">
      <c r="A161" s="18">
        <v>45321</v>
      </c>
      <c r="B161" s="17" t="s">
        <v>1086</v>
      </c>
      <c r="C161" s="17" t="s">
        <v>46</v>
      </c>
      <c r="D161" s="18">
        <v>27299</v>
      </c>
      <c r="E161" s="16" t="s">
        <v>68</v>
      </c>
      <c r="F161" s="31">
        <v>258</v>
      </c>
      <c r="G161" s="17" t="s">
        <v>64</v>
      </c>
      <c r="H161" s="17" t="s">
        <v>28</v>
      </c>
      <c r="I161" s="17" t="s">
        <v>17</v>
      </c>
      <c r="J161" s="27">
        <v>0.1</v>
      </c>
      <c r="K161" s="17" t="s">
        <v>933</v>
      </c>
      <c r="L161" s="32">
        <v>5</v>
      </c>
      <c r="M161" s="32">
        <f>_xlfn.XLOOKUP(Table2_1[[#This Row],[Product Code]],Product_Code,Unit_Price,0)</f>
        <v>7</v>
      </c>
      <c r="N161" s="31">
        <f>DATEDIF(Table2_1[[#This Row],[Buyer Date of Birth]],Table2_1[[#This Row],[Transaction  Date]],"Y")</f>
        <v>49</v>
      </c>
      <c r="O161" s="33">
        <v>1290</v>
      </c>
      <c r="P161" s="33">
        <f>Table2_1[[#This Row],[Quantity Purchased]]*Table2_1[[#This Row],[UnitPrice]]*(1-Table2_1[[#This Row],[Discount]])</f>
        <v>1625.4</v>
      </c>
      <c r="Q161" s="33">
        <f>Table2_1[[#This Row],[Revenue]]-Table2_1[[#This Row],[COGS]]</f>
        <v>335.40000000000009</v>
      </c>
      <c r="R161" s="39">
        <f>WEEKDAY(Table2_1[[#This Row],[Transaction  Date]])</f>
        <v>3</v>
      </c>
      <c r="S161" s="17" t="str">
        <f>IF(WEEKDAY(Table2_1[[#This Row],[Transaction  Date]],2)&lt;=5,"Weekday","Weekend")</f>
        <v>Weekday</v>
      </c>
      <c r="T161" s="37" t="str">
        <f>FLOOR(Table2_1[[#This Row],[Age]],15)&amp; "-"&amp; FLOOR(Table2_1[[#This Row],[Age]],15)+14</f>
        <v>45-59</v>
      </c>
    </row>
    <row r="162" spans="1:20" x14ac:dyDescent="0.3">
      <c r="A162" s="18">
        <v>45322</v>
      </c>
      <c r="B162" s="17" t="s">
        <v>1087</v>
      </c>
      <c r="C162" s="17" t="s">
        <v>83</v>
      </c>
      <c r="D162" s="18">
        <v>22412</v>
      </c>
      <c r="E162" s="16" t="s">
        <v>68</v>
      </c>
      <c r="F162" s="31">
        <v>216</v>
      </c>
      <c r="G162" s="17" t="s">
        <v>21</v>
      </c>
      <c r="H162" s="17" t="s">
        <v>48</v>
      </c>
      <c r="I162" s="17" t="s">
        <v>17</v>
      </c>
      <c r="J162" s="27">
        <v>0.1</v>
      </c>
      <c r="K162" s="17" t="s">
        <v>934</v>
      </c>
      <c r="L162" s="32">
        <v>10</v>
      </c>
      <c r="M162" s="32">
        <f>_xlfn.XLOOKUP(Table2_1[[#This Row],[Product Code]],Product_Code,Unit_Price,0)</f>
        <v>45</v>
      </c>
      <c r="N162" s="31">
        <f>DATEDIF(Table2_1[[#This Row],[Buyer Date of Birth]],Table2_1[[#This Row],[Transaction  Date]],"Y")</f>
        <v>62</v>
      </c>
      <c r="O162" s="33">
        <v>2160</v>
      </c>
      <c r="P162" s="33">
        <f>Table2_1[[#This Row],[Quantity Purchased]]*Table2_1[[#This Row],[UnitPrice]]*(1-Table2_1[[#This Row],[Discount]])</f>
        <v>8748</v>
      </c>
      <c r="Q162" s="33">
        <f>Table2_1[[#This Row],[Revenue]]-Table2_1[[#This Row],[COGS]]</f>
        <v>6588</v>
      </c>
      <c r="R162" s="39">
        <f>WEEKDAY(Table2_1[[#This Row],[Transaction  Date]])</f>
        <v>4</v>
      </c>
      <c r="S162" s="17" t="str">
        <f>IF(WEEKDAY(Table2_1[[#This Row],[Transaction  Date]],2)&lt;=5,"Weekday","Weekend")</f>
        <v>Weekday</v>
      </c>
      <c r="T162" s="37" t="str">
        <f>FLOOR(Table2_1[[#This Row],[Age]],15)&amp; "-"&amp; FLOOR(Table2_1[[#This Row],[Age]],15)+14</f>
        <v>60-74</v>
      </c>
    </row>
    <row r="163" spans="1:20" x14ac:dyDescent="0.3">
      <c r="A163" s="18">
        <v>45322</v>
      </c>
      <c r="B163" s="17" t="s">
        <v>1839</v>
      </c>
      <c r="C163" s="17" t="s">
        <v>94</v>
      </c>
      <c r="D163" s="18">
        <v>38291</v>
      </c>
      <c r="E163" s="16" t="s">
        <v>68</v>
      </c>
      <c r="F163" s="31">
        <v>340</v>
      </c>
      <c r="G163" s="17" t="s">
        <v>21</v>
      </c>
      <c r="H163" s="17" t="s">
        <v>52</v>
      </c>
      <c r="I163" s="17" t="s">
        <v>17</v>
      </c>
      <c r="J163" s="27">
        <v>0.1</v>
      </c>
      <c r="K163" s="17" t="s">
        <v>934</v>
      </c>
      <c r="L163" s="32">
        <v>10</v>
      </c>
      <c r="M163" s="32">
        <f>_xlfn.XLOOKUP(Table2_1[[#This Row],[Product Code]],Product_Code,Unit_Price,0)</f>
        <v>45</v>
      </c>
      <c r="N163" s="31">
        <f>DATEDIF(Table2_1[[#This Row],[Buyer Date of Birth]],Table2_1[[#This Row],[Transaction  Date]],"Y")</f>
        <v>19</v>
      </c>
      <c r="O163" s="33">
        <v>3400</v>
      </c>
      <c r="P163" s="33">
        <f>Table2_1[[#This Row],[Quantity Purchased]]*Table2_1[[#This Row],[UnitPrice]]*(1-Table2_1[[#This Row],[Discount]])</f>
        <v>13770</v>
      </c>
      <c r="Q163" s="33">
        <f>Table2_1[[#This Row],[Revenue]]-Table2_1[[#This Row],[COGS]]</f>
        <v>10370</v>
      </c>
      <c r="R163" s="39">
        <f>WEEKDAY(Table2_1[[#This Row],[Transaction  Date]])</f>
        <v>4</v>
      </c>
      <c r="S163" s="17" t="str">
        <f>IF(WEEKDAY(Table2_1[[#This Row],[Transaction  Date]],2)&lt;=5,"Weekday","Weekend")</f>
        <v>Weekday</v>
      </c>
      <c r="T163" s="37" t="str">
        <f>FLOOR(Table2_1[[#This Row],[Age]],15)&amp; "-"&amp; FLOOR(Table2_1[[#This Row],[Age]],15)+14</f>
        <v>15-29</v>
      </c>
    </row>
    <row r="164" spans="1:20" x14ac:dyDescent="0.3">
      <c r="A164" s="18">
        <v>45322</v>
      </c>
      <c r="B164" s="17" t="s">
        <v>1088</v>
      </c>
      <c r="C164" s="17" t="s">
        <v>78</v>
      </c>
      <c r="D164" s="18">
        <v>15974</v>
      </c>
      <c r="E164" s="16" t="s">
        <v>20</v>
      </c>
      <c r="F164" s="31">
        <v>205</v>
      </c>
      <c r="G164" s="17" t="s">
        <v>21</v>
      </c>
      <c r="H164" s="17" t="s">
        <v>52</v>
      </c>
      <c r="I164" s="17" t="s">
        <v>29</v>
      </c>
      <c r="J164" s="27">
        <v>0.1</v>
      </c>
      <c r="K164" s="17" t="s">
        <v>934</v>
      </c>
      <c r="L164" s="32">
        <v>10</v>
      </c>
      <c r="M164" s="32">
        <f>_xlfn.XLOOKUP(Table2_1[[#This Row],[Product Code]],Product_Code,Unit_Price,0)</f>
        <v>45</v>
      </c>
      <c r="N164" s="31">
        <f>DATEDIF(Table2_1[[#This Row],[Buyer Date of Birth]],Table2_1[[#This Row],[Transaction  Date]],"Y")</f>
        <v>80</v>
      </c>
      <c r="O164" s="33">
        <v>2050</v>
      </c>
      <c r="P164" s="33">
        <f>Table2_1[[#This Row],[Quantity Purchased]]*Table2_1[[#This Row],[UnitPrice]]*(1-Table2_1[[#This Row],[Discount]])</f>
        <v>8302.5</v>
      </c>
      <c r="Q164" s="33">
        <f>Table2_1[[#This Row],[Revenue]]-Table2_1[[#This Row],[COGS]]</f>
        <v>6252.5</v>
      </c>
      <c r="R164" s="39">
        <f>WEEKDAY(Table2_1[[#This Row],[Transaction  Date]])</f>
        <v>4</v>
      </c>
      <c r="S164" s="17" t="str">
        <f>IF(WEEKDAY(Table2_1[[#This Row],[Transaction  Date]],2)&lt;=5,"Weekday","Weekend")</f>
        <v>Weekday</v>
      </c>
      <c r="T164" s="37" t="str">
        <f>FLOOR(Table2_1[[#This Row],[Age]],15)&amp; "-"&amp; FLOOR(Table2_1[[#This Row],[Age]],15)+14</f>
        <v>75-89</v>
      </c>
    </row>
    <row r="165" spans="1:20" x14ac:dyDescent="0.3">
      <c r="A165" s="18">
        <v>45322</v>
      </c>
      <c r="B165" s="17" t="s">
        <v>1089</v>
      </c>
      <c r="C165" s="17" t="s">
        <v>83</v>
      </c>
      <c r="D165" s="18">
        <v>38111</v>
      </c>
      <c r="E165" s="16" t="s">
        <v>68</v>
      </c>
      <c r="F165" s="31">
        <v>39</v>
      </c>
      <c r="G165" s="17" t="s">
        <v>47</v>
      </c>
      <c r="H165" s="17" t="s">
        <v>28</v>
      </c>
      <c r="I165" s="17" t="s">
        <v>17</v>
      </c>
      <c r="J165" s="27">
        <v>0.1</v>
      </c>
      <c r="K165" s="17" t="s">
        <v>931</v>
      </c>
      <c r="L165" s="32">
        <v>7</v>
      </c>
      <c r="M165" s="32">
        <f>_xlfn.XLOOKUP(Table2_1[[#This Row],[Product Code]],Product_Code,Unit_Price,0)</f>
        <v>9</v>
      </c>
      <c r="N165" s="31">
        <f>DATEDIF(Table2_1[[#This Row],[Buyer Date of Birth]],Table2_1[[#This Row],[Transaction  Date]],"Y")</f>
        <v>19</v>
      </c>
      <c r="O165" s="33">
        <v>273</v>
      </c>
      <c r="P165" s="33">
        <f>Table2_1[[#This Row],[Quantity Purchased]]*Table2_1[[#This Row],[UnitPrice]]*(1-Table2_1[[#This Row],[Discount]])</f>
        <v>315.90000000000003</v>
      </c>
      <c r="Q165" s="33">
        <f>Table2_1[[#This Row],[Revenue]]-Table2_1[[#This Row],[COGS]]</f>
        <v>42.900000000000034</v>
      </c>
      <c r="R165" s="39">
        <f>WEEKDAY(Table2_1[[#This Row],[Transaction  Date]])</f>
        <v>4</v>
      </c>
      <c r="S165" s="17" t="str">
        <f>IF(WEEKDAY(Table2_1[[#This Row],[Transaction  Date]],2)&lt;=5,"Weekday","Weekend")</f>
        <v>Weekday</v>
      </c>
      <c r="T165" s="37" t="str">
        <f>FLOOR(Table2_1[[#This Row],[Age]],15)&amp; "-"&amp; FLOOR(Table2_1[[#This Row],[Age]],15)+14</f>
        <v>15-29</v>
      </c>
    </row>
    <row r="166" spans="1:20" x14ac:dyDescent="0.3">
      <c r="A166" s="18">
        <v>45322</v>
      </c>
      <c r="B166" s="17" t="s">
        <v>1840</v>
      </c>
      <c r="C166" s="17" t="s">
        <v>94</v>
      </c>
      <c r="D166" s="18">
        <v>37651</v>
      </c>
      <c r="E166" s="16" t="s">
        <v>14</v>
      </c>
      <c r="F166" s="31">
        <v>134</v>
      </c>
      <c r="G166" s="17" t="s">
        <v>65</v>
      </c>
      <c r="H166" s="17" t="s">
        <v>52</v>
      </c>
      <c r="I166" s="17" t="s">
        <v>17</v>
      </c>
      <c r="J166" s="27">
        <v>0.1</v>
      </c>
      <c r="K166" s="17" t="s">
        <v>928</v>
      </c>
      <c r="L166" s="32">
        <v>3</v>
      </c>
      <c r="M166" s="32">
        <f>_xlfn.XLOOKUP(Table2_1[[#This Row],[Product Code]],Product_Code,Unit_Price,0)</f>
        <v>5</v>
      </c>
      <c r="N166" s="31">
        <f>DATEDIF(Table2_1[[#This Row],[Buyer Date of Birth]],Table2_1[[#This Row],[Transaction  Date]],"Y")</f>
        <v>21</v>
      </c>
      <c r="O166" s="33">
        <v>402</v>
      </c>
      <c r="P166" s="33">
        <f>Table2_1[[#This Row],[Quantity Purchased]]*Table2_1[[#This Row],[UnitPrice]]*(1-Table2_1[[#This Row],[Discount]])</f>
        <v>603</v>
      </c>
      <c r="Q166" s="33">
        <f>Table2_1[[#This Row],[Revenue]]-Table2_1[[#This Row],[COGS]]</f>
        <v>201</v>
      </c>
      <c r="R166" s="39">
        <f>WEEKDAY(Table2_1[[#This Row],[Transaction  Date]])</f>
        <v>4</v>
      </c>
      <c r="S166" s="17" t="str">
        <f>IF(WEEKDAY(Table2_1[[#This Row],[Transaction  Date]],2)&lt;=5,"Weekday","Weekend")</f>
        <v>Weekday</v>
      </c>
      <c r="T166" s="37" t="str">
        <f>FLOOR(Table2_1[[#This Row],[Age]],15)&amp; "-"&amp; FLOOR(Table2_1[[#This Row],[Age]],15)+14</f>
        <v>15-29</v>
      </c>
    </row>
    <row r="167" spans="1:20" x14ac:dyDescent="0.3">
      <c r="A167" s="18">
        <v>45322</v>
      </c>
      <c r="B167" s="17" t="s">
        <v>1841</v>
      </c>
      <c r="C167" s="17" t="s">
        <v>83</v>
      </c>
      <c r="D167" s="18">
        <v>16513</v>
      </c>
      <c r="E167" s="16" t="s">
        <v>33</v>
      </c>
      <c r="F167" s="31">
        <v>388</v>
      </c>
      <c r="G167" s="17" t="s">
        <v>59</v>
      </c>
      <c r="H167" s="17" t="s">
        <v>28</v>
      </c>
      <c r="I167" s="17" t="s">
        <v>17</v>
      </c>
      <c r="J167" s="27">
        <v>0.1</v>
      </c>
      <c r="K167" s="17" t="s">
        <v>932</v>
      </c>
      <c r="L167" s="32">
        <v>19</v>
      </c>
      <c r="M167" s="32">
        <f>_xlfn.XLOOKUP(Table2_1[[#This Row],[Product Code]],Product_Code,Unit_Price,0)</f>
        <v>23</v>
      </c>
      <c r="N167" s="31">
        <f>DATEDIF(Table2_1[[#This Row],[Buyer Date of Birth]],Table2_1[[#This Row],[Transaction  Date]],"Y")</f>
        <v>78</v>
      </c>
      <c r="O167" s="33">
        <v>7372</v>
      </c>
      <c r="P167" s="33">
        <f>Table2_1[[#This Row],[Quantity Purchased]]*Table2_1[[#This Row],[UnitPrice]]*(1-Table2_1[[#This Row],[Discount]])</f>
        <v>8031.6</v>
      </c>
      <c r="Q167" s="33">
        <f>Table2_1[[#This Row],[Revenue]]-Table2_1[[#This Row],[COGS]]</f>
        <v>659.60000000000036</v>
      </c>
      <c r="R167" s="39">
        <f>WEEKDAY(Table2_1[[#This Row],[Transaction  Date]])</f>
        <v>4</v>
      </c>
      <c r="S167" s="17" t="str">
        <f>IF(WEEKDAY(Table2_1[[#This Row],[Transaction  Date]],2)&lt;=5,"Weekday","Weekend")</f>
        <v>Weekday</v>
      </c>
      <c r="T167" s="37" t="str">
        <f>FLOOR(Table2_1[[#This Row],[Age]],15)&amp; "-"&amp; FLOOR(Table2_1[[#This Row],[Age]],15)+14</f>
        <v>75-89</v>
      </c>
    </row>
    <row r="168" spans="1:20" x14ac:dyDescent="0.3">
      <c r="A168" s="18">
        <v>45322</v>
      </c>
      <c r="B168" s="17" t="s">
        <v>1090</v>
      </c>
      <c r="C168" s="17" t="s">
        <v>71</v>
      </c>
      <c r="D168" s="18">
        <v>33792</v>
      </c>
      <c r="E168" s="16" t="s">
        <v>14</v>
      </c>
      <c r="F168" s="31">
        <v>344</v>
      </c>
      <c r="G168" s="17" t="s">
        <v>21</v>
      </c>
      <c r="H168" s="17" t="s">
        <v>43</v>
      </c>
      <c r="I168" s="17" t="s">
        <v>17</v>
      </c>
      <c r="J168" s="27">
        <v>0.1</v>
      </c>
      <c r="K168" s="17" t="s">
        <v>934</v>
      </c>
      <c r="L168" s="32">
        <v>10</v>
      </c>
      <c r="M168" s="32">
        <f>_xlfn.XLOOKUP(Table2_1[[#This Row],[Product Code]],Product_Code,Unit_Price,0)</f>
        <v>45</v>
      </c>
      <c r="N168" s="31">
        <f>DATEDIF(Table2_1[[#This Row],[Buyer Date of Birth]],Table2_1[[#This Row],[Transaction  Date]],"Y")</f>
        <v>31</v>
      </c>
      <c r="O168" s="33">
        <v>3440</v>
      </c>
      <c r="P168" s="33">
        <f>Table2_1[[#This Row],[Quantity Purchased]]*Table2_1[[#This Row],[UnitPrice]]*(1-Table2_1[[#This Row],[Discount]])</f>
        <v>13932</v>
      </c>
      <c r="Q168" s="33">
        <f>Table2_1[[#This Row],[Revenue]]-Table2_1[[#This Row],[COGS]]</f>
        <v>10492</v>
      </c>
      <c r="R168" s="39">
        <f>WEEKDAY(Table2_1[[#This Row],[Transaction  Date]])</f>
        <v>4</v>
      </c>
      <c r="S168" s="17" t="str">
        <f>IF(WEEKDAY(Table2_1[[#This Row],[Transaction  Date]],2)&lt;=5,"Weekday","Weekend")</f>
        <v>Weekday</v>
      </c>
      <c r="T168" s="37" t="str">
        <f>FLOOR(Table2_1[[#This Row],[Age]],15)&amp; "-"&amp; FLOOR(Table2_1[[#This Row],[Age]],15)+14</f>
        <v>30-44</v>
      </c>
    </row>
    <row r="169" spans="1:20" x14ac:dyDescent="0.3">
      <c r="A169" s="18">
        <v>45323</v>
      </c>
      <c r="B169" s="17" t="s">
        <v>1091</v>
      </c>
      <c r="C169" s="17" t="s">
        <v>26</v>
      </c>
      <c r="D169" s="18">
        <v>38514</v>
      </c>
      <c r="E169" s="16" t="s">
        <v>14</v>
      </c>
      <c r="F169" s="31">
        <v>116</v>
      </c>
      <c r="G169" s="17" t="s">
        <v>59</v>
      </c>
      <c r="H169" s="17" t="s">
        <v>39</v>
      </c>
      <c r="I169" s="17" t="s">
        <v>17</v>
      </c>
      <c r="J169" s="27">
        <v>0.1</v>
      </c>
      <c r="K169" s="17" t="s">
        <v>932</v>
      </c>
      <c r="L169" s="32">
        <v>19</v>
      </c>
      <c r="M169" s="32">
        <f>_xlfn.XLOOKUP(Table2_1[[#This Row],[Product Code]],Product_Code,Unit_Price,0)</f>
        <v>23</v>
      </c>
      <c r="N169" s="31">
        <f>DATEDIF(Table2_1[[#This Row],[Buyer Date of Birth]],Table2_1[[#This Row],[Transaction  Date]],"Y")</f>
        <v>18</v>
      </c>
      <c r="O169" s="33">
        <v>2204</v>
      </c>
      <c r="P169" s="33">
        <f>Table2_1[[#This Row],[Quantity Purchased]]*Table2_1[[#This Row],[UnitPrice]]*(1-Table2_1[[#This Row],[Discount]])</f>
        <v>2401.2000000000003</v>
      </c>
      <c r="Q169" s="33">
        <f>Table2_1[[#This Row],[Revenue]]-Table2_1[[#This Row],[COGS]]</f>
        <v>197.20000000000027</v>
      </c>
      <c r="R169" s="39">
        <f>WEEKDAY(Table2_1[[#This Row],[Transaction  Date]])</f>
        <v>5</v>
      </c>
      <c r="S169" s="17" t="str">
        <f>IF(WEEKDAY(Table2_1[[#This Row],[Transaction  Date]],2)&lt;=5,"Weekday","Weekend")</f>
        <v>Weekday</v>
      </c>
      <c r="T169" s="37" t="str">
        <f>FLOOR(Table2_1[[#This Row],[Age]],15)&amp; "-"&amp; FLOOR(Table2_1[[#This Row],[Age]],15)+14</f>
        <v>15-29</v>
      </c>
    </row>
    <row r="170" spans="1:20" x14ac:dyDescent="0.3">
      <c r="A170" s="18">
        <v>45323</v>
      </c>
      <c r="B170" s="17" t="s">
        <v>1092</v>
      </c>
      <c r="C170" s="17" t="s">
        <v>83</v>
      </c>
      <c r="D170" s="18">
        <v>22472</v>
      </c>
      <c r="E170" s="16" t="s">
        <v>14</v>
      </c>
      <c r="F170" s="31">
        <v>390</v>
      </c>
      <c r="G170" s="17" t="s">
        <v>65</v>
      </c>
      <c r="H170" s="17" t="s">
        <v>48</v>
      </c>
      <c r="I170" s="17" t="s">
        <v>17</v>
      </c>
      <c r="J170" s="27">
        <v>0.1</v>
      </c>
      <c r="K170" s="17" t="s">
        <v>928</v>
      </c>
      <c r="L170" s="32">
        <v>3</v>
      </c>
      <c r="M170" s="32">
        <f>_xlfn.XLOOKUP(Table2_1[[#This Row],[Product Code]],Product_Code,Unit_Price,0)</f>
        <v>5</v>
      </c>
      <c r="N170" s="31">
        <f>DATEDIF(Table2_1[[#This Row],[Buyer Date of Birth]],Table2_1[[#This Row],[Transaction  Date]],"Y")</f>
        <v>62</v>
      </c>
      <c r="O170" s="33">
        <v>1170</v>
      </c>
      <c r="P170" s="33">
        <f>Table2_1[[#This Row],[Quantity Purchased]]*Table2_1[[#This Row],[UnitPrice]]*(1-Table2_1[[#This Row],[Discount]])</f>
        <v>1755</v>
      </c>
      <c r="Q170" s="33">
        <f>Table2_1[[#This Row],[Revenue]]-Table2_1[[#This Row],[COGS]]</f>
        <v>585</v>
      </c>
      <c r="R170" s="39">
        <f>WEEKDAY(Table2_1[[#This Row],[Transaction  Date]])</f>
        <v>5</v>
      </c>
      <c r="S170" s="17" t="str">
        <f>IF(WEEKDAY(Table2_1[[#This Row],[Transaction  Date]],2)&lt;=5,"Weekday","Weekend")</f>
        <v>Weekday</v>
      </c>
      <c r="T170" s="37" t="str">
        <f>FLOOR(Table2_1[[#This Row],[Age]],15)&amp; "-"&amp; FLOOR(Table2_1[[#This Row],[Age]],15)+14</f>
        <v>60-74</v>
      </c>
    </row>
    <row r="171" spans="1:20" x14ac:dyDescent="0.3">
      <c r="A171" s="18">
        <v>45323</v>
      </c>
      <c r="B171" s="17" t="s">
        <v>1093</v>
      </c>
      <c r="C171" s="17" t="s">
        <v>83</v>
      </c>
      <c r="D171" s="18">
        <v>17370</v>
      </c>
      <c r="E171" s="16" t="s">
        <v>33</v>
      </c>
      <c r="F171" s="31">
        <v>469</v>
      </c>
      <c r="G171" s="17" t="s">
        <v>59</v>
      </c>
      <c r="H171" s="17" t="s">
        <v>52</v>
      </c>
      <c r="I171" s="17" t="s">
        <v>17</v>
      </c>
      <c r="J171" s="27">
        <v>0.1</v>
      </c>
      <c r="K171" s="17" t="s">
        <v>932</v>
      </c>
      <c r="L171" s="32">
        <v>19</v>
      </c>
      <c r="M171" s="32">
        <f>_xlfn.XLOOKUP(Table2_1[[#This Row],[Product Code]],Product_Code,Unit_Price,0)</f>
        <v>23</v>
      </c>
      <c r="N171" s="31">
        <f>DATEDIF(Table2_1[[#This Row],[Buyer Date of Birth]],Table2_1[[#This Row],[Transaction  Date]],"Y")</f>
        <v>76</v>
      </c>
      <c r="O171" s="33">
        <v>8911</v>
      </c>
      <c r="P171" s="33">
        <f>Table2_1[[#This Row],[Quantity Purchased]]*Table2_1[[#This Row],[UnitPrice]]*(1-Table2_1[[#This Row],[Discount]])</f>
        <v>9708.3000000000011</v>
      </c>
      <c r="Q171" s="33">
        <f>Table2_1[[#This Row],[Revenue]]-Table2_1[[#This Row],[COGS]]</f>
        <v>797.30000000000109</v>
      </c>
      <c r="R171" s="39">
        <f>WEEKDAY(Table2_1[[#This Row],[Transaction  Date]])</f>
        <v>5</v>
      </c>
      <c r="S171" s="17" t="str">
        <f>IF(WEEKDAY(Table2_1[[#This Row],[Transaction  Date]],2)&lt;=5,"Weekday","Weekend")</f>
        <v>Weekday</v>
      </c>
      <c r="T171" s="37" t="str">
        <f>FLOOR(Table2_1[[#This Row],[Age]],15)&amp; "-"&amp; FLOOR(Table2_1[[#This Row],[Age]],15)+14</f>
        <v>75-89</v>
      </c>
    </row>
    <row r="172" spans="1:20" x14ac:dyDescent="0.3">
      <c r="A172" s="18">
        <v>45323</v>
      </c>
      <c r="B172" s="17" t="s">
        <v>1094</v>
      </c>
      <c r="C172" s="17" t="s">
        <v>78</v>
      </c>
      <c r="D172" s="18">
        <v>19201</v>
      </c>
      <c r="E172" s="16" t="s">
        <v>68</v>
      </c>
      <c r="F172" s="31">
        <v>486</v>
      </c>
      <c r="G172" s="17" t="s">
        <v>47</v>
      </c>
      <c r="H172" s="17" t="s">
        <v>52</v>
      </c>
      <c r="I172" s="17" t="s">
        <v>17</v>
      </c>
      <c r="J172" s="27">
        <v>0.1</v>
      </c>
      <c r="K172" s="17" t="s">
        <v>931</v>
      </c>
      <c r="L172" s="32">
        <v>7</v>
      </c>
      <c r="M172" s="32">
        <f>_xlfn.XLOOKUP(Table2_1[[#This Row],[Product Code]],Product_Code,Unit_Price,0)</f>
        <v>9</v>
      </c>
      <c r="N172" s="31">
        <f>DATEDIF(Table2_1[[#This Row],[Buyer Date of Birth]],Table2_1[[#This Row],[Transaction  Date]],"Y")</f>
        <v>71</v>
      </c>
      <c r="O172" s="33">
        <v>3402</v>
      </c>
      <c r="P172" s="33">
        <f>Table2_1[[#This Row],[Quantity Purchased]]*Table2_1[[#This Row],[UnitPrice]]*(1-Table2_1[[#This Row],[Discount]])</f>
        <v>3936.6</v>
      </c>
      <c r="Q172" s="33">
        <f>Table2_1[[#This Row],[Revenue]]-Table2_1[[#This Row],[COGS]]</f>
        <v>534.59999999999991</v>
      </c>
      <c r="R172" s="39">
        <f>WEEKDAY(Table2_1[[#This Row],[Transaction  Date]])</f>
        <v>5</v>
      </c>
      <c r="S172" s="17" t="str">
        <f>IF(WEEKDAY(Table2_1[[#This Row],[Transaction  Date]],2)&lt;=5,"Weekday","Weekend")</f>
        <v>Weekday</v>
      </c>
      <c r="T172" s="37" t="str">
        <f>FLOOR(Table2_1[[#This Row],[Age]],15)&amp; "-"&amp; FLOOR(Table2_1[[#This Row],[Age]],15)+14</f>
        <v>60-74</v>
      </c>
    </row>
    <row r="173" spans="1:20" x14ac:dyDescent="0.3">
      <c r="A173" s="18">
        <v>45323</v>
      </c>
      <c r="B173" s="17" t="s">
        <v>1095</v>
      </c>
      <c r="C173" s="17" t="s">
        <v>94</v>
      </c>
      <c r="D173" s="18">
        <v>27527</v>
      </c>
      <c r="E173" s="16" t="s">
        <v>14</v>
      </c>
      <c r="F173" s="31">
        <v>207</v>
      </c>
      <c r="G173" s="17" t="s">
        <v>64</v>
      </c>
      <c r="H173" s="17" t="s">
        <v>43</v>
      </c>
      <c r="I173" s="17" t="s">
        <v>17</v>
      </c>
      <c r="J173" s="27">
        <v>0.1</v>
      </c>
      <c r="K173" s="17" t="s">
        <v>933</v>
      </c>
      <c r="L173" s="32">
        <v>5</v>
      </c>
      <c r="M173" s="32">
        <f>_xlfn.XLOOKUP(Table2_1[[#This Row],[Product Code]],Product_Code,Unit_Price,0)</f>
        <v>7</v>
      </c>
      <c r="N173" s="31">
        <f>DATEDIF(Table2_1[[#This Row],[Buyer Date of Birth]],Table2_1[[#This Row],[Transaction  Date]],"Y")</f>
        <v>48</v>
      </c>
      <c r="O173" s="33">
        <v>1035</v>
      </c>
      <c r="P173" s="33">
        <f>Table2_1[[#This Row],[Quantity Purchased]]*Table2_1[[#This Row],[UnitPrice]]*(1-Table2_1[[#This Row],[Discount]])</f>
        <v>1304.1000000000001</v>
      </c>
      <c r="Q173" s="33">
        <f>Table2_1[[#This Row],[Revenue]]-Table2_1[[#This Row],[COGS]]</f>
        <v>269.10000000000014</v>
      </c>
      <c r="R173" s="39">
        <f>WEEKDAY(Table2_1[[#This Row],[Transaction  Date]])</f>
        <v>5</v>
      </c>
      <c r="S173" s="17" t="str">
        <f>IF(WEEKDAY(Table2_1[[#This Row],[Transaction  Date]],2)&lt;=5,"Weekday","Weekend")</f>
        <v>Weekday</v>
      </c>
      <c r="T173" s="37" t="str">
        <f>FLOOR(Table2_1[[#This Row],[Age]],15)&amp; "-"&amp; FLOOR(Table2_1[[#This Row],[Age]],15)+14</f>
        <v>45-59</v>
      </c>
    </row>
    <row r="174" spans="1:20" x14ac:dyDescent="0.3">
      <c r="A174" s="18">
        <v>45324</v>
      </c>
      <c r="B174" s="17" t="s">
        <v>1096</v>
      </c>
      <c r="C174" s="17" t="s">
        <v>38</v>
      </c>
      <c r="D174" s="18">
        <v>35291</v>
      </c>
      <c r="E174" s="16" t="s">
        <v>14</v>
      </c>
      <c r="F174" s="31">
        <v>92</v>
      </c>
      <c r="G174" s="17" t="s">
        <v>15</v>
      </c>
      <c r="H174" s="17" t="s">
        <v>52</v>
      </c>
      <c r="I174" s="17" t="s">
        <v>17</v>
      </c>
      <c r="J174" s="27">
        <v>0.1</v>
      </c>
      <c r="K174" s="17" t="s">
        <v>929</v>
      </c>
      <c r="L174" s="32">
        <v>10</v>
      </c>
      <c r="M174" s="32">
        <f>_xlfn.XLOOKUP(Table2_1[[#This Row],[Product Code]],Product_Code,Unit_Price,0)</f>
        <v>14</v>
      </c>
      <c r="N174" s="31">
        <f>DATEDIF(Table2_1[[#This Row],[Buyer Date of Birth]],Table2_1[[#This Row],[Transaction  Date]],"Y")</f>
        <v>27</v>
      </c>
      <c r="O174" s="33">
        <v>920</v>
      </c>
      <c r="P174" s="33">
        <f>Table2_1[[#This Row],[Quantity Purchased]]*Table2_1[[#This Row],[UnitPrice]]*(1-Table2_1[[#This Row],[Discount]])</f>
        <v>1159.2</v>
      </c>
      <c r="Q174" s="33">
        <f>Table2_1[[#This Row],[Revenue]]-Table2_1[[#This Row],[COGS]]</f>
        <v>239.20000000000005</v>
      </c>
      <c r="R174" s="39">
        <f>WEEKDAY(Table2_1[[#This Row],[Transaction  Date]])</f>
        <v>6</v>
      </c>
      <c r="S174" s="17" t="str">
        <f>IF(WEEKDAY(Table2_1[[#This Row],[Transaction  Date]],2)&lt;=5,"Weekday","Weekend")</f>
        <v>Weekday</v>
      </c>
      <c r="T174" s="37" t="str">
        <f>FLOOR(Table2_1[[#This Row],[Age]],15)&amp; "-"&amp; FLOOR(Table2_1[[#This Row],[Age]],15)+14</f>
        <v>15-29</v>
      </c>
    </row>
    <row r="175" spans="1:20" x14ac:dyDescent="0.3">
      <c r="A175" s="18">
        <v>45324</v>
      </c>
      <c r="B175" s="17" t="s">
        <v>1097</v>
      </c>
      <c r="C175" s="17" t="s">
        <v>71</v>
      </c>
      <c r="D175" s="18">
        <v>36917</v>
      </c>
      <c r="E175" s="16" t="s">
        <v>68</v>
      </c>
      <c r="F175" s="31">
        <v>43</v>
      </c>
      <c r="G175" s="17" t="s">
        <v>27</v>
      </c>
      <c r="H175" s="17" t="s">
        <v>43</v>
      </c>
      <c r="I175" s="17" t="s">
        <v>17</v>
      </c>
      <c r="J175" s="27">
        <v>0.1</v>
      </c>
      <c r="K175" s="17" t="s">
        <v>927</v>
      </c>
      <c r="L175" s="32">
        <v>18</v>
      </c>
      <c r="M175" s="32">
        <f>_xlfn.XLOOKUP(Table2_1[[#This Row],[Product Code]],Product_Code,Unit_Price,0)</f>
        <v>22</v>
      </c>
      <c r="N175" s="31">
        <f>DATEDIF(Table2_1[[#This Row],[Buyer Date of Birth]],Table2_1[[#This Row],[Transaction  Date]],"Y")</f>
        <v>23</v>
      </c>
      <c r="O175" s="33">
        <v>774</v>
      </c>
      <c r="P175" s="33">
        <f>Table2_1[[#This Row],[Quantity Purchased]]*Table2_1[[#This Row],[UnitPrice]]*(1-Table2_1[[#This Row],[Discount]])</f>
        <v>851.4</v>
      </c>
      <c r="Q175" s="33">
        <f>Table2_1[[#This Row],[Revenue]]-Table2_1[[#This Row],[COGS]]</f>
        <v>77.399999999999977</v>
      </c>
      <c r="R175" s="39">
        <f>WEEKDAY(Table2_1[[#This Row],[Transaction  Date]])</f>
        <v>6</v>
      </c>
      <c r="S175" s="17" t="str">
        <f>IF(WEEKDAY(Table2_1[[#This Row],[Transaction  Date]],2)&lt;=5,"Weekday","Weekend")</f>
        <v>Weekday</v>
      </c>
      <c r="T175" s="37" t="str">
        <f>FLOOR(Table2_1[[#This Row],[Age]],15)&amp; "-"&amp; FLOOR(Table2_1[[#This Row],[Age]],15)+14</f>
        <v>15-29</v>
      </c>
    </row>
    <row r="176" spans="1:20" x14ac:dyDescent="0.3">
      <c r="A176" s="18">
        <v>45324</v>
      </c>
      <c r="B176" s="17" t="s">
        <v>1098</v>
      </c>
      <c r="C176" s="17" t="s">
        <v>78</v>
      </c>
      <c r="D176" s="18">
        <v>19529</v>
      </c>
      <c r="E176" s="16" t="s">
        <v>68</v>
      </c>
      <c r="F176" s="31">
        <v>390</v>
      </c>
      <c r="G176" s="17" t="s">
        <v>64</v>
      </c>
      <c r="H176" s="17" t="s">
        <v>28</v>
      </c>
      <c r="I176" s="17" t="s">
        <v>17</v>
      </c>
      <c r="J176" s="27">
        <v>0.1</v>
      </c>
      <c r="K176" s="17" t="s">
        <v>933</v>
      </c>
      <c r="L176" s="32">
        <v>5</v>
      </c>
      <c r="M176" s="32">
        <f>_xlfn.XLOOKUP(Table2_1[[#This Row],[Product Code]],Product_Code,Unit_Price,0)</f>
        <v>7</v>
      </c>
      <c r="N176" s="31">
        <f>DATEDIF(Table2_1[[#This Row],[Buyer Date of Birth]],Table2_1[[#This Row],[Transaction  Date]],"Y")</f>
        <v>70</v>
      </c>
      <c r="O176" s="33">
        <v>1950</v>
      </c>
      <c r="P176" s="33">
        <f>Table2_1[[#This Row],[Quantity Purchased]]*Table2_1[[#This Row],[UnitPrice]]*(1-Table2_1[[#This Row],[Discount]])</f>
        <v>2457</v>
      </c>
      <c r="Q176" s="33">
        <f>Table2_1[[#This Row],[Revenue]]-Table2_1[[#This Row],[COGS]]</f>
        <v>507</v>
      </c>
      <c r="R176" s="39">
        <f>WEEKDAY(Table2_1[[#This Row],[Transaction  Date]])</f>
        <v>6</v>
      </c>
      <c r="S176" s="17" t="str">
        <f>IF(WEEKDAY(Table2_1[[#This Row],[Transaction  Date]],2)&lt;=5,"Weekday","Weekend")</f>
        <v>Weekday</v>
      </c>
      <c r="T176" s="37" t="str">
        <f>FLOOR(Table2_1[[#This Row],[Age]],15)&amp; "-"&amp; FLOOR(Table2_1[[#This Row],[Age]],15)+14</f>
        <v>60-74</v>
      </c>
    </row>
    <row r="177" spans="1:20" x14ac:dyDescent="0.3">
      <c r="A177" s="18">
        <v>45324</v>
      </c>
      <c r="B177" s="17" t="s">
        <v>1099</v>
      </c>
      <c r="C177" s="17" t="s">
        <v>83</v>
      </c>
      <c r="D177" s="18">
        <v>31658</v>
      </c>
      <c r="E177" s="16" t="s">
        <v>20</v>
      </c>
      <c r="F177" s="31">
        <v>412</v>
      </c>
      <c r="G177" s="17" t="s">
        <v>56</v>
      </c>
      <c r="H177" s="17" t="s">
        <v>48</v>
      </c>
      <c r="I177" s="17" t="s">
        <v>17</v>
      </c>
      <c r="J177" s="27">
        <v>0.1</v>
      </c>
      <c r="K177" s="17" t="s">
        <v>935</v>
      </c>
      <c r="L177" s="32">
        <v>18</v>
      </c>
      <c r="M177" s="32">
        <f>_xlfn.XLOOKUP(Table2_1[[#This Row],[Product Code]],Product_Code,Unit_Price,0)</f>
        <v>36</v>
      </c>
      <c r="N177" s="31">
        <f>DATEDIF(Table2_1[[#This Row],[Buyer Date of Birth]],Table2_1[[#This Row],[Transaction  Date]],"Y")</f>
        <v>37</v>
      </c>
      <c r="O177" s="33">
        <v>7416</v>
      </c>
      <c r="P177" s="33">
        <f>Table2_1[[#This Row],[Quantity Purchased]]*Table2_1[[#This Row],[UnitPrice]]*(1-Table2_1[[#This Row],[Discount]])</f>
        <v>13348.800000000001</v>
      </c>
      <c r="Q177" s="33">
        <f>Table2_1[[#This Row],[Revenue]]-Table2_1[[#This Row],[COGS]]</f>
        <v>5932.8000000000011</v>
      </c>
      <c r="R177" s="39">
        <f>WEEKDAY(Table2_1[[#This Row],[Transaction  Date]])</f>
        <v>6</v>
      </c>
      <c r="S177" s="17" t="str">
        <f>IF(WEEKDAY(Table2_1[[#This Row],[Transaction  Date]],2)&lt;=5,"Weekday","Weekend")</f>
        <v>Weekday</v>
      </c>
      <c r="T177" s="37" t="str">
        <f>FLOOR(Table2_1[[#This Row],[Age]],15)&amp; "-"&amp; FLOOR(Table2_1[[#This Row],[Age]],15)+14</f>
        <v>30-44</v>
      </c>
    </row>
    <row r="178" spans="1:20" x14ac:dyDescent="0.3">
      <c r="A178" s="18">
        <v>45324</v>
      </c>
      <c r="B178" s="17" t="s">
        <v>1100</v>
      </c>
      <c r="C178" s="17" t="s">
        <v>78</v>
      </c>
      <c r="D178" s="18">
        <v>28457</v>
      </c>
      <c r="E178" s="16" t="s">
        <v>68</v>
      </c>
      <c r="F178" s="31">
        <v>318</v>
      </c>
      <c r="G178" s="17" t="s">
        <v>65</v>
      </c>
      <c r="H178" s="17" t="s">
        <v>52</v>
      </c>
      <c r="I178" s="17" t="s">
        <v>17</v>
      </c>
      <c r="J178" s="27">
        <v>0.1</v>
      </c>
      <c r="K178" s="17" t="s">
        <v>928</v>
      </c>
      <c r="L178" s="32">
        <v>3</v>
      </c>
      <c r="M178" s="32">
        <f>_xlfn.XLOOKUP(Table2_1[[#This Row],[Product Code]],Product_Code,Unit_Price,0)</f>
        <v>5</v>
      </c>
      <c r="N178" s="31">
        <f>DATEDIF(Table2_1[[#This Row],[Buyer Date of Birth]],Table2_1[[#This Row],[Transaction  Date]],"Y")</f>
        <v>46</v>
      </c>
      <c r="O178" s="33">
        <v>954</v>
      </c>
      <c r="P178" s="33">
        <f>Table2_1[[#This Row],[Quantity Purchased]]*Table2_1[[#This Row],[UnitPrice]]*(1-Table2_1[[#This Row],[Discount]])</f>
        <v>1431</v>
      </c>
      <c r="Q178" s="33">
        <f>Table2_1[[#This Row],[Revenue]]-Table2_1[[#This Row],[COGS]]</f>
        <v>477</v>
      </c>
      <c r="R178" s="39">
        <f>WEEKDAY(Table2_1[[#This Row],[Transaction  Date]])</f>
        <v>6</v>
      </c>
      <c r="S178" s="17" t="str">
        <f>IF(WEEKDAY(Table2_1[[#This Row],[Transaction  Date]],2)&lt;=5,"Weekday","Weekend")</f>
        <v>Weekday</v>
      </c>
      <c r="T178" s="37" t="str">
        <f>FLOOR(Table2_1[[#This Row],[Age]],15)&amp; "-"&amp; FLOOR(Table2_1[[#This Row],[Age]],15)+14</f>
        <v>45-59</v>
      </c>
    </row>
    <row r="179" spans="1:20" x14ac:dyDescent="0.3">
      <c r="A179" s="18">
        <v>45325</v>
      </c>
      <c r="B179" s="17" t="s">
        <v>1101</v>
      </c>
      <c r="C179" s="17" t="s">
        <v>94</v>
      </c>
      <c r="D179" s="18">
        <v>27174</v>
      </c>
      <c r="E179" s="16" t="s">
        <v>33</v>
      </c>
      <c r="F179" s="31">
        <v>313</v>
      </c>
      <c r="G179" s="17" t="s">
        <v>47</v>
      </c>
      <c r="H179" s="17" t="s">
        <v>52</v>
      </c>
      <c r="I179" s="17" t="s">
        <v>17</v>
      </c>
      <c r="J179" s="27">
        <v>0.1</v>
      </c>
      <c r="K179" s="17" t="s">
        <v>931</v>
      </c>
      <c r="L179" s="32">
        <v>7</v>
      </c>
      <c r="M179" s="32">
        <f>_xlfn.XLOOKUP(Table2_1[[#This Row],[Product Code]],Product_Code,Unit_Price,0)</f>
        <v>9</v>
      </c>
      <c r="N179" s="31">
        <f>DATEDIF(Table2_1[[#This Row],[Buyer Date of Birth]],Table2_1[[#This Row],[Transaction  Date]],"Y")</f>
        <v>49</v>
      </c>
      <c r="O179" s="33">
        <v>2191</v>
      </c>
      <c r="P179" s="33">
        <f>Table2_1[[#This Row],[Quantity Purchased]]*Table2_1[[#This Row],[UnitPrice]]*(1-Table2_1[[#This Row],[Discount]])</f>
        <v>2535.3000000000002</v>
      </c>
      <c r="Q179" s="33">
        <f>Table2_1[[#This Row],[Revenue]]-Table2_1[[#This Row],[COGS]]</f>
        <v>344.30000000000018</v>
      </c>
      <c r="R179" s="39">
        <f>WEEKDAY(Table2_1[[#This Row],[Transaction  Date]])</f>
        <v>7</v>
      </c>
      <c r="S179" s="17" t="str">
        <f>IF(WEEKDAY(Table2_1[[#This Row],[Transaction  Date]],2)&lt;=5,"Weekday","Weekend")</f>
        <v>Weekend</v>
      </c>
      <c r="T179" s="37" t="str">
        <f>FLOOR(Table2_1[[#This Row],[Age]],15)&amp; "-"&amp; FLOOR(Table2_1[[#This Row],[Age]],15)+14</f>
        <v>45-59</v>
      </c>
    </row>
    <row r="180" spans="1:20" x14ac:dyDescent="0.3">
      <c r="A180" s="18">
        <v>45325</v>
      </c>
      <c r="B180" s="17" t="s">
        <v>1102</v>
      </c>
      <c r="C180" s="17" t="s">
        <v>71</v>
      </c>
      <c r="D180" s="18">
        <v>18424</v>
      </c>
      <c r="E180" s="16" t="s">
        <v>14</v>
      </c>
      <c r="F180" s="31">
        <v>415</v>
      </c>
      <c r="G180" s="17" t="s">
        <v>21</v>
      </c>
      <c r="H180" s="17" t="s">
        <v>48</v>
      </c>
      <c r="I180" s="17" t="s">
        <v>17</v>
      </c>
      <c r="J180" s="27">
        <v>0.1</v>
      </c>
      <c r="K180" s="17" t="s">
        <v>934</v>
      </c>
      <c r="L180" s="32">
        <v>10</v>
      </c>
      <c r="M180" s="32">
        <f>_xlfn.XLOOKUP(Table2_1[[#This Row],[Product Code]],Product_Code,Unit_Price,0)</f>
        <v>45</v>
      </c>
      <c r="N180" s="31">
        <f>DATEDIF(Table2_1[[#This Row],[Buyer Date of Birth]],Table2_1[[#This Row],[Transaction  Date]],"Y")</f>
        <v>73</v>
      </c>
      <c r="O180" s="33">
        <v>4150</v>
      </c>
      <c r="P180" s="33">
        <f>Table2_1[[#This Row],[Quantity Purchased]]*Table2_1[[#This Row],[UnitPrice]]*(1-Table2_1[[#This Row],[Discount]])</f>
        <v>16807.5</v>
      </c>
      <c r="Q180" s="33">
        <f>Table2_1[[#This Row],[Revenue]]-Table2_1[[#This Row],[COGS]]</f>
        <v>12657.5</v>
      </c>
      <c r="R180" s="39">
        <f>WEEKDAY(Table2_1[[#This Row],[Transaction  Date]])</f>
        <v>7</v>
      </c>
      <c r="S180" s="17" t="str">
        <f>IF(WEEKDAY(Table2_1[[#This Row],[Transaction  Date]],2)&lt;=5,"Weekday","Weekend")</f>
        <v>Weekend</v>
      </c>
      <c r="T180" s="37" t="str">
        <f>FLOOR(Table2_1[[#This Row],[Age]],15)&amp; "-"&amp; FLOOR(Table2_1[[#This Row],[Age]],15)+14</f>
        <v>60-74</v>
      </c>
    </row>
    <row r="181" spans="1:20" x14ac:dyDescent="0.3">
      <c r="A181" s="18">
        <v>45325</v>
      </c>
      <c r="B181" s="17" t="s">
        <v>1103</v>
      </c>
      <c r="C181" s="17" t="s">
        <v>78</v>
      </c>
      <c r="D181" s="18">
        <v>31204</v>
      </c>
      <c r="E181" s="16" t="s">
        <v>33</v>
      </c>
      <c r="F181" s="31">
        <v>314</v>
      </c>
      <c r="G181" s="17" t="s">
        <v>56</v>
      </c>
      <c r="H181" s="17" t="s">
        <v>39</v>
      </c>
      <c r="I181" s="17" t="s">
        <v>17</v>
      </c>
      <c r="J181" s="27">
        <v>0.1</v>
      </c>
      <c r="K181" s="17" t="s">
        <v>935</v>
      </c>
      <c r="L181" s="32">
        <v>18</v>
      </c>
      <c r="M181" s="32">
        <f>_xlfn.XLOOKUP(Table2_1[[#This Row],[Product Code]],Product_Code,Unit_Price,0)</f>
        <v>36</v>
      </c>
      <c r="N181" s="31">
        <f>DATEDIF(Table2_1[[#This Row],[Buyer Date of Birth]],Table2_1[[#This Row],[Transaction  Date]],"Y")</f>
        <v>38</v>
      </c>
      <c r="O181" s="33">
        <v>5652</v>
      </c>
      <c r="P181" s="33">
        <f>Table2_1[[#This Row],[Quantity Purchased]]*Table2_1[[#This Row],[UnitPrice]]*(1-Table2_1[[#This Row],[Discount]])</f>
        <v>10173.6</v>
      </c>
      <c r="Q181" s="33">
        <f>Table2_1[[#This Row],[Revenue]]-Table2_1[[#This Row],[COGS]]</f>
        <v>4521.6000000000004</v>
      </c>
      <c r="R181" s="39">
        <f>WEEKDAY(Table2_1[[#This Row],[Transaction  Date]])</f>
        <v>7</v>
      </c>
      <c r="S181" s="17" t="str">
        <f>IF(WEEKDAY(Table2_1[[#This Row],[Transaction  Date]],2)&lt;=5,"Weekday","Weekend")</f>
        <v>Weekend</v>
      </c>
      <c r="T181" s="37" t="str">
        <f>FLOOR(Table2_1[[#This Row],[Age]],15)&amp; "-"&amp; FLOOR(Table2_1[[#This Row],[Age]],15)+14</f>
        <v>30-44</v>
      </c>
    </row>
    <row r="182" spans="1:20" x14ac:dyDescent="0.3">
      <c r="A182" s="18">
        <v>45326</v>
      </c>
      <c r="B182" s="17" t="s">
        <v>1104</v>
      </c>
      <c r="C182" s="17" t="s">
        <v>51</v>
      </c>
      <c r="D182" s="18">
        <v>32653</v>
      </c>
      <c r="E182" s="16" t="s">
        <v>20</v>
      </c>
      <c r="F182" s="31">
        <v>297</v>
      </c>
      <c r="G182" s="17" t="s">
        <v>15</v>
      </c>
      <c r="H182" s="17" t="s">
        <v>48</v>
      </c>
      <c r="I182" s="17" t="s">
        <v>17</v>
      </c>
      <c r="J182" s="27">
        <v>0.1</v>
      </c>
      <c r="K182" s="17" t="s">
        <v>929</v>
      </c>
      <c r="L182" s="32">
        <v>10</v>
      </c>
      <c r="M182" s="32">
        <f>_xlfn.XLOOKUP(Table2_1[[#This Row],[Product Code]],Product_Code,Unit_Price,0)</f>
        <v>14</v>
      </c>
      <c r="N182" s="31">
        <f>DATEDIF(Table2_1[[#This Row],[Buyer Date of Birth]],Table2_1[[#This Row],[Transaction  Date]],"Y")</f>
        <v>34</v>
      </c>
      <c r="O182" s="33">
        <v>2970</v>
      </c>
      <c r="P182" s="33">
        <f>Table2_1[[#This Row],[Quantity Purchased]]*Table2_1[[#This Row],[UnitPrice]]*(1-Table2_1[[#This Row],[Discount]])</f>
        <v>3742.2000000000003</v>
      </c>
      <c r="Q182" s="33">
        <f>Table2_1[[#This Row],[Revenue]]-Table2_1[[#This Row],[COGS]]</f>
        <v>772.20000000000027</v>
      </c>
      <c r="R182" s="39">
        <f>WEEKDAY(Table2_1[[#This Row],[Transaction  Date]])</f>
        <v>1</v>
      </c>
      <c r="S182" s="17" t="str">
        <f>IF(WEEKDAY(Table2_1[[#This Row],[Transaction  Date]],2)&lt;=5,"Weekday","Weekend")</f>
        <v>Weekend</v>
      </c>
      <c r="T182" s="37" t="str">
        <f>FLOOR(Table2_1[[#This Row],[Age]],15)&amp; "-"&amp; FLOOR(Table2_1[[#This Row],[Age]],15)+14</f>
        <v>30-44</v>
      </c>
    </row>
    <row r="183" spans="1:20" x14ac:dyDescent="0.3">
      <c r="A183" s="18">
        <v>45326</v>
      </c>
      <c r="B183" s="17" t="s">
        <v>1105</v>
      </c>
      <c r="C183" s="17" t="s">
        <v>55</v>
      </c>
      <c r="D183" s="18">
        <v>18184</v>
      </c>
      <c r="E183" s="16" t="s">
        <v>68</v>
      </c>
      <c r="F183" s="31">
        <v>99</v>
      </c>
      <c r="G183" s="17" t="s">
        <v>15</v>
      </c>
      <c r="H183" s="17" t="s">
        <v>43</v>
      </c>
      <c r="I183" s="17" t="s">
        <v>23</v>
      </c>
      <c r="J183" s="27">
        <v>0.1</v>
      </c>
      <c r="K183" s="17" t="s">
        <v>929</v>
      </c>
      <c r="L183" s="32">
        <v>10</v>
      </c>
      <c r="M183" s="32">
        <f>_xlfn.XLOOKUP(Table2_1[[#This Row],[Product Code]],Product_Code,Unit_Price,0)</f>
        <v>14</v>
      </c>
      <c r="N183" s="31">
        <f>DATEDIF(Table2_1[[#This Row],[Buyer Date of Birth]],Table2_1[[#This Row],[Transaction  Date]],"Y")</f>
        <v>74</v>
      </c>
      <c r="O183" s="33">
        <v>990</v>
      </c>
      <c r="P183" s="33">
        <f>Table2_1[[#This Row],[Quantity Purchased]]*Table2_1[[#This Row],[UnitPrice]]*(1-Table2_1[[#This Row],[Discount]])</f>
        <v>1247.4000000000001</v>
      </c>
      <c r="Q183" s="33">
        <f>Table2_1[[#This Row],[Revenue]]-Table2_1[[#This Row],[COGS]]</f>
        <v>257.40000000000009</v>
      </c>
      <c r="R183" s="39">
        <f>WEEKDAY(Table2_1[[#This Row],[Transaction  Date]])</f>
        <v>1</v>
      </c>
      <c r="S183" s="17" t="str">
        <f>IF(WEEKDAY(Table2_1[[#This Row],[Transaction  Date]],2)&lt;=5,"Weekday","Weekend")</f>
        <v>Weekend</v>
      </c>
      <c r="T183" s="37" t="str">
        <f>FLOOR(Table2_1[[#This Row],[Age]],15)&amp; "-"&amp; FLOOR(Table2_1[[#This Row],[Age]],15)+14</f>
        <v>60-74</v>
      </c>
    </row>
    <row r="184" spans="1:20" x14ac:dyDescent="0.3">
      <c r="A184" s="18">
        <v>45327</v>
      </c>
      <c r="B184" s="17" t="s">
        <v>1106</v>
      </c>
      <c r="C184" s="17" t="s">
        <v>51</v>
      </c>
      <c r="D184" s="18">
        <v>23325</v>
      </c>
      <c r="E184" s="16" t="s">
        <v>68</v>
      </c>
      <c r="F184" s="31">
        <v>320</v>
      </c>
      <c r="G184" s="17" t="s">
        <v>15</v>
      </c>
      <c r="H184" s="17" t="s">
        <v>52</v>
      </c>
      <c r="I184" s="17" t="s">
        <v>17</v>
      </c>
      <c r="J184" s="27">
        <v>0.1</v>
      </c>
      <c r="K184" s="17" t="s">
        <v>929</v>
      </c>
      <c r="L184" s="32">
        <v>10</v>
      </c>
      <c r="M184" s="32">
        <f>_xlfn.XLOOKUP(Table2_1[[#This Row],[Product Code]],Product_Code,Unit_Price,0)</f>
        <v>14</v>
      </c>
      <c r="N184" s="31">
        <f>DATEDIF(Table2_1[[#This Row],[Buyer Date of Birth]],Table2_1[[#This Row],[Transaction  Date]],"Y")</f>
        <v>60</v>
      </c>
      <c r="O184" s="33">
        <v>3200</v>
      </c>
      <c r="P184" s="33">
        <f>Table2_1[[#This Row],[Quantity Purchased]]*Table2_1[[#This Row],[UnitPrice]]*(1-Table2_1[[#This Row],[Discount]])</f>
        <v>4032</v>
      </c>
      <c r="Q184" s="33">
        <f>Table2_1[[#This Row],[Revenue]]-Table2_1[[#This Row],[COGS]]</f>
        <v>832</v>
      </c>
      <c r="R184" s="39">
        <f>WEEKDAY(Table2_1[[#This Row],[Transaction  Date]])</f>
        <v>2</v>
      </c>
      <c r="S184" s="17" t="str">
        <f>IF(WEEKDAY(Table2_1[[#This Row],[Transaction  Date]],2)&lt;=5,"Weekday","Weekend")</f>
        <v>Weekday</v>
      </c>
      <c r="T184" s="37" t="str">
        <f>FLOOR(Table2_1[[#This Row],[Age]],15)&amp; "-"&amp; FLOOR(Table2_1[[#This Row],[Age]],15)+14</f>
        <v>60-74</v>
      </c>
    </row>
    <row r="185" spans="1:20" x14ac:dyDescent="0.3">
      <c r="A185" s="18">
        <v>45327</v>
      </c>
      <c r="B185" s="17" t="s">
        <v>1107</v>
      </c>
      <c r="C185" s="17" t="s">
        <v>46</v>
      </c>
      <c r="D185" s="18">
        <v>32694</v>
      </c>
      <c r="E185" s="16" t="s">
        <v>33</v>
      </c>
      <c r="F185" s="31">
        <v>457</v>
      </c>
      <c r="G185" s="17" t="s">
        <v>15</v>
      </c>
      <c r="H185" s="17" t="s">
        <v>52</v>
      </c>
      <c r="I185" s="17" t="s">
        <v>17</v>
      </c>
      <c r="J185" s="27">
        <v>0.1</v>
      </c>
      <c r="K185" s="17" t="s">
        <v>929</v>
      </c>
      <c r="L185" s="32">
        <v>10</v>
      </c>
      <c r="M185" s="32">
        <f>_xlfn.XLOOKUP(Table2_1[[#This Row],[Product Code]],Product_Code,Unit_Price,0)</f>
        <v>14</v>
      </c>
      <c r="N185" s="31">
        <f>DATEDIF(Table2_1[[#This Row],[Buyer Date of Birth]],Table2_1[[#This Row],[Transaction  Date]],"Y")</f>
        <v>34</v>
      </c>
      <c r="O185" s="33">
        <v>4570</v>
      </c>
      <c r="P185" s="33">
        <f>Table2_1[[#This Row],[Quantity Purchased]]*Table2_1[[#This Row],[UnitPrice]]*(1-Table2_1[[#This Row],[Discount]])</f>
        <v>5758.2</v>
      </c>
      <c r="Q185" s="33">
        <f>Table2_1[[#This Row],[Revenue]]-Table2_1[[#This Row],[COGS]]</f>
        <v>1188.1999999999998</v>
      </c>
      <c r="R185" s="39">
        <f>WEEKDAY(Table2_1[[#This Row],[Transaction  Date]])</f>
        <v>2</v>
      </c>
      <c r="S185" s="17" t="str">
        <f>IF(WEEKDAY(Table2_1[[#This Row],[Transaction  Date]],2)&lt;=5,"Weekday","Weekend")</f>
        <v>Weekday</v>
      </c>
      <c r="T185" s="37" t="str">
        <f>FLOOR(Table2_1[[#This Row],[Age]],15)&amp; "-"&amp; FLOOR(Table2_1[[#This Row],[Age]],15)+14</f>
        <v>30-44</v>
      </c>
    </row>
    <row r="186" spans="1:20" x14ac:dyDescent="0.3">
      <c r="A186" s="18">
        <v>45327</v>
      </c>
      <c r="B186" s="17" t="s">
        <v>1108</v>
      </c>
      <c r="C186" s="17" t="s">
        <v>38</v>
      </c>
      <c r="D186" s="18">
        <v>16389</v>
      </c>
      <c r="E186" s="16" t="s">
        <v>33</v>
      </c>
      <c r="F186" s="31">
        <v>407</v>
      </c>
      <c r="G186" s="17" t="s">
        <v>64</v>
      </c>
      <c r="H186" s="17" t="s">
        <v>52</v>
      </c>
      <c r="I186" s="17" t="s">
        <v>17</v>
      </c>
      <c r="J186" s="27">
        <v>0.1</v>
      </c>
      <c r="K186" s="17" t="s">
        <v>933</v>
      </c>
      <c r="L186" s="32">
        <v>5</v>
      </c>
      <c r="M186" s="32">
        <f>_xlfn.XLOOKUP(Table2_1[[#This Row],[Product Code]],Product_Code,Unit_Price,0)</f>
        <v>7</v>
      </c>
      <c r="N186" s="31">
        <f>DATEDIF(Table2_1[[#This Row],[Buyer Date of Birth]],Table2_1[[#This Row],[Transaction  Date]],"Y")</f>
        <v>79</v>
      </c>
      <c r="O186" s="33">
        <v>2035</v>
      </c>
      <c r="P186" s="33">
        <f>Table2_1[[#This Row],[Quantity Purchased]]*Table2_1[[#This Row],[UnitPrice]]*(1-Table2_1[[#This Row],[Discount]])</f>
        <v>2564.1</v>
      </c>
      <c r="Q186" s="33">
        <f>Table2_1[[#This Row],[Revenue]]-Table2_1[[#This Row],[COGS]]</f>
        <v>529.09999999999991</v>
      </c>
      <c r="R186" s="39">
        <f>WEEKDAY(Table2_1[[#This Row],[Transaction  Date]])</f>
        <v>2</v>
      </c>
      <c r="S186" s="17" t="str">
        <f>IF(WEEKDAY(Table2_1[[#This Row],[Transaction  Date]],2)&lt;=5,"Weekday","Weekend")</f>
        <v>Weekday</v>
      </c>
      <c r="T186" s="37" t="str">
        <f>FLOOR(Table2_1[[#This Row],[Age]],15)&amp; "-"&amp; FLOOR(Table2_1[[#This Row],[Age]],15)+14</f>
        <v>75-89</v>
      </c>
    </row>
    <row r="187" spans="1:20" x14ac:dyDescent="0.3">
      <c r="A187" s="18">
        <v>45328</v>
      </c>
      <c r="B187" s="17" t="s">
        <v>1109</v>
      </c>
      <c r="C187" s="17" t="s">
        <v>26</v>
      </c>
      <c r="D187" s="18">
        <v>28992</v>
      </c>
      <c r="E187" s="16" t="s">
        <v>20</v>
      </c>
      <c r="F187" s="31">
        <v>364</v>
      </c>
      <c r="G187" s="17" t="s">
        <v>65</v>
      </c>
      <c r="H187" s="17" t="s">
        <v>28</v>
      </c>
      <c r="I187" s="17" t="s">
        <v>29</v>
      </c>
      <c r="J187" s="27">
        <v>0.1</v>
      </c>
      <c r="K187" s="17" t="s">
        <v>928</v>
      </c>
      <c r="L187" s="32">
        <v>3</v>
      </c>
      <c r="M187" s="32">
        <f>_xlfn.XLOOKUP(Table2_1[[#This Row],[Product Code]],Product_Code,Unit_Price,0)</f>
        <v>5</v>
      </c>
      <c r="N187" s="31">
        <f>DATEDIF(Table2_1[[#This Row],[Buyer Date of Birth]],Table2_1[[#This Row],[Transaction  Date]],"Y")</f>
        <v>44</v>
      </c>
      <c r="O187" s="33">
        <v>1092</v>
      </c>
      <c r="P187" s="33">
        <f>Table2_1[[#This Row],[Quantity Purchased]]*Table2_1[[#This Row],[UnitPrice]]*(1-Table2_1[[#This Row],[Discount]])</f>
        <v>1638</v>
      </c>
      <c r="Q187" s="33">
        <f>Table2_1[[#This Row],[Revenue]]-Table2_1[[#This Row],[COGS]]</f>
        <v>546</v>
      </c>
      <c r="R187" s="39">
        <f>WEEKDAY(Table2_1[[#This Row],[Transaction  Date]])</f>
        <v>3</v>
      </c>
      <c r="S187" s="17" t="str">
        <f>IF(WEEKDAY(Table2_1[[#This Row],[Transaction  Date]],2)&lt;=5,"Weekday","Weekend")</f>
        <v>Weekday</v>
      </c>
      <c r="T187" s="37" t="str">
        <f>FLOOR(Table2_1[[#This Row],[Age]],15)&amp; "-"&amp; FLOOR(Table2_1[[#This Row],[Age]],15)+14</f>
        <v>30-44</v>
      </c>
    </row>
    <row r="188" spans="1:20" x14ac:dyDescent="0.3">
      <c r="A188" s="18">
        <v>45328</v>
      </c>
      <c r="B188" s="17" t="s">
        <v>1842</v>
      </c>
      <c r="C188" s="17" t="s">
        <v>55</v>
      </c>
      <c r="D188" s="18">
        <v>20979</v>
      </c>
      <c r="E188" s="16" t="s">
        <v>33</v>
      </c>
      <c r="F188" s="31">
        <v>11</v>
      </c>
      <c r="G188" s="17" t="s">
        <v>47</v>
      </c>
      <c r="H188" s="17" t="s">
        <v>52</v>
      </c>
      <c r="I188" s="17" t="s">
        <v>17</v>
      </c>
      <c r="J188" s="27">
        <v>0.1</v>
      </c>
      <c r="K188" s="17" t="s">
        <v>931</v>
      </c>
      <c r="L188" s="32">
        <v>7</v>
      </c>
      <c r="M188" s="32">
        <f>_xlfn.XLOOKUP(Table2_1[[#This Row],[Product Code]],Product_Code,Unit_Price,0)</f>
        <v>9</v>
      </c>
      <c r="N188" s="31">
        <f>DATEDIF(Table2_1[[#This Row],[Buyer Date of Birth]],Table2_1[[#This Row],[Transaction  Date]],"Y")</f>
        <v>66</v>
      </c>
      <c r="O188" s="33">
        <v>77</v>
      </c>
      <c r="P188" s="33">
        <f>Table2_1[[#This Row],[Quantity Purchased]]*Table2_1[[#This Row],[UnitPrice]]*(1-Table2_1[[#This Row],[Discount]])</f>
        <v>89.100000000000009</v>
      </c>
      <c r="Q188" s="33">
        <f>Table2_1[[#This Row],[Revenue]]-Table2_1[[#This Row],[COGS]]</f>
        <v>12.100000000000009</v>
      </c>
      <c r="R188" s="39">
        <f>WEEKDAY(Table2_1[[#This Row],[Transaction  Date]])</f>
        <v>3</v>
      </c>
      <c r="S188" s="17" t="str">
        <f>IF(WEEKDAY(Table2_1[[#This Row],[Transaction  Date]],2)&lt;=5,"Weekday","Weekend")</f>
        <v>Weekday</v>
      </c>
      <c r="T188" s="37" t="str">
        <f>FLOOR(Table2_1[[#This Row],[Age]],15)&amp; "-"&amp; FLOOR(Table2_1[[#This Row],[Age]],15)+14</f>
        <v>60-74</v>
      </c>
    </row>
    <row r="189" spans="1:20" x14ac:dyDescent="0.3">
      <c r="A189" s="18">
        <v>45328</v>
      </c>
      <c r="B189" s="17" t="s">
        <v>1843</v>
      </c>
      <c r="C189" s="17" t="s">
        <v>38</v>
      </c>
      <c r="D189" s="18">
        <v>21186</v>
      </c>
      <c r="E189" s="16" t="s">
        <v>20</v>
      </c>
      <c r="F189" s="31">
        <v>119</v>
      </c>
      <c r="G189" s="17" t="s">
        <v>59</v>
      </c>
      <c r="H189" s="17" t="s">
        <v>52</v>
      </c>
      <c r="I189" s="17" t="s">
        <v>17</v>
      </c>
      <c r="J189" s="27">
        <v>0.1</v>
      </c>
      <c r="K189" s="17" t="s">
        <v>932</v>
      </c>
      <c r="L189" s="32">
        <v>19</v>
      </c>
      <c r="M189" s="32">
        <f>_xlfn.XLOOKUP(Table2_1[[#This Row],[Product Code]],Product_Code,Unit_Price,0)</f>
        <v>23</v>
      </c>
      <c r="N189" s="31">
        <f>DATEDIF(Table2_1[[#This Row],[Buyer Date of Birth]],Table2_1[[#This Row],[Transaction  Date]],"Y")</f>
        <v>66</v>
      </c>
      <c r="O189" s="33">
        <v>2261</v>
      </c>
      <c r="P189" s="33">
        <f>Table2_1[[#This Row],[Quantity Purchased]]*Table2_1[[#This Row],[UnitPrice]]*(1-Table2_1[[#This Row],[Discount]])</f>
        <v>2463.3000000000002</v>
      </c>
      <c r="Q189" s="33">
        <f>Table2_1[[#This Row],[Revenue]]-Table2_1[[#This Row],[COGS]]</f>
        <v>202.30000000000018</v>
      </c>
      <c r="R189" s="39">
        <f>WEEKDAY(Table2_1[[#This Row],[Transaction  Date]])</f>
        <v>3</v>
      </c>
      <c r="S189" s="17" t="str">
        <f>IF(WEEKDAY(Table2_1[[#This Row],[Transaction  Date]],2)&lt;=5,"Weekday","Weekend")</f>
        <v>Weekday</v>
      </c>
      <c r="T189" s="37" t="str">
        <f>FLOOR(Table2_1[[#This Row],[Age]],15)&amp; "-"&amp; FLOOR(Table2_1[[#This Row],[Age]],15)+14</f>
        <v>60-74</v>
      </c>
    </row>
    <row r="190" spans="1:20" x14ac:dyDescent="0.3">
      <c r="A190" s="18">
        <v>45328</v>
      </c>
      <c r="B190" s="17" t="s">
        <v>1110</v>
      </c>
      <c r="C190" s="17" t="s">
        <v>13</v>
      </c>
      <c r="D190" s="18">
        <v>36601</v>
      </c>
      <c r="E190" s="16" t="s">
        <v>68</v>
      </c>
      <c r="F190" s="31">
        <v>355</v>
      </c>
      <c r="G190" s="17" t="s">
        <v>56</v>
      </c>
      <c r="H190" s="17" t="s">
        <v>52</v>
      </c>
      <c r="I190" s="17" t="s">
        <v>17</v>
      </c>
      <c r="J190" s="27">
        <v>0.1</v>
      </c>
      <c r="K190" s="17" t="s">
        <v>935</v>
      </c>
      <c r="L190" s="32">
        <v>18</v>
      </c>
      <c r="M190" s="32">
        <f>_xlfn.XLOOKUP(Table2_1[[#This Row],[Product Code]],Product_Code,Unit_Price,0)</f>
        <v>36</v>
      </c>
      <c r="N190" s="31">
        <f>DATEDIF(Table2_1[[#This Row],[Buyer Date of Birth]],Table2_1[[#This Row],[Transaction  Date]],"Y")</f>
        <v>23</v>
      </c>
      <c r="O190" s="33">
        <v>6390</v>
      </c>
      <c r="P190" s="33">
        <f>Table2_1[[#This Row],[Quantity Purchased]]*Table2_1[[#This Row],[UnitPrice]]*(1-Table2_1[[#This Row],[Discount]])</f>
        <v>11502</v>
      </c>
      <c r="Q190" s="33">
        <f>Table2_1[[#This Row],[Revenue]]-Table2_1[[#This Row],[COGS]]</f>
        <v>5112</v>
      </c>
      <c r="R190" s="39">
        <f>WEEKDAY(Table2_1[[#This Row],[Transaction  Date]])</f>
        <v>3</v>
      </c>
      <c r="S190" s="17" t="str">
        <f>IF(WEEKDAY(Table2_1[[#This Row],[Transaction  Date]],2)&lt;=5,"Weekday","Weekend")</f>
        <v>Weekday</v>
      </c>
      <c r="T190" s="37" t="str">
        <f>FLOOR(Table2_1[[#This Row],[Age]],15)&amp; "-"&amp; FLOOR(Table2_1[[#This Row],[Age]],15)+14</f>
        <v>15-29</v>
      </c>
    </row>
    <row r="191" spans="1:20" x14ac:dyDescent="0.3">
      <c r="A191" s="18">
        <v>45328</v>
      </c>
      <c r="B191" s="17" t="s">
        <v>1111</v>
      </c>
      <c r="C191" s="17" t="s">
        <v>32</v>
      </c>
      <c r="D191" s="18">
        <v>30599</v>
      </c>
      <c r="E191" s="16" t="s">
        <v>33</v>
      </c>
      <c r="F191" s="31">
        <v>273</v>
      </c>
      <c r="G191" s="17" t="s">
        <v>42</v>
      </c>
      <c r="H191" s="17" t="s">
        <v>39</v>
      </c>
      <c r="I191" s="17" t="s">
        <v>23</v>
      </c>
      <c r="J191" s="27">
        <v>0.1</v>
      </c>
      <c r="K191" s="17" t="s">
        <v>926</v>
      </c>
      <c r="L191" s="32">
        <v>10</v>
      </c>
      <c r="M191" s="32">
        <f>_xlfn.XLOOKUP(Table2_1[[#This Row],[Product Code]],Product_Code,Unit_Price,0)</f>
        <v>11</v>
      </c>
      <c r="N191" s="31">
        <f>DATEDIF(Table2_1[[#This Row],[Buyer Date of Birth]],Table2_1[[#This Row],[Transaction  Date]],"Y")</f>
        <v>40</v>
      </c>
      <c r="O191" s="33">
        <v>2730</v>
      </c>
      <c r="P191" s="33">
        <f>Table2_1[[#This Row],[Quantity Purchased]]*Table2_1[[#This Row],[UnitPrice]]*(1-Table2_1[[#This Row],[Discount]])</f>
        <v>2702.7000000000003</v>
      </c>
      <c r="Q191" s="33">
        <f>Table2_1[[#This Row],[Revenue]]-Table2_1[[#This Row],[COGS]]</f>
        <v>-27.299999999999727</v>
      </c>
      <c r="R191" s="39">
        <f>WEEKDAY(Table2_1[[#This Row],[Transaction  Date]])</f>
        <v>3</v>
      </c>
      <c r="S191" s="17" t="str">
        <f>IF(WEEKDAY(Table2_1[[#This Row],[Transaction  Date]],2)&lt;=5,"Weekday","Weekend")</f>
        <v>Weekday</v>
      </c>
      <c r="T191" s="37" t="str">
        <f>FLOOR(Table2_1[[#This Row],[Age]],15)&amp; "-"&amp; FLOOR(Table2_1[[#This Row],[Age]],15)+14</f>
        <v>30-44</v>
      </c>
    </row>
    <row r="192" spans="1:20" x14ac:dyDescent="0.3">
      <c r="A192" s="18">
        <v>45329</v>
      </c>
      <c r="B192" s="17" t="s">
        <v>940</v>
      </c>
      <c r="C192" s="17" t="s">
        <v>13</v>
      </c>
      <c r="D192" s="18">
        <v>28393</v>
      </c>
      <c r="E192" s="16" t="s">
        <v>14</v>
      </c>
      <c r="F192" s="31">
        <v>327</v>
      </c>
      <c r="G192" s="17" t="s">
        <v>21</v>
      </c>
      <c r="H192" s="17" t="s">
        <v>22</v>
      </c>
      <c r="I192" s="17" t="s">
        <v>29</v>
      </c>
      <c r="J192" s="27">
        <v>0.1</v>
      </c>
      <c r="K192" s="17" t="s">
        <v>934</v>
      </c>
      <c r="L192" s="32">
        <v>10</v>
      </c>
      <c r="M192" s="32">
        <f>_xlfn.XLOOKUP(Table2_1[[#This Row],[Product Code]],Product_Code,Unit_Price,0)</f>
        <v>45</v>
      </c>
      <c r="N192" s="31">
        <f>DATEDIF(Table2_1[[#This Row],[Buyer Date of Birth]],Table2_1[[#This Row],[Transaction  Date]],"Y")</f>
        <v>46</v>
      </c>
      <c r="O192" s="33">
        <v>3270</v>
      </c>
      <c r="P192" s="33">
        <f>Table2_1[[#This Row],[Quantity Purchased]]*Table2_1[[#This Row],[UnitPrice]]*(1-Table2_1[[#This Row],[Discount]])</f>
        <v>13243.5</v>
      </c>
      <c r="Q192" s="33">
        <f>Table2_1[[#This Row],[Revenue]]-Table2_1[[#This Row],[COGS]]</f>
        <v>9973.5</v>
      </c>
      <c r="R192" s="39">
        <f>WEEKDAY(Table2_1[[#This Row],[Transaction  Date]])</f>
        <v>4</v>
      </c>
      <c r="S192" s="17" t="str">
        <f>IF(WEEKDAY(Table2_1[[#This Row],[Transaction  Date]],2)&lt;=5,"Weekday","Weekend")</f>
        <v>Weekday</v>
      </c>
      <c r="T192" s="37" t="str">
        <f>FLOOR(Table2_1[[#This Row],[Age]],15)&amp; "-"&amp; FLOOR(Table2_1[[#This Row],[Age]],15)+14</f>
        <v>45-59</v>
      </c>
    </row>
    <row r="193" spans="1:20" x14ac:dyDescent="0.3">
      <c r="A193" s="18">
        <v>45329</v>
      </c>
      <c r="B193" s="17" t="s">
        <v>1112</v>
      </c>
      <c r="C193" s="17" t="s">
        <v>71</v>
      </c>
      <c r="D193" s="18">
        <v>34490</v>
      </c>
      <c r="E193" s="16" t="s">
        <v>14</v>
      </c>
      <c r="F193" s="31">
        <v>292</v>
      </c>
      <c r="G193" s="17" t="s">
        <v>56</v>
      </c>
      <c r="H193" s="17" t="s">
        <v>52</v>
      </c>
      <c r="I193" s="17" t="s">
        <v>17</v>
      </c>
      <c r="J193" s="27">
        <v>0.1</v>
      </c>
      <c r="K193" s="17" t="s">
        <v>935</v>
      </c>
      <c r="L193" s="32">
        <v>18</v>
      </c>
      <c r="M193" s="32">
        <f>_xlfn.XLOOKUP(Table2_1[[#This Row],[Product Code]],Product_Code,Unit_Price,0)</f>
        <v>36</v>
      </c>
      <c r="N193" s="31">
        <f>DATEDIF(Table2_1[[#This Row],[Buyer Date of Birth]],Table2_1[[#This Row],[Transaction  Date]],"Y")</f>
        <v>29</v>
      </c>
      <c r="O193" s="33">
        <v>5256</v>
      </c>
      <c r="P193" s="33">
        <f>Table2_1[[#This Row],[Quantity Purchased]]*Table2_1[[#This Row],[UnitPrice]]*(1-Table2_1[[#This Row],[Discount]])</f>
        <v>9460.8000000000011</v>
      </c>
      <c r="Q193" s="33">
        <f>Table2_1[[#This Row],[Revenue]]-Table2_1[[#This Row],[COGS]]</f>
        <v>4204.8000000000011</v>
      </c>
      <c r="R193" s="39">
        <f>WEEKDAY(Table2_1[[#This Row],[Transaction  Date]])</f>
        <v>4</v>
      </c>
      <c r="S193" s="17" t="str">
        <f>IF(WEEKDAY(Table2_1[[#This Row],[Transaction  Date]],2)&lt;=5,"Weekday","Weekend")</f>
        <v>Weekday</v>
      </c>
      <c r="T193" s="37" t="str">
        <f>FLOOR(Table2_1[[#This Row],[Age]],15)&amp; "-"&amp; FLOOR(Table2_1[[#This Row],[Age]],15)+14</f>
        <v>15-29</v>
      </c>
    </row>
    <row r="194" spans="1:20" x14ac:dyDescent="0.3">
      <c r="A194" s="18">
        <v>45329</v>
      </c>
      <c r="B194" s="17" t="s">
        <v>1113</v>
      </c>
      <c r="C194" s="17" t="s">
        <v>38</v>
      </c>
      <c r="D194" s="18">
        <v>20187</v>
      </c>
      <c r="E194" s="16" t="s">
        <v>20</v>
      </c>
      <c r="F194" s="31">
        <v>263</v>
      </c>
      <c r="G194" s="17" t="s">
        <v>64</v>
      </c>
      <c r="H194" s="17" t="s">
        <v>48</v>
      </c>
      <c r="I194" s="17" t="s">
        <v>17</v>
      </c>
      <c r="J194" s="27">
        <v>0.1</v>
      </c>
      <c r="K194" s="17" t="s">
        <v>933</v>
      </c>
      <c r="L194" s="32">
        <v>5</v>
      </c>
      <c r="M194" s="32">
        <f>_xlfn.XLOOKUP(Table2_1[[#This Row],[Product Code]],Product_Code,Unit_Price,0)</f>
        <v>7</v>
      </c>
      <c r="N194" s="31">
        <f>DATEDIF(Table2_1[[#This Row],[Buyer Date of Birth]],Table2_1[[#This Row],[Transaction  Date]],"Y")</f>
        <v>68</v>
      </c>
      <c r="O194" s="33">
        <v>1315</v>
      </c>
      <c r="P194" s="33">
        <f>Table2_1[[#This Row],[Quantity Purchased]]*Table2_1[[#This Row],[UnitPrice]]*(1-Table2_1[[#This Row],[Discount]])</f>
        <v>1656.9</v>
      </c>
      <c r="Q194" s="33">
        <f>Table2_1[[#This Row],[Revenue]]-Table2_1[[#This Row],[COGS]]</f>
        <v>341.90000000000009</v>
      </c>
      <c r="R194" s="39">
        <f>WEEKDAY(Table2_1[[#This Row],[Transaction  Date]])</f>
        <v>4</v>
      </c>
      <c r="S194" s="17" t="str">
        <f>IF(WEEKDAY(Table2_1[[#This Row],[Transaction  Date]],2)&lt;=5,"Weekday","Weekend")</f>
        <v>Weekday</v>
      </c>
      <c r="T194" s="37" t="str">
        <f>FLOOR(Table2_1[[#This Row],[Age]],15)&amp; "-"&amp; FLOOR(Table2_1[[#This Row],[Age]],15)+14</f>
        <v>60-74</v>
      </c>
    </row>
    <row r="195" spans="1:20" x14ac:dyDescent="0.3">
      <c r="A195" s="18">
        <v>45329</v>
      </c>
      <c r="B195" s="17" t="s">
        <v>1114</v>
      </c>
      <c r="C195" s="17" t="s">
        <v>55</v>
      </c>
      <c r="D195" s="18">
        <v>30389</v>
      </c>
      <c r="E195" s="16" t="s">
        <v>68</v>
      </c>
      <c r="F195" s="31">
        <v>227</v>
      </c>
      <c r="G195" s="17" t="s">
        <v>56</v>
      </c>
      <c r="H195" s="17" t="s">
        <v>39</v>
      </c>
      <c r="I195" s="17" t="s">
        <v>17</v>
      </c>
      <c r="J195" s="27">
        <v>0.1</v>
      </c>
      <c r="K195" s="17" t="s">
        <v>935</v>
      </c>
      <c r="L195" s="32">
        <v>18</v>
      </c>
      <c r="M195" s="32">
        <f>_xlfn.XLOOKUP(Table2_1[[#This Row],[Product Code]],Product_Code,Unit_Price,0)</f>
        <v>36</v>
      </c>
      <c r="N195" s="31">
        <f>DATEDIF(Table2_1[[#This Row],[Buyer Date of Birth]],Table2_1[[#This Row],[Transaction  Date]],"Y")</f>
        <v>40</v>
      </c>
      <c r="O195" s="33">
        <v>4086</v>
      </c>
      <c r="P195" s="33">
        <f>Table2_1[[#This Row],[Quantity Purchased]]*Table2_1[[#This Row],[UnitPrice]]*(1-Table2_1[[#This Row],[Discount]])</f>
        <v>7354.8</v>
      </c>
      <c r="Q195" s="33">
        <f>Table2_1[[#This Row],[Revenue]]-Table2_1[[#This Row],[COGS]]</f>
        <v>3268.8</v>
      </c>
      <c r="R195" s="39">
        <f>WEEKDAY(Table2_1[[#This Row],[Transaction  Date]])</f>
        <v>4</v>
      </c>
      <c r="S195" s="17" t="str">
        <f>IF(WEEKDAY(Table2_1[[#This Row],[Transaction  Date]],2)&lt;=5,"Weekday","Weekend")</f>
        <v>Weekday</v>
      </c>
      <c r="T195" s="37" t="str">
        <f>FLOOR(Table2_1[[#This Row],[Age]],15)&amp; "-"&amp; FLOOR(Table2_1[[#This Row],[Age]],15)+14</f>
        <v>30-44</v>
      </c>
    </row>
    <row r="196" spans="1:20" x14ac:dyDescent="0.3">
      <c r="A196" s="18">
        <v>45329</v>
      </c>
      <c r="B196" s="17" t="s">
        <v>1115</v>
      </c>
      <c r="C196" s="17" t="s">
        <v>51</v>
      </c>
      <c r="D196" s="18">
        <v>18082</v>
      </c>
      <c r="E196" s="16" t="s">
        <v>33</v>
      </c>
      <c r="F196" s="31">
        <v>219</v>
      </c>
      <c r="G196" s="17" t="s">
        <v>47</v>
      </c>
      <c r="H196" s="17" t="s">
        <v>48</v>
      </c>
      <c r="I196" s="17" t="s">
        <v>17</v>
      </c>
      <c r="J196" s="27">
        <v>0.1</v>
      </c>
      <c r="K196" s="17" t="s">
        <v>931</v>
      </c>
      <c r="L196" s="32">
        <v>7</v>
      </c>
      <c r="M196" s="32">
        <f>_xlfn.XLOOKUP(Table2_1[[#This Row],[Product Code]],Product_Code,Unit_Price,0)</f>
        <v>9</v>
      </c>
      <c r="N196" s="31">
        <f>DATEDIF(Table2_1[[#This Row],[Buyer Date of Birth]],Table2_1[[#This Row],[Transaction  Date]],"Y")</f>
        <v>74</v>
      </c>
      <c r="O196" s="33">
        <v>1533</v>
      </c>
      <c r="P196" s="33">
        <f>Table2_1[[#This Row],[Quantity Purchased]]*Table2_1[[#This Row],[UnitPrice]]*(1-Table2_1[[#This Row],[Discount]])</f>
        <v>1773.9</v>
      </c>
      <c r="Q196" s="33">
        <f>Table2_1[[#This Row],[Revenue]]-Table2_1[[#This Row],[COGS]]</f>
        <v>240.90000000000009</v>
      </c>
      <c r="R196" s="39">
        <f>WEEKDAY(Table2_1[[#This Row],[Transaction  Date]])</f>
        <v>4</v>
      </c>
      <c r="S196" s="17" t="str">
        <f>IF(WEEKDAY(Table2_1[[#This Row],[Transaction  Date]],2)&lt;=5,"Weekday","Weekend")</f>
        <v>Weekday</v>
      </c>
      <c r="T196" s="37" t="str">
        <f>FLOOR(Table2_1[[#This Row],[Age]],15)&amp; "-"&amp; FLOOR(Table2_1[[#This Row],[Age]],15)+14</f>
        <v>60-74</v>
      </c>
    </row>
    <row r="197" spans="1:20" x14ac:dyDescent="0.3">
      <c r="A197" s="18">
        <v>45329</v>
      </c>
      <c r="B197" s="17" t="s">
        <v>1116</v>
      </c>
      <c r="C197" s="17" t="s">
        <v>26</v>
      </c>
      <c r="D197" s="18">
        <v>35067</v>
      </c>
      <c r="E197" s="16" t="s">
        <v>20</v>
      </c>
      <c r="F197" s="31">
        <v>14</v>
      </c>
      <c r="G197" s="17" t="s">
        <v>56</v>
      </c>
      <c r="H197" s="17" t="s">
        <v>48</v>
      </c>
      <c r="I197" s="17" t="s">
        <v>17</v>
      </c>
      <c r="J197" s="27">
        <v>0.1</v>
      </c>
      <c r="K197" s="17" t="s">
        <v>935</v>
      </c>
      <c r="L197" s="32">
        <v>18</v>
      </c>
      <c r="M197" s="32">
        <f>_xlfn.XLOOKUP(Table2_1[[#This Row],[Product Code]],Product_Code,Unit_Price,0)</f>
        <v>36</v>
      </c>
      <c r="N197" s="31">
        <f>DATEDIF(Table2_1[[#This Row],[Buyer Date of Birth]],Table2_1[[#This Row],[Transaction  Date]],"Y")</f>
        <v>28</v>
      </c>
      <c r="O197" s="33">
        <v>252</v>
      </c>
      <c r="P197" s="33">
        <f>Table2_1[[#This Row],[Quantity Purchased]]*Table2_1[[#This Row],[UnitPrice]]*(1-Table2_1[[#This Row],[Discount]])</f>
        <v>453.6</v>
      </c>
      <c r="Q197" s="33">
        <f>Table2_1[[#This Row],[Revenue]]-Table2_1[[#This Row],[COGS]]</f>
        <v>201.60000000000002</v>
      </c>
      <c r="R197" s="39">
        <f>WEEKDAY(Table2_1[[#This Row],[Transaction  Date]])</f>
        <v>4</v>
      </c>
      <c r="S197" s="17" t="str">
        <f>IF(WEEKDAY(Table2_1[[#This Row],[Transaction  Date]],2)&lt;=5,"Weekday","Weekend")</f>
        <v>Weekday</v>
      </c>
      <c r="T197" s="37" t="str">
        <f>FLOOR(Table2_1[[#This Row],[Age]],15)&amp; "-"&amp; FLOOR(Table2_1[[#This Row],[Age]],15)+14</f>
        <v>15-29</v>
      </c>
    </row>
    <row r="198" spans="1:20" x14ac:dyDescent="0.3">
      <c r="A198" s="18">
        <v>45329</v>
      </c>
      <c r="B198" s="17" t="s">
        <v>1117</v>
      </c>
      <c r="C198" s="17" t="s">
        <v>38</v>
      </c>
      <c r="D198" s="18">
        <v>18593</v>
      </c>
      <c r="E198" s="16" t="s">
        <v>33</v>
      </c>
      <c r="F198" s="31">
        <v>164</v>
      </c>
      <c r="G198" s="17" t="s">
        <v>56</v>
      </c>
      <c r="H198" s="17" t="s">
        <v>52</v>
      </c>
      <c r="I198" s="17" t="s">
        <v>17</v>
      </c>
      <c r="J198" s="27">
        <v>0.1</v>
      </c>
      <c r="K198" s="17" t="s">
        <v>935</v>
      </c>
      <c r="L198" s="32">
        <v>18</v>
      </c>
      <c r="M198" s="32">
        <f>_xlfn.XLOOKUP(Table2_1[[#This Row],[Product Code]],Product_Code,Unit_Price,0)</f>
        <v>36</v>
      </c>
      <c r="N198" s="31">
        <f>DATEDIF(Table2_1[[#This Row],[Buyer Date of Birth]],Table2_1[[#This Row],[Transaction  Date]],"Y")</f>
        <v>73</v>
      </c>
      <c r="O198" s="33">
        <v>2952</v>
      </c>
      <c r="P198" s="33">
        <f>Table2_1[[#This Row],[Quantity Purchased]]*Table2_1[[#This Row],[UnitPrice]]*(1-Table2_1[[#This Row],[Discount]])</f>
        <v>5313.6</v>
      </c>
      <c r="Q198" s="33">
        <f>Table2_1[[#This Row],[Revenue]]-Table2_1[[#This Row],[COGS]]</f>
        <v>2361.6000000000004</v>
      </c>
      <c r="R198" s="39">
        <f>WEEKDAY(Table2_1[[#This Row],[Transaction  Date]])</f>
        <v>4</v>
      </c>
      <c r="S198" s="17" t="str">
        <f>IF(WEEKDAY(Table2_1[[#This Row],[Transaction  Date]],2)&lt;=5,"Weekday","Weekend")</f>
        <v>Weekday</v>
      </c>
      <c r="T198" s="37" t="str">
        <f>FLOOR(Table2_1[[#This Row],[Age]],15)&amp; "-"&amp; FLOOR(Table2_1[[#This Row],[Age]],15)+14</f>
        <v>60-74</v>
      </c>
    </row>
    <row r="199" spans="1:20" x14ac:dyDescent="0.3">
      <c r="A199" s="18">
        <v>45329</v>
      </c>
      <c r="B199" s="17" t="s">
        <v>1118</v>
      </c>
      <c r="C199" s="17" t="s">
        <v>78</v>
      </c>
      <c r="D199" s="18">
        <v>35474</v>
      </c>
      <c r="E199" s="16" t="s">
        <v>68</v>
      </c>
      <c r="F199" s="31">
        <v>400</v>
      </c>
      <c r="G199" s="17" t="s">
        <v>21</v>
      </c>
      <c r="H199" s="17" t="s">
        <v>52</v>
      </c>
      <c r="I199" s="17" t="s">
        <v>17</v>
      </c>
      <c r="J199" s="27">
        <v>0.1</v>
      </c>
      <c r="K199" s="17" t="s">
        <v>934</v>
      </c>
      <c r="L199" s="32">
        <v>10</v>
      </c>
      <c r="M199" s="32">
        <f>_xlfn.XLOOKUP(Table2_1[[#This Row],[Product Code]],Product_Code,Unit_Price,0)</f>
        <v>45</v>
      </c>
      <c r="N199" s="31">
        <f>DATEDIF(Table2_1[[#This Row],[Buyer Date of Birth]],Table2_1[[#This Row],[Transaction  Date]],"Y")</f>
        <v>26</v>
      </c>
      <c r="O199" s="33">
        <v>4000</v>
      </c>
      <c r="P199" s="33">
        <f>Table2_1[[#This Row],[Quantity Purchased]]*Table2_1[[#This Row],[UnitPrice]]*(1-Table2_1[[#This Row],[Discount]])</f>
        <v>16200</v>
      </c>
      <c r="Q199" s="33">
        <f>Table2_1[[#This Row],[Revenue]]-Table2_1[[#This Row],[COGS]]</f>
        <v>12200</v>
      </c>
      <c r="R199" s="39">
        <f>WEEKDAY(Table2_1[[#This Row],[Transaction  Date]])</f>
        <v>4</v>
      </c>
      <c r="S199" s="17" t="str">
        <f>IF(WEEKDAY(Table2_1[[#This Row],[Transaction  Date]],2)&lt;=5,"Weekday","Weekend")</f>
        <v>Weekday</v>
      </c>
      <c r="T199" s="37" t="str">
        <f>FLOOR(Table2_1[[#This Row],[Age]],15)&amp; "-"&amp; FLOOR(Table2_1[[#This Row],[Age]],15)+14</f>
        <v>15-29</v>
      </c>
    </row>
    <row r="200" spans="1:20" x14ac:dyDescent="0.3">
      <c r="A200" s="18">
        <v>45329</v>
      </c>
      <c r="B200" s="17" t="s">
        <v>1119</v>
      </c>
      <c r="C200" s="17" t="s">
        <v>38</v>
      </c>
      <c r="D200" s="18">
        <v>30268</v>
      </c>
      <c r="E200" s="16" t="s">
        <v>33</v>
      </c>
      <c r="F200" s="31">
        <v>367</v>
      </c>
      <c r="G200" s="17" t="s">
        <v>15</v>
      </c>
      <c r="H200" s="17" t="s">
        <v>39</v>
      </c>
      <c r="I200" s="17" t="s">
        <v>17</v>
      </c>
      <c r="J200" s="27">
        <v>0.1</v>
      </c>
      <c r="K200" s="17" t="s">
        <v>929</v>
      </c>
      <c r="L200" s="32">
        <v>10</v>
      </c>
      <c r="M200" s="32">
        <f>_xlfn.XLOOKUP(Table2_1[[#This Row],[Product Code]],Product_Code,Unit_Price,0)</f>
        <v>14</v>
      </c>
      <c r="N200" s="31">
        <f>DATEDIF(Table2_1[[#This Row],[Buyer Date of Birth]],Table2_1[[#This Row],[Transaction  Date]],"Y")</f>
        <v>41</v>
      </c>
      <c r="O200" s="33">
        <v>3670</v>
      </c>
      <c r="P200" s="33">
        <f>Table2_1[[#This Row],[Quantity Purchased]]*Table2_1[[#This Row],[UnitPrice]]*(1-Table2_1[[#This Row],[Discount]])</f>
        <v>4624.2</v>
      </c>
      <c r="Q200" s="33">
        <f>Table2_1[[#This Row],[Revenue]]-Table2_1[[#This Row],[COGS]]</f>
        <v>954.19999999999982</v>
      </c>
      <c r="R200" s="39">
        <f>WEEKDAY(Table2_1[[#This Row],[Transaction  Date]])</f>
        <v>4</v>
      </c>
      <c r="S200" s="17" t="str">
        <f>IF(WEEKDAY(Table2_1[[#This Row],[Transaction  Date]],2)&lt;=5,"Weekday","Weekend")</f>
        <v>Weekday</v>
      </c>
      <c r="T200" s="37" t="str">
        <f>FLOOR(Table2_1[[#This Row],[Age]],15)&amp; "-"&amp; FLOOR(Table2_1[[#This Row],[Age]],15)+14</f>
        <v>30-44</v>
      </c>
    </row>
    <row r="201" spans="1:20" x14ac:dyDescent="0.3">
      <c r="A201" s="18">
        <v>45329</v>
      </c>
      <c r="B201" s="17" t="s">
        <v>1120</v>
      </c>
      <c r="C201" s="17" t="s">
        <v>51</v>
      </c>
      <c r="D201" s="18">
        <v>18076</v>
      </c>
      <c r="E201" s="16" t="s">
        <v>14</v>
      </c>
      <c r="F201" s="31">
        <v>226</v>
      </c>
      <c r="G201" s="17" t="s">
        <v>56</v>
      </c>
      <c r="H201" s="17" t="s">
        <v>52</v>
      </c>
      <c r="I201" s="17" t="s">
        <v>17</v>
      </c>
      <c r="J201" s="27">
        <v>0.1</v>
      </c>
      <c r="K201" s="17" t="s">
        <v>935</v>
      </c>
      <c r="L201" s="32">
        <v>18</v>
      </c>
      <c r="M201" s="32">
        <f>_xlfn.XLOOKUP(Table2_1[[#This Row],[Product Code]],Product_Code,Unit_Price,0)</f>
        <v>36</v>
      </c>
      <c r="N201" s="31">
        <f>DATEDIF(Table2_1[[#This Row],[Buyer Date of Birth]],Table2_1[[#This Row],[Transaction  Date]],"Y")</f>
        <v>74</v>
      </c>
      <c r="O201" s="33">
        <v>4068</v>
      </c>
      <c r="P201" s="33">
        <f>Table2_1[[#This Row],[Quantity Purchased]]*Table2_1[[#This Row],[UnitPrice]]*(1-Table2_1[[#This Row],[Discount]])</f>
        <v>7322.4000000000005</v>
      </c>
      <c r="Q201" s="33">
        <f>Table2_1[[#This Row],[Revenue]]-Table2_1[[#This Row],[COGS]]</f>
        <v>3254.4000000000005</v>
      </c>
      <c r="R201" s="39">
        <f>WEEKDAY(Table2_1[[#This Row],[Transaction  Date]])</f>
        <v>4</v>
      </c>
      <c r="S201" s="17" t="str">
        <f>IF(WEEKDAY(Table2_1[[#This Row],[Transaction  Date]],2)&lt;=5,"Weekday","Weekend")</f>
        <v>Weekday</v>
      </c>
      <c r="T201" s="37" t="str">
        <f>FLOOR(Table2_1[[#This Row],[Age]],15)&amp; "-"&amp; FLOOR(Table2_1[[#This Row],[Age]],15)+14</f>
        <v>60-74</v>
      </c>
    </row>
    <row r="202" spans="1:20" x14ac:dyDescent="0.3">
      <c r="A202" s="18">
        <v>45330</v>
      </c>
      <c r="B202" s="17" t="s">
        <v>1121</v>
      </c>
      <c r="C202" s="17" t="s">
        <v>26</v>
      </c>
      <c r="D202" s="18">
        <v>23311</v>
      </c>
      <c r="E202" s="16" t="s">
        <v>20</v>
      </c>
      <c r="F202" s="31">
        <v>332</v>
      </c>
      <c r="G202" s="17" t="s">
        <v>27</v>
      </c>
      <c r="H202" s="17" t="s">
        <v>52</v>
      </c>
      <c r="I202" s="17" t="s">
        <v>17</v>
      </c>
      <c r="J202" s="27">
        <v>0.1</v>
      </c>
      <c r="K202" s="17" t="s">
        <v>927</v>
      </c>
      <c r="L202" s="32">
        <v>18</v>
      </c>
      <c r="M202" s="32">
        <f>_xlfn.XLOOKUP(Table2_1[[#This Row],[Product Code]],Product_Code,Unit_Price,0)</f>
        <v>22</v>
      </c>
      <c r="N202" s="31">
        <f>DATEDIF(Table2_1[[#This Row],[Buyer Date of Birth]],Table2_1[[#This Row],[Transaction  Date]],"Y")</f>
        <v>60</v>
      </c>
      <c r="O202" s="33">
        <v>5976</v>
      </c>
      <c r="P202" s="33">
        <f>Table2_1[[#This Row],[Quantity Purchased]]*Table2_1[[#This Row],[UnitPrice]]*(1-Table2_1[[#This Row],[Discount]])</f>
        <v>6573.6</v>
      </c>
      <c r="Q202" s="33">
        <f>Table2_1[[#This Row],[Revenue]]-Table2_1[[#This Row],[COGS]]</f>
        <v>597.60000000000036</v>
      </c>
      <c r="R202" s="39">
        <f>WEEKDAY(Table2_1[[#This Row],[Transaction  Date]])</f>
        <v>5</v>
      </c>
      <c r="S202" s="17" t="str">
        <f>IF(WEEKDAY(Table2_1[[#This Row],[Transaction  Date]],2)&lt;=5,"Weekday","Weekend")</f>
        <v>Weekday</v>
      </c>
      <c r="T202" s="37" t="str">
        <f>FLOOR(Table2_1[[#This Row],[Age]],15)&amp; "-"&amp; FLOOR(Table2_1[[#This Row],[Age]],15)+14</f>
        <v>60-74</v>
      </c>
    </row>
    <row r="203" spans="1:20" x14ac:dyDescent="0.3">
      <c r="A203" s="18">
        <v>45330</v>
      </c>
      <c r="B203" s="17" t="s">
        <v>1122</v>
      </c>
      <c r="C203" s="17" t="s">
        <v>71</v>
      </c>
      <c r="D203" s="18">
        <v>33010</v>
      </c>
      <c r="E203" s="16" t="s">
        <v>33</v>
      </c>
      <c r="F203" s="31">
        <v>54</v>
      </c>
      <c r="G203" s="17" t="s">
        <v>59</v>
      </c>
      <c r="H203" s="17" t="s">
        <v>48</v>
      </c>
      <c r="I203" s="17" t="s">
        <v>29</v>
      </c>
      <c r="J203" s="27">
        <v>0.1</v>
      </c>
      <c r="K203" s="17" t="s">
        <v>932</v>
      </c>
      <c r="L203" s="32">
        <v>19</v>
      </c>
      <c r="M203" s="32">
        <f>_xlfn.XLOOKUP(Table2_1[[#This Row],[Product Code]],Product_Code,Unit_Price,0)</f>
        <v>23</v>
      </c>
      <c r="N203" s="31">
        <f>DATEDIF(Table2_1[[#This Row],[Buyer Date of Birth]],Table2_1[[#This Row],[Transaction  Date]],"Y")</f>
        <v>33</v>
      </c>
      <c r="O203" s="33">
        <v>1026</v>
      </c>
      <c r="P203" s="33">
        <f>Table2_1[[#This Row],[Quantity Purchased]]*Table2_1[[#This Row],[UnitPrice]]*(1-Table2_1[[#This Row],[Discount]])</f>
        <v>1117.8</v>
      </c>
      <c r="Q203" s="33">
        <f>Table2_1[[#This Row],[Revenue]]-Table2_1[[#This Row],[COGS]]</f>
        <v>91.799999999999955</v>
      </c>
      <c r="R203" s="39">
        <f>WEEKDAY(Table2_1[[#This Row],[Transaction  Date]])</f>
        <v>5</v>
      </c>
      <c r="S203" s="17" t="str">
        <f>IF(WEEKDAY(Table2_1[[#This Row],[Transaction  Date]],2)&lt;=5,"Weekday","Weekend")</f>
        <v>Weekday</v>
      </c>
      <c r="T203" s="37" t="str">
        <f>FLOOR(Table2_1[[#This Row],[Age]],15)&amp; "-"&amp; FLOOR(Table2_1[[#This Row],[Age]],15)+14</f>
        <v>30-44</v>
      </c>
    </row>
    <row r="204" spans="1:20" x14ac:dyDescent="0.3">
      <c r="A204" s="18">
        <v>45330</v>
      </c>
      <c r="B204" s="17" t="s">
        <v>1123</v>
      </c>
      <c r="C204" s="17" t="s">
        <v>83</v>
      </c>
      <c r="D204" s="18">
        <v>23622</v>
      </c>
      <c r="E204" s="16" t="s">
        <v>14</v>
      </c>
      <c r="F204" s="31">
        <v>138</v>
      </c>
      <c r="G204" s="17" t="s">
        <v>56</v>
      </c>
      <c r="H204" s="17" t="s">
        <v>39</v>
      </c>
      <c r="I204" s="17" t="s">
        <v>17</v>
      </c>
      <c r="J204" s="27">
        <v>0.1</v>
      </c>
      <c r="K204" s="17" t="s">
        <v>935</v>
      </c>
      <c r="L204" s="32">
        <v>18</v>
      </c>
      <c r="M204" s="32">
        <f>_xlfn.XLOOKUP(Table2_1[[#This Row],[Product Code]],Product_Code,Unit_Price,0)</f>
        <v>36</v>
      </c>
      <c r="N204" s="31">
        <f>DATEDIF(Table2_1[[#This Row],[Buyer Date of Birth]],Table2_1[[#This Row],[Transaction  Date]],"Y")</f>
        <v>59</v>
      </c>
      <c r="O204" s="33">
        <v>2484</v>
      </c>
      <c r="P204" s="33">
        <f>Table2_1[[#This Row],[Quantity Purchased]]*Table2_1[[#This Row],[UnitPrice]]*(1-Table2_1[[#This Row],[Discount]])</f>
        <v>4471.2</v>
      </c>
      <c r="Q204" s="33">
        <f>Table2_1[[#This Row],[Revenue]]-Table2_1[[#This Row],[COGS]]</f>
        <v>1987.1999999999998</v>
      </c>
      <c r="R204" s="39">
        <f>WEEKDAY(Table2_1[[#This Row],[Transaction  Date]])</f>
        <v>5</v>
      </c>
      <c r="S204" s="17" t="str">
        <f>IF(WEEKDAY(Table2_1[[#This Row],[Transaction  Date]],2)&lt;=5,"Weekday","Weekend")</f>
        <v>Weekday</v>
      </c>
      <c r="T204" s="37" t="str">
        <f>FLOOR(Table2_1[[#This Row],[Age]],15)&amp; "-"&amp; FLOOR(Table2_1[[#This Row],[Age]],15)+14</f>
        <v>45-59</v>
      </c>
    </row>
    <row r="205" spans="1:20" x14ac:dyDescent="0.3">
      <c r="A205" s="18">
        <v>45330</v>
      </c>
      <c r="B205" s="17" t="s">
        <v>1124</v>
      </c>
      <c r="C205" s="17" t="s">
        <v>55</v>
      </c>
      <c r="D205" s="18">
        <v>26917</v>
      </c>
      <c r="E205" s="16" t="s">
        <v>33</v>
      </c>
      <c r="F205" s="31">
        <v>424</v>
      </c>
      <c r="G205" s="17" t="s">
        <v>42</v>
      </c>
      <c r="H205" s="17" t="s">
        <v>48</v>
      </c>
      <c r="I205" s="17" t="s">
        <v>23</v>
      </c>
      <c r="J205" s="27">
        <v>0.1</v>
      </c>
      <c r="K205" s="17" t="s">
        <v>926</v>
      </c>
      <c r="L205" s="32">
        <v>10</v>
      </c>
      <c r="M205" s="32">
        <f>_xlfn.XLOOKUP(Table2_1[[#This Row],[Product Code]],Product_Code,Unit_Price,0)</f>
        <v>11</v>
      </c>
      <c r="N205" s="31">
        <f>DATEDIF(Table2_1[[#This Row],[Buyer Date of Birth]],Table2_1[[#This Row],[Transaction  Date]],"Y")</f>
        <v>50</v>
      </c>
      <c r="O205" s="33">
        <v>4240</v>
      </c>
      <c r="P205" s="33">
        <f>Table2_1[[#This Row],[Quantity Purchased]]*Table2_1[[#This Row],[UnitPrice]]*(1-Table2_1[[#This Row],[Discount]])</f>
        <v>4197.6000000000004</v>
      </c>
      <c r="Q205" s="33">
        <f>Table2_1[[#This Row],[Revenue]]-Table2_1[[#This Row],[COGS]]</f>
        <v>-42.399999999999636</v>
      </c>
      <c r="R205" s="39">
        <f>WEEKDAY(Table2_1[[#This Row],[Transaction  Date]])</f>
        <v>5</v>
      </c>
      <c r="S205" s="17" t="str">
        <f>IF(WEEKDAY(Table2_1[[#This Row],[Transaction  Date]],2)&lt;=5,"Weekday","Weekend")</f>
        <v>Weekday</v>
      </c>
      <c r="T205" s="37" t="str">
        <f>FLOOR(Table2_1[[#This Row],[Age]],15)&amp; "-"&amp; FLOOR(Table2_1[[#This Row],[Age]],15)+14</f>
        <v>45-59</v>
      </c>
    </row>
    <row r="206" spans="1:20" x14ac:dyDescent="0.3">
      <c r="A206" s="18">
        <v>45330</v>
      </c>
      <c r="B206" s="17" t="s">
        <v>1125</v>
      </c>
      <c r="C206" s="17" t="s">
        <v>55</v>
      </c>
      <c r="D206" s="18">
        <v>19941</v>
      </c>
      <c r="E206" s="16" t="s">
        <v>14</v>
      </c>
      <c r="F206" s="31">
        <v>311</v>
      </c>
      <c r="G206" s="17" t="s">
        <v>65</v>
      </c>
      <c r="H206" s="17" t="s">
        <v>28</v>
      </c>
      <c r="I206" s="17" t="s">
        <v>17</v>
      </c>
      <c r="J206" s="27">
        <v>0.1</v>
      </c>
      <c r="K206" s="17" t="s">
        <v>928</v>
      </c>
      <c r="L206" s="32">
        <v>3</v>
      </c>
      <c r="M206" s="32">
        <f>_xlfn.XLOOKUP(Table2_1[[#This Row],[Product Code]],Product_Code,Unit_Price,0)</f>
        <v>5</v>
      </c>
      <c r="N206" s="31">
        <f>DATEDIF(Table2_1[[#This Row],[Buyer Date of Birth]],Table2_1[[#This Row],[Transaction  Date]],"Y")</f>
        <v>69</v>
      </c>
      <c r="O206" s="33">
        <v>933</v>
      </c>
      <c r="P206" s="33">
        <f>Table2_1[[#This Row],[Quantity Purchased]]*Table2_1[[#This Row],[UnitPrice]]*(1-Table2_1[[#This Row],[Discount]])</f>
        <v>1399.5</v>
      </c>
      <c r="Q206" s="33">
        <f>Table2_1[[#This Row],[Revenue]]-Table2_1[[#This Row],[COGS]]</f>
        <v>466.5</v>
      </c>
      <c r="R206" s="39">
        <f>WEEKDAY(Table2_1[[#This Row],[Transaction  Date]])</f>
        <v>5</v>
      </c>
      <c r="S206" s="17" t="str">
        <f>IF(WEEKDAY(Table2_1[[#This Row],[Transaction  Date]],2)&lt;=5,"Weekday","Weekend")</f>
        <v>Weekday</v>
      </c>
      <c r="T206" s="37" t="str">
        <f>FLOOR(Table2_1[[#This Row],[Age]],15)&amp; "-"&amp; FLOOR(Table2_1[[#This Row],[Age]],15)+14</f>
        <v>60-74</v>
      </c>
    </row>
    <row r="207" spans="1:20" x14ac:dyDescent="0.3">
      <c r="A207" s="18">
        <v>45330</v>
      </c>
      <c r="B207" s="17" t="s">
        <v>1126</v>
      </c>
      <c r="C207" s="17" t="s">
        <v>51</v>
      </c>
      <c r="D207" s="18">
        <v>16138</v>
      </c>
      <c r="E207" s="16" t="s">
        <v>68</v>
      </c>
      <c r="F207" s="31">
        <v>493</v>
      </c>
      <c r="G207" s="17" t="s">
        <v>42</v>
      </c>
      <c r="H207" s="17" t="s">
        <v>39</v>
      </c>
      <c r="I207" s="17" t="s">
        <v>17</v>
      </c>
      <c r="J207" s="27">
        <v>0.1</v>
      </c>
      <c r="K207" s="17" t="s">
        <v>926</v>
      </c>
      <c r="L207" s="32">
        <v>10</v>
      </c>
      <c r="M207" s="32">
        <f>_xlfn.XLOOKUP(Table2_1[[#This Row],[Product Code]],Product_Code,Unit_Price,0)</f>
        <v>11</v>
      </c>
      <c r="N207" s="31">
        <f>DATEDIF(Table2_1[[#This Row],[Buyer Date of Birth]],Table2_1[[#This Row],[Transaction  Date]],"Y")</f>
        <v>79</v>
      </c>
      <c r="O207" s="33">
        <v>4930</v>
      </c>
      <c r="P207" s="33">
        <f>Table2_1[[#This Row],[Quantity Purchased]]*Table2_1[[#This Row],[UnitPrice]]*(1-Table2_1[[#This Row],[Discount]])</f>
        <v>4880.7</v>
      </c>
      <c r="Q207" s="33">
        <f>Table2_1[[#This Row],[Revenue]]-Table2_1[[#This Row],[COGS]]</f>
        <v>-49.300000000000182</v>
      </c>
      <c r="R207" s="39">
        <f>WEEKDAY(Table2_1[[#This Row],[Transaction  Date]])</f>
        <v>5</v>
      </c>
      <c r="S207" s="17" t="str">
        <f>IF(WEEKDAY(Table2_1[[#This Row],[Transaction  Date]],2)&lt;=5,"Weekday","Weekend")</f>
        <v>Weekday</v>
      </c>
      <c r="T207" s="37" t="str">
        <f>FLOOR(Table2_1[[#This Row],[Age]],15)&amp; "-"&amp; FLOOR(Table2_1[[#This Row],[Age]],15)+14</f>
        <v>75-89</v>
      </c>
    </row>
    <row r="208" spans="1:20" x14ac:dyDescent="0.3">
      <c r="A208" s="18">
        <v>45331</v>
      </c>
      <c r="B208" s="17" t="s">
        <v>1127</v>
      </c>
      <c r="C208" s="17" t="s">
        <v>38</v>
      </c>
      <c r="D208" s="18">
        <v>22221</v>
      </c>
      <c r="E208" s="16" t="s">
        <v>33</v>
      </c>
      <c r="F208" s="31">
        <v>175</v>
      </c>
      <c r="G208" s="17" t="s">
        <v>42</v>
      </c>
      <c r="H208" s="17" t="s">
        <v>28</v>
      </c>
      <c r="I208" s="17" t="s">
        <v>17</v>
      </c>
      <c r="J208" s="27">
        <v>0.1</v>
      </c>
      <c r="K208" s="17" t="s">
        <v>926</v>
      </c>
      <c r="L208" s="32">
        <v>10</v>
      </c>
      <c r="M208" s="32">
        <f>_xlfn.XLOOKUP(Table2_1[[#This Row],[Product Code]],Product_Code,Unit_Price,0)</f>
        <v>11</v>
      </c>
      <c r="N208" s="31">
        <f>DATEDIF(Table2_1[[#This Row],[Buyer Date of Birth]],Table2_1[[#This Row],[Transaction  Date]],"Y")</f>
        <v>63</v>
      </c>
      <c r="O208" s="33">
        <v>1750</v>
      </c>
      <c r="P208" s="33">
        <f>Table2_1[[#This Row],[Quantity Purchased]]*Table2_1[[#This Row],[UnitPrice]]*(1-Table2_1[[#This Row],[Discount]])</f>
        <v>1732.5</v>
      </c>
      <c r="Q208" s="33">
        <f>Table2_1[[#This Row],[Revenue]]-Table2_1[[#This Row],[COGS]]</f>
        <v>-17.5</v>
      </c>
      <c r="R208" s="39">
        <f>WEEKDAY(Table2_1[[#This Row],[Transaction  Date]])</f>
        <v>6</v>
      </c>
      <c r="S208" s="17" t="str">
        <f>IF(WEEKDAY(Table2_1[[#This Row],[Transaction  Date]],2)&lt;=5,"Weekday","Weekend")</f>
        <v>Weekday</v>
      </c>
      <c r="T208" s="37" t="str">
        <f>FLOOR(Table2_1[[#This Row],[Age]],15)&amp; "-"&amp; FLOOR(Table2_1[[#This Row],[Age]],15)+14</f>
        <v>60-74</v>
      </c>
    </row>
    <row r="209" spans="1:20" x14ac:dyDescent="0.3">
      <c r="A209" s="18">
        <v>45331</v>
      </c>
      <c r="B209" s="17" t="s">
        <v>1027</v>
      </c>
      <c r="C209" s="17" t="s">
        <v>38</v>
      </c>
      <c r="D209" s="18">
        <v>31999</v>
      </c>
      <c r="E209" s="16" t="s">
        <v>68</v>
      </c>
      <c r="F209" s="31">
        <v>376</v>
      </c>
      <c r="G209" s="17" t="s">
        <v>65</v>
      </c>
      <c r="H209" s="17" t="s">
        <v>43</v>
      </c>
      <c r="I209" s="17" t="s">
        <v>23</v>
      </c>
      <c r="J209" s="27">
        <v>0.1</v>
      </c>
      <c r="K209" s="17" t="s">
        <v>928</v>
      </c>
      <c r="L209" s="32">
        <v>3</v>
      </c>
      <c r="M209" s="32">
        <f>_xlfn.XLOOKUP(Table2_1[[#This Row],[Product Code]],Product_Code,Unit_Price,0)</f>
        <v>5</v>
      </c>
      <c r="N209" s="31">
        <f>DATEDIF(Table2_1[[#This Row],[Buyer Date of Birth]],Table2_1[[#This Row],[Transaction  Date]],"Y")</f>
        <v>36</v>
      </c>
      <c r="O209" s="33">
        <v>1128</v>
      </c>
      <c r="P209" s="33">
        <f>Table2_1[[#This Row],[Quantity Purchased]]*Table2_1[[#This Row],[UnitPrice]]*(1-Table2_1[[#This Row],[Discount]])</f>
        <v>1692</v>
      </c>
      <c r="Q209" s="33">
        <f>Table2_1[[#This Row],[Revenue]]-Table2_1[[#This Row],[COGS]]</f>
        <v>564</v>
      </c>
      <c r="R209" s="39">
        <f>WEEKDAY(Table2_1[[#This Row],[Transaction  Date]])</f>
        <v>6</v>
      </c>
      <c r="S209" s="17" t="str">
        <f>IF(WEEKDAY(Table2_1[[#This Row],[Transaction  Date]],2)&lt;=5,"Weekday","Weekend")</f>
        <v>Weekday</v>
      </c>
      <c r="T209" s="37" t="str">
        <f>FLOOR(Table2_1[[#This Row],[Age]],15)&amp; "-"&amp; FLOOR(Table2_1[[#This Row],[Age]],15)+14</f>
        <v>30-44</v>
      </c>
    </row>
    <row r="210" spans="1:20" x14ac:dyDescent="0.3">
      <c r="A210" s="18">
        <v>45331</v>
      </c>
      <c r="B210" s="17" t="s">
        <v>1128</v>
      </c>
      <c r="C210" s="17" t="s">
        <v>78</v>
      </c>
      <c r="D210" s="18">
        <v>16667</v>
      </c>
      <c r="E210" s="16" t="s">
        <v>14</v>
      </c>
      <c r="F210" s="31">
        <v>386</v>
      </c>
      <c r="G210" s="17" t="s">
        <v>47</v>
      </c>
      <c r="H210" s="17" t="s">
        <v>28</v>
      </c>
      <c r="I210" s="17" t="s">
        <v>17</v>
      </c>
      <c r="J210" s="27">
        <v>0.1</v>
      </c>
      <c r="K210" s="17" t="s">
        <v>931</v>
      </c>
      <c r="L210" s="32">
        <v>7</v>
      </c>
      <c r="M210" s="32">
        <f>_xlfn.XLOOKUP(Table2_1[[#This Row],[Product Code]],Product_Code,Unit_Price,0)</f>
        <v>9</v>
      </c>
      <c r="N210" s="31">
        <f>DATEDIF(Table2_1[[#This Row],[Buyer Date of Birth]],Table2_1[[#This Row],[Transaction  Date]],"Y")</f>
        <v>78</v>
      </c>
      <c r="O210" s="33">
        <v>2702</v>
      </c>
      <c r="P210" s="33">
        <f>Table2_1[[#This Row],[Quantity Purchased]]*Table2_1[[#This Row],[UnitPrice]]*(1-Table2_1[[#This Row],[Discount]])</f>
        <v>3126.6</v>
      </c>
      <c r="Q210" s="33">
        <f>Table2_1[[#This Row],[Revenue]]-Table2_1[[#This Row],[COGS]]</f>
        <v>424.59999999999991</v>
      </c>
      <c r="R210" s="39">
        <f>WEEKDAY(Table2_1[[#This Row],[Transaction  Date]])</f>
        <v>6</v>
      </c>
      <c r="S210" s="17" t="str">
        <f>IF(WEEKDAY(Table2_1[[#This Row],[Transaction  Date]],2)&lt;=5,"Weekday","Weekend")</f>
        <v>Weekday</v>
      </c>
      <c r="T210" s="37" t="str">
        <f>FLOOR(Table2_1[[#This Row],[Age]],15)&amp; "-"&amp; FLOOR(Table2_1[[#This Row],[Age]],15)+14</f>
        <v>75-89</v>
      </c>
    </row>
    <row r="211" spans="1:20" x14ac:dyDescent="0.3">
      <c r="A211" s="18">
        <v>45331</v>
      </c>
      <c r="B211" s="17" t="s">
        <v>1129</v>
      </c>
      <c r="C211" s="17" t="s">
        <v>55</v>
      </c>
      <c r="D211" s="18">
        <v>25704</v>
      </c>
      <c r="E211" s="16" t="s">
        <v>68</v>
      </c>
      <c r="F211" s="31">
        <v>289</v>
      </c>
      <c r="G211" s="17" t="s">
        <v>59</v>
      </c>
      <c r="H211" s="17" t="s">
        <v>52</v>
      </c>
      <c r="I211" s="17" t="s">
        <v>17</v>
      </c>
      <c r="J211" s="27">
        <v>0.1</v>
      </c>
      <c r="K211" s="17" t="s">
        <v>932</v>
      </c>
      <c r="L211" s="32">
        <v>19</v>
      </c>
      <c r="M211" s="32">
        <f>_xlfn.XLOOKUP(Table2_1[[#This Row],[Product Code]],Product_Code,Unit_Price,0)</f>
        <v>23</v>
      </c>
      <c r="N211" s="31">
        <f>DATEDIF(Table2_1[[#This Row],[Buyer Date of Birth]],Table2_1[[#This Row],[Transaction  Date]],"Y")</f>
        <v>53</v>
      </c>
      <c r="O211" s="33">
        <v>5491</v>
      </c>
      <c r="P211" s="33">
        <f>Table2_1[[#This Row],[Quantity Purchased]]*Table2_1[[#This Row],[UnitPrice]]*(1-Table2_1[[#This Row],[Discount]])</f>
        <v>5982.3</v>
      </c>
      <c r="Q211" s="33">
        <f>Table2_1[[#This Row],[Revenue]]-Table2_1[[#This Row],[COGS]]</f>
        <v>491.30000000000018</v>
      </c>
      <c r="R211" s="39">
        <f>WEEKDAY(Table2_1[[#This Row],[Transaction  Date]])</f>
        <v>6</v>
      </c>
      <c r="S211" s="17" t="str">
        <f>IF(WEEKDAY(Table2_1[[#This Row],[Transaction  Date]],2)&lt;=5,"Weekday","Weekend")</f>
        <v>Weekday</v>
      </c>
      <c r="T211" s="37" t="str">
        <f>FLOOR(Table2_1[[#This Row],[Age]],15)&amp; "-"&amp; FLOOR(Table2_1[[#This Row],[Age]],15)+14</f>
        <v>45-59</v>
      </c>
    </row>
    <row r="212" spans="1:20" x14ac:dyDescent="0.3">
      <c r="A212" s="18">
        <v>45332</v>
      </c>
      <c r="B212" s="17" t="s">
        <v>1130</v>
      </c>
      <c r="C212" s="17" t="s">
        <v>13</v>
      </c>
      <c r="D212" s="18">
        <v>17318</v>
      </c>
      <c r="E212" s="16" t="s">
        <v>33</v>
      </c>
      <c r="F212" s="31">
        <v>484</v>
      </c>
      <c r="G212" s="17" t="s">
        <v>56</v>
      </c>
      <c r="H212" s="17" t="s">
        <v>43</v>
      </c>
      <c r="I212" s="17" t="s">
        <v>29</v>
      </c>
      <c r="J212" s="27">
        <v>0.1</v>
      </c>
      <c r="K212" s="17" t="s">
        <v>935</v>
      </c>
      <c r="L212" s="32">
        <v>18</v>
      </c>
      <c r="M212" s="32">
        <f>_xlfn.XLOOKUP(Table2_1[[#This Row],[Product Code]],Product_Code,Unit_Price,0)</f>
        <v>36</v>
      </c>
      <c r="N212" s="31">
        <f>DATEDIF(Table2_1[[#This Row],[Buyer Date of Birth]],Table2_1[[#This Row],[Transaction  Date]],"Y")</f>
        <v>76</v>
      </c>
      <c r="O212" s="33">
        <v>8712</v>
      </c>
      <c r="P212" s="33">
        <f>Table2_1[[#This Row],[Quantity Purchased]]*Table2_1[[#This Row],[UnitPrice]]*(1-Table2_1[[#This Row],[Discount]])</f>
        <v>15681.6</v>
      </c>
      <c r="Q212" s="33">
        <f>Table2_1[[#This Row],[Revenue]]-Table2_1[[#This Row],[COGS]]</f>
        <v>6969.6</v>
      </c>
      <c r="R212" s="39">
        <f>WEEKDAY(Table2_1[[#This Row],[Transaction  Date]])</f>
        <v>7</v>
      </c>
      <c r="S212" s="17" t="str">
        <f>IF(WEEKDAY(Table2_1[[#This Row],[Transaction  Date]],2)&lt;=5,"Weekday","Weekend")</f>
        <v>Weekend</v>
      </c>
      <c r="T212" s="37" t="str">
        <f>FLOOR(Table2_1[[#This Row],[Age]],15)&amp; "-"&amp; FLOOR(Table2_1[[#This Row],[Age]],15)+14</f>
        <v>75-89</v>
      </c>
    </row>
    <row r="213" spans="1:20" x14ac:dyDescent="0.3">
      <c r="A213" s="18">
        <v>45332</v>
      </c>
      <c r="B213" s="17" t="s">
        <v>1131</v>
      </c>
      <c r="C213" s="17" t="s">
        <v>46</v>
      </c>
      <c r="D213" s="18">
        <v>31905</v>
      </c>
      <c r="E213" s="16" t="s">
        <v>20</v>
      </c>
      <c r="F213" s="31">
        <v>471</v>
      </c>
      <c r="G213" s="17" t="s">
        <v>42</v>
      </c>
      <c r="H213" s="17" t="s">
        <v>43</v>
      </c>
      <c r="I213" s="17" t="s">
        <v>17</v>
      </c>
      <c r="J213" s="27">
        <v>0.1</v>
      </c>
      <c r="K213" s="17" t="s">
        <v>926</v>
      </c>
      <c r="L213" s="32">
        <v>10</v>
      </c>
      <c r="M213" s="32">
        <f>_xlfn.XLOOKUP(Table2_1[[#This Row],[Product Code]],Product_Code,Unit_Price,0)</f>
        <v>11</v>
      </c>
      <c r="N213" s="31">
        <f>DATEDIF(Table2_1[[#This Row],[Buyer Date of Birth]],Table2_1[[#This Row],[Transaction  Date]],"Y")</f>
        <v>36</v>
      </c>
      <c r="O213" s="33">
        <v>4710</v>
      </c>
      <c r="P213" s="33">
        <f>Table2_1[[#This Row],[Quantity Purchased]]*Table2_1[[#This Row],[UnitPrice]]*(1-Table2_1[[#This Row],[Discount]])</f>
        <v>4662.9000000000005</v>
      </c>
      <c r="Q213" s="33">
        <f>Table2_1[[#This Row],[Revenue]]-Table2_1[[#This Row],[COGS]]</f>
        <v>-47.099999999999454</v>
      </c>
      <c r="R213" s="39">
        <f>WEEKDAY(Table2_1[[#This Row],[Transaction  Date]])</f>
        <v>7</v>
      </c>
      <c r="S213" s="17" t="str">
        <f>IF(WEEKDAY(Table2_1[[#This Row],[Transaction  Date]],2)&lt;=5,"Weekday","Weekend")</f>
        <v>Weekend</v>
      </c>
      <c r="T213" s="37" t="str">
        <f>FLOOR(Table2_1[[#This Row],[Age]],15)&amp; "-"&amp; FLOOR(Table2_1[[#This Row],[Age]],15)+14</f>
        <v>30-44</v>
      </c>
    </row>
    <row r="214" spans="1:20" x14ac:dyDescent="0.3">
      <c r="A214" s="18">
        <v>45332</v>
      </c>
      <c r="B214" s="17" t="s">
        <v>1132</v>
      </c>
      <c r="C214" s="17" t="s">
        <v>71</v>
      </c>
      <c r="D214" s="18">
        <v>22705</v>
      </c>
      <c r="E214" s="16" t="s">
        <v>33</v>
      </c>
      <c r="F214" s="31">
        <v>92</v>
      </c>
      <c r="G214" s="17" t="s">
        <v>34</v>
      </c>
      <c r="H214" s="17" t="s">
        <v>43</v>
      </c>
      <c r="I214" s="17" t="s">
        <v>17</v>
      </c>
      <c r="J214" s="27">
        <v>0.1</v>
      </c>
      <c r="K214" s="17" t="s">
        <v>930</v>
      </c>
      <c r="L214" s="32">
        <v>14</v>
      </c>
      <c r="M214" s="32">
        <f>_xlfn.XLOOKUP(Table2_1[[#This Row],[Product Code]],Product_Code,Unit_Price,0)</f>
        <v>28</v>
      </c>
      <c r="N214" s="31">
        <f>DATEDIF(Table2_1[[#This Row],[Buyer Date of Birth]],Table2_1[[#This Row],[Transaction  Date]],"Y")</f>
        <v>61</v>
      </c>
      <c r="O214" s="33">
        <v>1288</v>
      </c>
      <c r="P214" s="33">
        <f>Table2_1[[#This Row],[Quantity Purchased]]*Table2_1[[#This Row],[UnitPrice]]*(1-Table2_1[[#This Row],[Discount]])</f>
        <v>2318.4</v>
      </c>
      <c r="Q214" s="33">
        <f>Table2_1[[#This Row],[Revenue]]-Table2_1[[#This Row],[COGS]]</f>
        <v>1030.4000000000001</v>
      </c>
      <c r="R214" s="39">
        <f>WEEKDAY(Table2_1[[#This Row],[Transaction  Date]])</f>
        <v>7</v>
      </c>
      <c r="S214" s="17" t="str">
        <f>IF(WEEKDAY(Table2_1[[#This Row],[Transaction  Date]],2)&lt;=5,"Weekday","Weekend")</f>
        <v>Weekend</v>
      </c>
      <c r="T214" s="37" t="str">
        <f>FLOOR(Table2_1[[#This Row],[Age]],15)&amp; "-"&amp; FLOOR(Table2_1[[#This Row],[Age]],15)+14</f>
        <v>60-74</v>
      </c>
    </row>
    <row r="215" spans="1:20" x14ac:dyDescent="0.3">
      <c r="A215" s="18">
        <v>45332</v>
      </c>
      <c r="B215" s="17" t="s">
        <v>1133</v>
      </c>
      <c r="C215" s="17" t="s">
        <v>46</v>
      </c>
      <c r="D215" s="18">
        <v>16564</v>
      </c>
      <c r="E215" s="16" t="s">
        <v>33</v>
      </c>
      <c r="F215" s="31">
        <v>288</v>
      </c>
      <c r="G215" s="17" t="s">
        <v>34</v>
      </c>
      <c r="H215" s="17" t="s">
        <v>28</v>
      </c>
      <c r="I215" s="17" t="s">
        <v>17</v>
      </c>
      <c r="J215" s="27">
        <v>0.1</v>
      </c>
      <c r="K215" s="17" t="s">
        <v>930</v>
      </c>
      <c r="L215" s="32">
        <v>14</v>
      </c>
      <c r="M215" s="32">
        <f>_xlfn.XLOOKUP(Table2_1[[#This Row],[Product Code]],Product_Code,Unit_Price,0)</f>
        <v>28</v>
      </c>
      <c r="N215" s="31">
        <f>DATEDIF(Table2_1[[#This Row],[Buyer Date of Birth]],Table2_1[[#This Row],[Transaction  Date]],"Y")</f>
        <v>78</v>
      </c>
      <c r="O215" s="33">
        <v>4032</v>
      </c>
      <c r="P215" s="33">
        <f>Table2_1[[#This Row],[Quantity Purchased]]*Table2_1[[#This Row],[UnitPrice]]*(1-Table2_1[[#This Row],[Discount]])</f>
        <v>7257.6</v>
      </c>
      <c r="Q215" s="33">
        <f>Table2_1[[#This Row],[Revenue]]-Table2_1[[#This Row],[COGS]]</f>
        <v>3225.6000000000004</v>
      </c>
      <c r="R215" s="39">
        <f>WEEKDAY(Table2_1[[#This Row],[Transaction  Date]])</f>
        <v>7</v>
      </c>
      <c r="S215" s="17" t="str">
        <f>IF(WEEKDAY(Table2_1[[#This Row],[Transaction  Date]],2)&lt;=5,"Weekday","Weekend")</f>
        <v>Weekend</v>
      </c>
      <c r="T215" s="37" t="str">
        <f>FLOOR(Table2_1[[#This Row],[Age]],15)&amp; "-"&amp; FLOOR(Table2_1[[#This Row],[Age]],15)+14</f>
        <v>75-89</v>
      </c>
    </row>
    <row r="216" spans="1:20" x14ac:dyDescent="0.3">
      <c r="A216" s="18">
        <v>45332</v>
      </c>
      <c r="B216" s="17" t="s">
        <v>1134</v>
      </c>
      <c r="C216" s="17" t="s">
        <v>32</v>
      </c>
      <c r="D216" s="18">
        <v>35141</v>
      </c>
      <c r="E216" s="16" t="s">
        <v>68</v>
      </c>
      <c r="F216" s="31">
        <v>421</v>
      </c>
      <c r="G216" s="17" t="s">
        <v>34</v>
      </c>
      <c r="H216" s="17" t="s">
        <v>35</v>
      </c>
      <c r="I216" s="17" t="s">
        <v>17</v>
      </c>
      <c r="J216" s="27">
        <v>0.1</v>
      </c>
      <c r="K216" s="17" t="s">
        <v>930</v>
      </c>
      <c r="L216" s="32">
        <v>14</v>
      </c>
      <c r="M216" s="32">
        <f>_xlfn.XLOOKUP(Table2_1[[#This Row],[Product Code]],Product_Code,Unit_Price,0)</f>
        <v>28</v>
      </c>
      <c r="N216" s="31">
        <f>DATEDIF(Table2_1[[#This Row],[Buyer Date of Birth]],Table2_1[[#This Row],[Transaction  Date]],"Y")</f>
        <v>27</v>
      </c>
      <c r="O216" s="33">
        <v>5894</v>
      </c>
      <c r="P216" s="33">
        <f>Table2_1[[#This Row],[Quantity Purchased]]*Table2_1[[#This Row],[UnitPrice]]*(1-Table2_1[[#This Row],[Discount]])</f>
        <v>10609.2</v>
      </c>
      <c r="Q216" s="33">
        <f>Table2_1[[#This Row],[Revenue]]-Table2_1[[#This Row],[COGS]]</f>
        <v>4715.2000000000007</v>
      </c>
      <c r="R216" s="39">
        <f>WEEKDAY(Table2_1[[#This Row],[Transaction  Date]])</f>
        <v>7</v>
      </c>
      <c r="S216" s="17" t="str">
        <f>IF(WEEKDAY(Table2_1[[#This Row],[Transaction  Date]],2)&lt;=5,"Weekday","Weekend")</f>
        <v>Weekend</v>
      </c>
      <c r="T216" s="37" t="str">
        <f>FLOOR(Table2_1[[#This Row],[Age]],15)&amp; "-"&amp; FLOOR(Table2_1[[#This Row],[Age]],15)+14</f>
        <v>15-29</v>
      </c>
    </row>
    <row r="217" spans="1:20" x14ac:dyDescent="0.3">
      <c r="A217" s="18">
        <v>45333</v>
      </c>
      <c r="B217" s="17" t="s">
        <v>1135</v>
      </c>
      <c r="C217" s="17" t="s">
        <v>78</v>
      </c>
      <c r="D217" s="18">
        <v>37889</v>
      </c>
      <c r="E217" s="16" t="s">
        <v>68</v>
      </c>
      <c r="F217" s="31">
        <v>242</v>
      </c>
      <c r="G217" s="17" t="s">
        <v>64</v>
      </c>
      <c r="H217" s="17" t="s">
        <v>28</v>
      </c>
      <c r="I217" s="17" t="s">
        <v>17</v>
      </c>
      <c r="J217" s="27">
        <v>0.1</v>
      </c>
      <c r="K217" s="17" t="s">
        <v>933</v>
      </c>
      <c r="L217" s="32">
        <v>5</v>
      </c>
      <c r="M217" s="32">
        <f>_xlfn.XLOOKUP(Table2_1[[#This Row],[Product Code]],Product_Code,Unit_Price,0)</f>
        <v>7</v>
      </c>
      <c r="N217" s="31">
        <f>DATEDIF(Table2_1[[#This Row],[Buyer Date of Birth]],Table2_1[[#This Row],[Transaction  Date]],"Y")</f>
        <v>20</v>
      </c>
      <c r="O217" s="33">
        <v>1210</v>
      </c>
      <c r="P217" s="33">
        <f>Table2_1[[#This Row],[Quantity Purchased]]*Table2_1[[#This Row],[UnitPrice]]*(1-Table2_1[[#This Row],[Discount]])</f>
        <v>1524.6000000000001</v>
      </c>
      <c r="Q217" s="33">
        <f>Table2_1[[#This Row],[Revenue]]-Table2_1[[#This Row],[COGS]]</f>
        <v>314.60000000000014</v>
      </c>
      <c r="R217" s="39">
        <f>WEEKDAY(Table2_1[[#This Row],[Transaction  Date]])</f>
        <v>1</v>
      </c>
      <c r="S217" s="17" t="str">
        <f>IF(WEEKDAY(Table2_1[[#This Row],[Transaction  Date]],2)&lt;=5,"Weekday","Weekend")</f>
        <v>Weekend</v>
      </c>
      <c r="T217" s="37" t="str">
        <f>FLOOR(Table2_1[[#This Row],[Age]],15)&amp; "-"&amp; FLOOR(Table2_1[[#This Row],[Age]],15)+14</f>
        <v>15-29</v>
      </c>
    </row>
    <row r="218" spans="1:20" x14ac:dyDescent="0.3">
      <c r="A218" s="18">
        <v>45333</v>
      </c>
      <c r="B218" s="17" t="s">
        <v>1136</v>
      </c>
      <c r="C218" s="17" t="s">
        <v>46</v>
      </c>
      <c r="D218" s="18">
        <v>32465</v>
      </c>
      <c r="E218" s="16" t="s">
        <v>14</v>
      </c>
      <c r="F218" s="31">
        <v>81</v>
      </c>
      <c r="G218" s="17" t="s">
        <v>42</v>
      </c>
      <c r="H218" s="17" t="s">
        <v>48</v>
      </c>
      <c r="I218" s="17" t="s">
        <v>17</v>
      </c>
      <c r="J218" s="27">
        <v>0.1</v>
      </c>
      <c r="K218" s="17" t="s">
        <v>926</v>
      </c>
      <c r="L218" s="32">
        <v>10</v>
      </c>
      <c r="M218" s="32">
        <f>_xlfn.XLOOKUP(Table2_1[[#This Row],[Product Code]],Product_Code,Unit_Price,0)</f>
        <v>11</v>
      </c>
      <c r="N218" s="31">
        <f>DATEDIF(Table2_1[[#This Row],[Buyer Date of Birth]],Table2_1[[#This Row],[Transaction  Date]],"Y")</f>
        <v>35</v>
      </c>
      <c r="O218" s="33">
        <v>810</v>
      </c>
      <c r="P218" s="33">
        <f>Table2_1[[#This Row],[Quantity Purchased]]*Table2_1[[#This Row],[UnitPrice]]*(1-Table2_1[[#This Row],[Discount]])</f>
        <v>801.9</v>
      </c>
      <c r="Q218" s="33">
        <f>Table2_1[[#This Row],[Revenue]]-Table2_1[[#This Row],[COGS]]</f>
        <v>-8.1000000000000227</v>
      </c>
      <c r="R218" s="39">
        <f>WEEKDAY(Table2_1[[#This Row],[Transaction  Date]])</f>
        <v>1</v>
      </c>
      <c r="S218" s="17" t="str">
        <f>IF(WEEKDAY(Table2_1[[#This Row],[Transaction  Date]],2)&lt;=5,"Weekday","Weekend")</f>
        <v>Weekend</v>
      </c>
      <c r="T218" s="37" t="str">
        <f>FLOOR(Table2_1[[#This Row],[Age]],15)&amp; "-"&amp; FLOOR(Table2_1[[#This Row],[Age]],15)+14</f>
        <v>30-44</v>
      </c>
    </row>
    <row r="219" spans="1:20" x14ac:dyDescent="0.3">
      <c r="A219" s="18">
        <v>45333</v>
      </c>
      <c r="B219" s="17" t="s">
        <v>1137</v>
      </c>
      <c r="C219" s="17" t="s">
        <v>13</v>
      </c>
      <c r="D219" s="18">
        <v>20942</v>
      </c>
      <c r="E219" s="16" t="s">
        <v>68</v>
      </c>
      <c r="F219" s="31">
        <v>167</v>
      </c>
      <c r="G219" s="17" t="s">
        <v>56</v>
      </c>
      <c r="H219" s="17" t="s">
        <v>48</v>
      </c>
      <c r="I219" s="17" t="s">
        <v>17</v>
      </c>
      <c r="J219" s="27">
        <v>0.1</v>
      </c>
      <c r="K219" s="17" t="s">
        <v>935</v>
      </c>
      <c r="L219" s="32">
        <v>18</v>
      </c>
      <c r="M219" s="32">
        <f>_xlfn.XLOOKUP(Table2_1[[#This Row],[Product Code]],Product_Code,Unit_Price,0)</f>
        <v>36</v>
      </c>
      <c r="N219" s="31">
        <f>DATEDIF(Table2_1[[#This Row],[Buyer Date of Birth]],Table2_1[[#This Row],[Transaction  Date]],"Y")</f>
        <v>66</v>
      </c>
      <c r="O219" s="33">
        <v>3006</v>
      </c>
      <c r="P219" s="33">
        <f>Table2_1[[#This Row],[Quantity Purchased]]*Table2_1[[#This Row],[UnitPrice]]*(1-Table2_1[[#This Row],[Discount]])</f>
        <v>5410.8</v>
      </c>
      <c r="Q219" s="33">
        <f>Table2_1[[#This Row],[Revenue]]-Table2_1[[#This Row],[COGS]]</f>
        <v>2404.8000000000002</v>
      </c>
      <c r="R219" s="39">
        <f>WEEKDAY(Table2_1[[#This Row],[Transaction  Date]])</f>
        <v>1</v>
      </c>
      <c r="S219" s="17" t="str">
        <f>IF(WEEKDAY(Table2_1[[#This Row],[Transaction  Date]],2)&lt;=5,"Weekday","Weekend")</f>
        <v>Weekend</v>
      </c>
      <c r="T219" s="37" t="str">
        <f>FLOOR(Table2_1[[#This Row],[Age]],15)&amp; "-"&amp; FLOOR(Table2_1[[#This Row],[Age]],15)+14</f>
        <v>60-74</v>
      </c>
    </row>
    <row r="220" spans="1:20" x14ac:dyDescent="0.3">
      <c r="A220" s="18">
        <v>45333</v>
      </c>
      <c r="B220" s="17" t="s">
        <v>1027</v>
      </c>
      <c r="C220" s="17" t="s">
        <v>38</v>
      </c>
      <c r="D220" s="18">
        <v>25141</v>
      </c>
      <c r="E220" s="16" t="s">
        <v>33</v>
      </c>
      <c r="F220" s="31">
        <v>90</v>
      </c>
      <c r="G220" s="17" t="s">
        <v>15</v>
      </c>
      <c r="H220" s="17" t="s">
        <v>48</v>
      </c>
      <c r="I220" s="17" t="s">
        <v>23</v>
      </c>
      <c r="J220" s="27">
        <v>0.1</v>
      </c>
      <c r="K220" s="17" t="s">
        <v>929</v>
      </c>
      <c r="L220" s="32">
        <v>10</v>
      </c>
      <c r="M220" s="32">
        <f>_xlfn.XLOOKUP(Table2_1[[#This Row],[Product Code]],Product_Code,Unit_Price,0)</f>
        <v>14</v>
      </c>
      <c r="N220" s="31">
        <f>DATEDIF(Table2_1[[#This Row],[Buyer Date of Birth]],Table2_1[[#This Row],[Transaction  Date]],"Y")</f>
        <v>55</v>
      </c>
      <c r="O220" s="33">
        <v>900</v>
      </c>
      <c r="P220" s="33">
        <f>Table2_1[[#This Row],[Quantity Purchased]]*Table2_1[[#This Row],[UnitPrice]]*(1-Table2_1[[#This Row],[Discount]])</f>
        <v>1134</v>
      </c>
      <c r="Q220" s="33">
        <f>Table2_1[[#This Row],[Revenue]]-Table2_1[[#This Row],[COGS]]</f>
        <v>234</v>
      </c>
      <c r="R220" s="39">
        <f>WEEKDAY(Table2_1[[#This Row],[Transaction  Date]])</f>
        <v>1</v>
      </c>
      <c r="S220" s="17" t="str">
        <f>IF(WEEKDAY(Table2_1[[#This Row],[Transaction  Date]],2)&lt;=5,"Weekday","Weekend")</f>
        <v>Weekend</v>
      </c>
      <c r="T220" s="37" t="str">
        <f>FLOOR(Table2_1[[#This Row],[Age]],15)&amp; "-"&amp; FLOOR(Table2_1[[#This Row],[Age]],15)+14</f>
        <v>45-59</v>
      </c>
    </row>
    <row r="221" spans="1:20" x14ac:dyDescent="0.3">
      <c r="A221" s="18">
        <v>45333</v>
      </c>
      <c r="B221" s="17" t="s">
        <v>1138</v>
      </c>
      <c r="C221" s="17" t="s">
        <v>38</v>
      </c>
      <c r="D221" s="18">
        <v>29017</v>
      </c>
      <c r="E221" s="16" t="s">
        <v>14</v>
      </c>
      <c r="F221" s="31">
        <v>143</v>
      </c>
      <c r="G221" s="17" t="s">
        <v>59</v>
      </c>
      <c r="H221" s="17" t="s">
        <v>28</v>
      </c>
      <c r="I221" s="17" t="s">
        <v>17</v>
      </c>
      <c r="J221" s="27">
        <v>0.1</v>
      </c>
      <c r="K221" s="17" t="s">
        <v>932</v>
      </c>
      <c r="L221" s="32">
        <v>19</v>
      </c>
      <c r="M221" s="32">
        <f>_xlfn.XLOOKUP(Table2_1[[#This Row],[Product Code]],Product_Code,Unit_Price,0)</f>
        <v>23</v>
      </c>
      <c r="N221" s="31">
        <f>DATEDIF(Table2_1[[#This Row],[Buyer Date of Birth]],Table2_1[[#This Row],[Transaction  Date]],"Y")</f>
        <v>44</v>
      </c>
      <c r="O221" s="33">
        <v>2717</v>
      </c>
      <c r="P221" s="33">
        <f>Table2_1[[#This Row],[Quantity Purchased]]*Table2_1[[#This Row],[UnitPrice]]*(1-Table2_1[[#This Row],[Discount]])</f>
        <v>2960.1</v>
      </c>
      <c r="Q221" s="33">
        <f>Table2_1[[#This Row],[Revenue]]-Table2_1[[#This Row],[COGS]]</f>
        <v>243.09999999999991</v>
      </c>
      <c r="R221" s="39">
        <f>WEEKDAY(Table2_1[[#This Row],[Transaction  Date]])</f>
        <v>1</v>
      </c>
      <c r="S221" s="17" t="str">
        <f>IF(WEEKDAY(Table2_1[[#This Row],[Transaction  Date]],2)&lt;=5,"Weekday","Weekend")</f>
        <v>Weekend</v>
      </c>
      <c r="T221" s="37" t="str">
        <f>FLOOR(Table2_1[[#This Row],[Age]],15)&amp; "-"&amp; FLOOR(Table2_1[[#This Row],[Age]],15)+14</f>
        <v>30-44</v>
      </c>
    </row>
    <row r="222" spans="1:20" x14ac:dyDescent="0.3">
      <c r="A222" s="18">
        <v>45333</v>
      </c>
      <c r="B222" s="17" t="s">
        <v>1139</v>
      </c>
      <c r="C222" s="17" t="s">
        <v>71</v>
      </c>
      <c r="D222" s="18">
        <v>20321</v>
      </c>
      <c r="E222" s="16" t="s">
        <v>14</v>
      </c>
      <c r="F222" s="31">
        <v>164</v>
      </c>
      <c r="G222" s="17" t="s">
        <v>47</v>
      </c>
      <c r="H222" s="17" t="s">
        <v>52</v>
      </c>
      <c r="I222" s="17" t="s">
        <v>17</v>
      </c>
      <c r="J222" s="27">
        <v>0.1</v>
      </c>
      <c r="K222" s="17" t="s">
        <v>931</v>
      </c>
      <c r="L222" s="32">
        <v>7</v>
      </c>
      <c r="M222" s="32">
        <f>_xlfn.XLOOKUP(Table2_1[[#This Row],[Product Code]],Product_Code,Unit_Price,0)</f>
        <v>9</v>
      </c>
      <c r="N222" s="31">
        <f>DATEDIF(Table2_1[[#This Row],[Buyer Date of Birth]],Table2_1[[#This Row],[Transaction  Date]],"Y")</f>
        <v>68</v>
      </c>
      <c r="O222" s="33">
        <v>1148</v>
      </c>
      <c r="P222" s="33">
        <f>Table2_1[[#This Row],[Quantity Purchased]]*Table2_1[[#This Row],[UnitPrice]]*(1-Table2_1[[#This Row],[Discount]])</f>
        <v>1328.4</v>
      </c>
      <c r="Q222" s="33">
        <f>Table2_1[[#This Row],[Revenue]]-Table2_1[[#This Row],[COGS]]</f>
        <v>180.40000000000009</v>
      </c>
      <c r="R222" s="39">
        <f>WEEKDAY(Table2_1[[#This Row],[Transaction  Date]])</f>
        <v>1</v>
      </c>
      <c r="S222" s="17" t="str">
        <f>IF(WEEKDAY(Table2_1[[#This Row],[Transaction  Date]],2)&lt;=5,"Weekday","Weekend")</f>
        <v>Weekend</v>
      </c>
      <c r="T222" s="37" t="str">
        <f>FLOOR(Table2_1[[#This Row],[Age]],15)&amp; "-"&amp; FLOOR(Table2_1[[#This Row],[Age]],15)+14</f>
        <v>60-74</v>
      </c>
    </row>
    <row r="223" spans="1:20" x14ac:dyDescent="0.3">
      <c r="A223" s="18">
        <v>45334</v>
      </c>
      <c r="B223" s="17" t="s">
        <v>1140</v>
      </c>
      <c r="C223" s="17" t="s">
        <v>38</v>
      </c>
      <c r="D223" s="18">
        <v>37589</v>
      </c>
      <c r="E223" s="16" t="s">
        <v>14</v>
      </c>
      <c r="F223" s="31">
        <v>66</v>
      </c>
      <c r="G223" s="17" t="s">
        <v>56</v>
      </c>
      <c r="H223" s="17" t="s">
        <v>48</v>
      </c>
      <c r="I223" s="17" t="s">
        <v>29</v>
      </c>
      <c r="J223" s="27">
        <v>0.1</v>
      </c>
      <c r="K223" s="17" t="s">
        <v>935</v>
      </c>
      <c r="L223" s="32">
        <v>18</v>
      </c>
      <c r="M223" s="32">
        <f>_xlfn.XLOOKUP(Table2_1[[#This Row],[Product Code]],Product_Code,Unit_Price,0)</f>
        <v>36</v>
      </c>
      <c r="N223" s="31">
        <f>DATEDIF(Table2_1[[#This Row],[Buyer Date of Birth]],Table2_1[[#This Row],[Transaction  Date]],"Y")</f>
        <v>21</v>
      </c>
      <c r="O223" s="33">
        <v>1188</v>
      </c>
      <c r="P223" s="33">
        <f>Table2_1[[#This Row],[Quantity Purchased]]*Table2_1[[#This Row],[UnitPrice]]*(1-Table2_1[[#This Row],[Discount]])</f>
        <v>2138.4</v>
      </c>
      <c r="Q223" s="33">
        <f>Table2_1[[#This Row],[Revenue]]-Table2_1[[#This Row],[COGS]]</f>
        <v>950.40000000000009</v>
      </c>
      <c r="R223" s="39">
        <f>WEEKDAY(Table2_1[[#This Row],[Transaction  Date]])</f>
        <v>2</v>
      </c>
      <c r="S223" s="17" t="str">
        <f>IF(WEEKDAY(Table2_1[[#This Row],[Transaction  Date]],2)&lt;=5,"Weekday","Weekend")</f>
        <v>Weekday</v>
      </c>
      <c r="T223" s="37" t="str">
        <f>FLOOR(Table2_1[[#This Row],[Age]],15)&amp; "-"&amp; FLOOR(Table2_1[[#This Row],[Age]],15)+14</f>
        <v>15-29</v>
      </c>
    </row>
    <row r="224" spans="1:20" x14ac:dyDescent="0.3">
      <c r="A224" s="18">
        <v>45334</v>
      </c>
      <c r="B224" s="17" t="s">
        <v>1141</v>
      </c>
      <c r="C224" s="17" t="s">
        <v>78</v>
      </c>
      <c r="D224" s="18">
        <v>17690</v>
      </c>
      <c r="E224" s="16" t="s">
        <v>68</v>
      </c>
      <c r="F224" s="31">
        <v>318</v>
      </c>
      <c r="G224" s="17" t="s">
        <v>56</v>
      </c>
      <c r="H224" s="17" t="s">
        <v>52</v>
      </c>
      <c r="I224" s="17" t="s">
        <v>29</v>
      </c>
      <c r="J224" s="27">
        <v>0.1</v>
      </c>
      <c r="K224" s="17" t="s">
        <v>935</v>
      </c>
      <c r="L224" s="32">
        <v>18</v>
      </c>
      <c r="M224" s="32">
        <f>_xlfn.XLOOKUP(Table2_1[[#This Row],[Product Code]],Product_Code,Unit_Price,0)</f>
        <v>36</v>
      </c>
      <c r="N224" s="31">
        <f>DATEDIF(Table2_1[[#This Row],[Buyer Date of Birth]],Table2_1[[#This Row],[Transaction  Date]],"Y")</f>
        <v>75</v>
      </c>
      <c r="O224" s="33">
        <v>5724</v>
      </c>
      <c r="P224" s="33">
        <f>Table2_1[[#This Row],[Quantity Purchased]]*Table2_1[[#This Row],[UnitPrice]]*(1-Table2_1[[#This Row],[Discount]])</f>
        <v>10303.200000000001</v>
      </c>
      <c r="Q224" s="33">
        <f>Table2_1[[#This Row],[Revenue]]-Table2_1[[#This Row],[COGS]]</f>
        <v>4579.2000000000007</v>
      </c>
      <c r="R224" s="39">
        <f>WEEKDAY(Table2_1[[#This Row],[Transaction  Date]])</f>
        <v>2</v>
      </c>
      <c r="S224" s="17" t="str">
        <f>IF(WEEKDAY(Table2_1[[#This Row],[Transaction  Date]],2)&lt;=5,"Weekday","Weekend")</f>
        <v>Weekday</v>
      </c>
      <c r="T224" s="37" t="str">
        <f>FLOOR(Table2_1[[#This Row],[Age]],15)&amp; "-"&amp; FLOOR(Table2_1[[#This Row],[Age]],15)+14</f>
        <v>75-89</v>
      </c>
    </row>
    <row r="225" spans="1:20" x14ac:dyDescent="0.3">
      <c r="A225" s="18">
        <v>45334</v>
      </c>
      <c r="B225" s="17" t="s">
        <v>1142</v>
      </c>
      <c r="C225" s="17" t="s">
        <v>32</v>
      </c>
      <c r="D225" s="18">
        <v>21346</v>
      </c>
      <c r="E225" s="16" t="s">
        <v>33</v>
      </c>
      <c r="F225" s="31">
        <v>496</v>
      </c>
      <c r="G225" s="17" t="s">
        <v>34</v>
      </c>
      <c r="H225" s="17" t="s">
        <v>52</v>
      </c>
      <c r="I225" s="17" t="s">
        <v>17</v>
      </c>
      <c r="J225" s="27">
        <v>0.1</v>
      </c>
      <c r="K225" s="17" t="s">
        <v>930</v>
      </c>
      <c r="L225" s="32">
        <v>14</v>
      </c>
      <c r="M225" s="32">
        <f>_xlfn.XLOOKUP(Table2_1[[#This Row],[Product Code]],Product_Code,Unit_Price,0)</f>
        <v>28</v>
      </c>
      <c r="N225" s="31">
        <f>DATEDIF(Table2_1[[#This Row],[Buyer Date of Birth]],Table2_1[[#This Row],[Transaction  Date]],"Y")</f>
        <v>65</v>
      </c>
      <c r="O225" s="33">
        <v>6944</v>
      </c>
      <c r="P225" s="33">
        <f>Table2_1[[#This Row],[Quantity Purchased]]*Table2_1[[#This Row],[UnitPrice]]*(1-Table2_1[[#This Row],[Discount]])</f>
        <v>12499.2</v>
      </c>
      <c r="Q225" s="33">
        <f>Table2_1[[#This Row],[Revenue]]-Table2_1[[#This Row],[COGS]]</f>
        <v>5555.2000000000007</v>
      </c>
      <c r="R225" s="39">
        <f>WEEKDAY(Table2_1[[#This Row],[Transaction  Date]])</f>
        <v>2</v>
      </c>
      <c r="S225" s="17" t="str">
        <f>IF(WEEKDAY(Table2_1[[#This Row],[Transaction  Date]],2)&lt;=5,"Weekday","Weekend")</f>
        <v>Weekday</v>
      </c>
      <c r="T225" s="37" t="str">
        <f>FLOOR(Table2_1[[#This Row],[Age]],15)&amp; "-"&amp; FLOOR(Table2_1[[#This Row],[Age]],15)+14</f>
        <v>60-74</v>
      </c>
    </row>
    <row r="226" spans="1:20" x14ac:dyDescent="0.3">
      <c r="A226" s="18">
        <v>45334</v>
      </c>
      <c r="B226" s="17" t="s">
        <v>1143</v>
      </c>
      <c r="C226" s="17" t="s">
        <v>71</v>
      </c>
      <c r="D226" s="18">
        <v>17261</v>
      </c>
      <c r="E226" s="16" t="s">
        <v>14</v>
      </c>
      <c r="F226" s="31">
        <v>59</v>
      </c>
      <c r="G226" s="17" t="s">
        <v>15</v>
      </c>
      <c r="H226" s="17" t="s">
        <v>28</v>
      </c>
      <c r="I226" s="17" t="s">
        <v>29</v>
      </c>
      <c r="J226" s="27">
        <v>0.1</v>
      </c>
      <c r="K226" s="17" t="s">
        <v>929</v>
      </c>
      <c r="L226" s="32">
        <v>10</v>
      </c>
      <c r="M226" s="32">
        <f>_xlfn.XLOOKUP(Table2_1[[#This Row],[Product Code]],Product_Code,Unit_Price,0)</f>
        <v>14</v>
      </c>
      <c r="N226" s="31">
        <f>DATEDIF(Table2_1[[#This Row],[Buyer Date of Birth]],Table2_1[[#This Row],[Transaction  Date]],"Y")</f>
        <v>76</v>
      </c>
      <c r="O226" s="33">
        <v>590</v>
      </c>
      <c r="P226" s="33">
        <f>Table2_1[[#This Row],[Quantity Purchased]]*Table2_1[[#This Row],[UnitPrice]]*(1-Table2_1[[#This Row],[Discount]])</f>
        <v>743.4</v>
      </c>
      <c r="Q226" s="33">
        <f>Table2_1[[#This Row],[Revenue]]-Table2_1[[#This Row],[COGS]]</f>
        <v>153.39999999999998</v>
      </c>
      <c r="R226" s="39">
        <f>WEEKDAY(Table2_1[[#This Row],[Transaction  Date]])</f>
        <v>2</v>
      </c>
      <c r="S226" s="17" t="str">
        <f>IF(WEEKDAY(Table2_1[[#This Row],[Transaction  Date]],2)&lt;=5,"Weekday","Weekend")</f>
        <v>Weekday</v>
      </c>
      <c r="T226" s="37" t="str">
        <f>FLOOR(Table2_1[[#This Row],[Age]],15)&amp; "-"&amp; FLOOR(Table2_1[[#This Row],[Age]],15)+14</f>
        <v>75-89</v>
      </c>
    </row>
    <row r="227" spans="1:20" x14ac:dyDescent="0.3">
      <c r="A227" s="18">
        <v>45334</v>
      </c>
      <c r="B227" s="17" t="s">
        <v>1144</v>
      </c>
      <c r="C227" s="17" t="s">
        <v>83</v>
      </c>
      <c r="D227" s="18">
        <v>28380</v>
      </c>
      <c r="E227" s="16" t="s">
        <v>33</v>
      </c>
      <c r="F227" s="31">
        <v>190</v>
      </c>
      <c r="G227" s="17" t="s">
        <v>59</v>
      </c>
      <c r="H227" s="17" t="s">
        <v>43</v>
      </c>
      <c r="I227" s="17" t="s">
        <v>17</v>
      </c>
      <c r="J227" s="27">
        <v>0.1</v>
      </c>
      <c r="K227" s="17" t="s">
        <v>932</v>
      </c>
      <c r="L227" s="32">
        <v>19</v>
      </c>
      <c r="M227" s="32">
        <f>_xlfn.XLOOKUP(Table2_1[[#This Row],[Product Code]],Product_Code,Unit_Price,0)</f>
        <v>23</v>
      </c>
      <c r="N227" s="31">
        <f>DATEDIF(Table2_1[[#This Row],[Buyer Date of Birth]],Table2_1[[#This Row],[Transaction  Date]],"Y")</f>
        <v>46</v>
      </c>
      <c r="O227" s="33">
        <v>3610</v>
      </c>
      <c r="P227" s="33">
        <f>Table2_1[[#This Row],[Quantity Purchased]]*Table2_1[[#This Row],[UnitPrice]]*(1-Table2_1[[#This Row],[Discount]])</f>
        <v>3933</v>
      </c>
      <c r="Q227" s="33">
        <f>Table2_1[[#This Row],[Revenue]]-Table2_1[[#This Row],[COGS]]</f>
        <v>323</v>
      </c>
      <c r="R227" s="39">
        <f>WEEKDAY(Table2_1[[#This Row],[Transaction  Date]])</f>
        <v>2</v>
      </c>
      <c r="S227" s="17" t="str">
        <f>IF(WEEKDAY(Table2_1[[#This Row],[Transaction  Date]],2)&lt;=5,"Weekday","Weekend")</f>
        <v>Weekday</v>
      </c>
      <c r="T227" s="37" t="str">
        <f>FLOOR(Table2_1[[#This Row],[Age]],15)&amp; "-"&amp; FLOOR(Table2_1[[#This Row],[Age]],15)+14</f>
        <v>45-59</v>
      </c>
    </row>
    <row r="228" spans="1:20" x14ac:dyDescent="0.3">
      <c r="A228" s="18">
        <v>45334</v>
      </c>
      <c r="B228" s="17" t="s">
        <v>1145</v>
      </c>
      <c r="C228" s="17" t="s">
        <v>83</v>
      </c>
      <c r="D228" s="18">
        <v>19706</v>
      </c>
      <c r="E228" s="16" t="s">
        <v>68</v>
      </c>
      <c r="F228" s="31">
        <v>181</v>
      </c>
      <c r="G228" s="17" t="s">
        <v>21</v>
      </c>
      <c r="H228" s="17" t="s">
        <v>48</v>
      </c>
      <c r="I228" s="17" t="s">
        <v>23</v>
      </c>
      <c r="J228" s="27">
        <v>0.1</v>
      </c>
      <c r="K228" s="17" t="s">
        <v>934</v>
      </c>
      <c r="L228" s="32">
        <v>10</v>
      </c>
      <c r="M228" s="32">
        <f>_xlfn.XLOOKUP(Table2_1[[#This Row],[Product Code]],Product_Code,Unit_Price,0)</f>
        <v>45</v>
      </c>
      <c r="N228" s="31">
        <f>DATEDIF(Table2_1[[#This Row],[Buyer Date of Birth]],Table2_1[[#This Row],[Transaction  Date]],"Y")</f>
        <v>70</v>
      </c>
      <c r="O228" s="33">
        <v>1810</v>
      </c>
      <c r="P228" s="33">
        <f>Table2_1[[#This Row],[Quantity Purchased]]*Table2_1[[#This Row],[UnitPrice]]*(1-Table2_1[[#This Row],[Discount]])</f>
        <v>7330.5</v>
      </c>
      <c r="Q228" s="33">
        <f>Table2_1[[#This Row],[Revenue]]-Table2_1[[#This Row],[COGS]]</f>
        <v>5520.5</v>
      </c>
      <c r="R228" s="39">
        <f>WEEKDAY(Table2_1[[#This Row],[Transaction  Date]])</f>
        <v>2</v>
      </c>
      <c r="S228" s="17" t="str">
        <f>IF(WEEKDAY(Table2_1[[#This Row],[Transaction  Date]],2)&lt;=5,"Weekday","Weekend")</f>
        <v>Weekday</v>
      </c>
      <c r="T228" s="37" t="str">
        <f>FLOOR(Table2_1[[#This Row],[Age]],15)&amp; "-"&amp; FLOOR(Table2_1[[#This Row],[Age]],15)+14</f>
        <v>60-74</v>
      </c>
    </row>
    <row r="229" spans="1:20" x14ac:dyDescent="0.3">
      <c r="A229" s="18">
        <v>45334</v>
      </c>
      <c r="B229" s="17" t="s">
        <v>1146</v>
      </c>
      <c r="C229" s="17" t="s">
        <v>83</v>
      </c>
      <c r="D229" s="18">
        <v>21939</v>
      </c>
      <c r="E229" s="16" t="s">
        <v>14</v>
      </c>
      <c r="F229" s="31">
        <v>15</v>
      </c>
      <c r="G229" s="17" t="s">
        <v>34</v>
      </c>
      <c r="H229" s="17" t="s">
        <v>43</v>
      </c>
      <c r="I229" s="17" t="s">
        <v>17</v>
      </c>
      <c r="J229" s="27">
        <v>0.1</v>
      </c>
      <c r="K229" s="17" t="s">
        <v>930</v>
      </c>
      <c r="L229" s="32">
        <v>14</v>
      </c>
      <c r="M229" s="32">
        <f>_xlfn.XLOOKUP(Table2_1[[#This Row],[Product Code]],Product_Code,Unit_Price,0)</f>
        <v>28</v>
      </c>
      <c r="N229" s="31">
        <f>DATEDIF(Table2_1[[#This Row],[Buyer Date of Birth]],Table2_1[[#This Row],[Transaction  Date]],"Y")</f>
        <v>64</v>
      </c>
      <c r="O229" s="33">
        <v>210</v>
      </c>
      <c r="P229" s="33">
        <f>Table2_1[[#This Row],[Quantity Purchased]]*Table2_1[[#This Row],[UnitPrice]]*(1-Table2_1[[#This Row],[Discount]])</f>
        <v>378</v>
      </c>
      <c r="Q229" s="33">
        <f>Table2_1[[#This Row],[Revenue]]-Table2_1[[#This Row],[COGS]]</f>
        <v>168</v>
      </c>
      <c r="R229" s="39">
        <f>WEEKDAY(Table2_1[[#This Row],[Transaction  Date]])</f>
        <v>2</v>
      </c>
      <c r="S229" s="17" t="str">
        <f>IF(WEEKDAY(Table2_1[[#This Row],[Transaction  Date]],2)&lt;=5,"Weekday","Weekend")</f>
        <v>Weekday</v>
      </c>
      <c r="T229" s="37" t="str">
        <f>FLOOR(Table2_1[[#This Row],[Age]],15)&amp; "-"&amp; FLOOR(Table2_1[[#This Row],[Age]],15)+14</f>
        <v>60-74</v>
      </c>
    </row>
    <row r="230" spans="1:20" x14ac:dyDescent="0.3">
      <c r="A230" s="18">
        <v>45334</v>
      </c>
      <c r="B230" s="17" t="s">
        <v>1147</v>
      </c>
      <c r="C230" s="17" t="s">
        <v>46</v>
      </c>
      <c r="D230" s="18">
        <v>37469</v>
      </c>
      <c r="E230" s="16" t="s">
        <v>14</v>
      </c>
      <c r="F230" s="31">
        <v>164</v>
      </c>
      <c r="G230" s="17" t="s">
        <v>15</v>
      </c>
      <c r="H230" s="17" t="s">
        <v>52</v>
      </c>
      <c r="I230" s="17" t="s">
        <v>17</v>
      </c>
      <c r="J230" s="27">
        <v>0.1</v>
      </c>
      <c r="K230" s="17" t="s">
        <v>929</v>
      </c>
      <c r="L230" s="32">
        <v>10</v>
      </c>
      <c r="M230" s="32">
        <f>_xlfn.XLOOKUP(Table2_1[[#This Row],[Product Code]],Product_Code,Unit_Price,0)</f>
        <v>14</v>
      </c>
      <c r="N230" s="31">
        <f>DATEDIF(Table2_1[[#This Row],[Buyer Date of Birth]],Table2_1[[#This Row],[Transaction  Date]],"Y")</f>
        <v>21</v>
      </c>
      <c r="O230" s="33">
        <v>1640</v>
      </c>
      <c r="P230" s="33">
        <f>Table2_1[[#This Row],[Quantity Purchased]]*Table2_1[[#This Row],[UnitPrice]]*(1-Table2_1[[#This Row],[Discount]])</f>
        <v>2066.4</v>
      </c>
      <c r="Q230" s="33">
        <f>Table2_1[[#This Row],[Revenue]]-Table2_1[[#This Row],[COGS]]</f>
        <v>426.40000000000009</v>
      </c>
      <c r="R230" s="39">
        <f>WEEKDAY(Table2_1[[#This Row],[Transaction  Date]])</f>
        <v>2</v>
      </c>
      <c r="S230" s="17" t="str">
        <f>IF(WEEKDAY(Table2_1[[#This Row],[Transaction  Date]],2)&lt;=5,"Weekday","Weekend")</f>
        <v>Weekday</v>
      </c>
      <c r="T230" s="37" t="str">
        <f>FLOOR(Table2_1[[#This Row],[Age]],15)&amp; "-"&amp; FLOOR(Table2_1[[#This Row],[Age]],15)+14</f>
        <v>15-29</v>
      </c>
    </row>
    <row r="231" spans="1:20" x14ac:dyDescent="0.3">
      <c r="A231" s="18">
        <v>45334</v>
      </c>
      <c r="B231" s="17" t="s">
        <v>1148</v>
      </c>
      <c r="C231" s="17" t="s">
        <v>26</v>
      </c>
      <c r="D231" s="18">
        <v>38580</v>
      </c>
      <c r="E231" s="16" t="s">
        <v>14</v>
      </c>
      <c r="F231" s="31">
        <v>493</v>
      </c>
      <c r="G231" s="17" t="s">
        <v>42</v>
      </c>
      <c r="H231" s="17" t="s">
        <v>28</v>
      </c>
      <c r="I231" s="17" t="s">
        <v>17</v>
      </c>
      <c r="J231" s="27">
        <v>0.1</v>
      </c>
      <c r="K231" s="17" t="s">
        <v>926</v>
      </c>
      <c r="L231" s="32">
        <v>10</v>
      </c>
      <c r="M231" s="32">
        <f>_xlfn.XLOOKUP(Table2_1[[#This Row],[Product Code]],Product_Code,Unit_Price,0)</f>
        <v>11</v>
      </c>
      <c r="N231" s="31">
        <f>DATEDIF(Table2_1[[#This Row],[Buyer Date of Birth]],Table2_1[[#This Row],[Transaction  Date]],"Y")</f>
        <v>18</v>
      </c>
      <c r="O231" s="33">
        <v>4930</v>
      </c>
      <c r="P231" s="33">
        <f>Table2_1[[#This Row],[Quantity Purchased]]*Table2_1[[#This Row],[UnitPrice]]*(1-Table2_1[[#This Row],[Discount]])</f>
        <v>4880.7</v>
      </c>
      <c r="Q231" s="33">
        <f>Table2_1[[#This Row],[Revenue]]-Table2_1[[#This Row],[COGS]]</f>
        <v>-49.300000000000182</v>
      </c>
      <c r="R231" s="39">
        <f>WEEKDAY(Table2_1[[#This Row],[Transaction  Date]])</f>
        <v>2</v>
      </c>
      <c r="S231" s="17" t="str">
        <f>IF(WEEKDAY(Table2_1[[#This Row],[Transaction  Date]],2)&lt;=5,"Weekday","Weekend")</f>
        <v>Weekday</v>
      </c>
      <c r="T231" s="37" t="str">
        <f>FLOOR(Table2_1[[#This Row],[Age]],15)&amp; "-"&amp; FLOOR(Table2_1[[#This Row],[Age]],15)+14</f>
        <v>15-29</v>
      </c>
    </row>
    <row r="232" spans="1:20" x14ac:dyDescent="0.3">
      <c r="A232" s="18">
        <v>45334</v>
      </c>
      <c r="B232" s="17" t="s">
        <v>1149</v>
      </c>
      <c r="C232" s="17" t="s">
        <v>55</v>
      </c>
      <c r="D232" s="18">
        <v>19604</v>
      </c>
      <c r="E232" s="16" t="s">
        <v>68</v>
      </c>
      <c r="F232" s="31">
        <v>107</v>
      </c>
      <c r="G232" s="17" t="s">
        <v>15</v>
      </c>
      <c r="H232" s="17" t="s">
        <v>28</v>
      </c>
      <c r="I232" s="17" t="s">
        <v>17</v>
      </c>
      <c r="J232" s="27">
        <v>0.1</v>
      </c>
      <c r="K232" s="17" t="s">
        <v>929</v>
      </c>
      <c r="L232" s="32">
        <v>10</v>
      </c>
      <c r="M232" s="32">
        <f>_xlfn.XLOOKUP(Table2_1[[#This Row],[Product Code]],Product_Code,Unit_Price,0)</f>
        <v>14</v>
      </c>
      <c r="N232" s="31">
        <f>DATEDIF(Table2_1[[#This Row],[Buyer Date of Birth]],Table2_1[[#This Row],[Transaction  Date]],"Y")</f>
        <v>70</v>
      </c>
      <c r="O232" s="33">
        <v>1070</v>
      </c>
      <c r="P232" s="33">
        <f>Table2_1[[#This Row],[Quantity Purchased]]*Table2_1[[#This Row],[UnitPrice]]*(1-Table2_1[[#This Row],[Discount]])</f>
        <v>1348.2</v>
      </c>
      <c r="Q232" s="33">
        <f>Table2_1[[#This Row],[Revenue]]-Table2_1[[#This Row],[COGS]]</f>
        <v>278.20000000000005</v>
      </c>
      <c r="R232" s="39">
        <f>WEEKDAY(Table2_1[[#This Row],[Transaction  Date]])</f>
        <v>2</v>
      </c>
      <c r="S232" s="17" t="str">
        <f>IF(WEEKDAY(Table2_1[[#This Row],[Transaction  Date]],2)&lt;=5,"Weekday","Weekend")</f>
        <v>Weekday</v>
      </c>
      <c r="T232" s="37" t="str">
        <f>FLOOR(Table2_1[[#This Row],[Age]],15)&amp; "-"&amp; FLOOR(Table2_1[[#This Row],[Age]],15)+14</f>
        <v>60-74</v>
      </c>
    </row>
    <row r="233" spans="1:20" x14ac:dyDescent="0.3">
      <c r="A233" s="18">
        <v>45334</v>
      </c>
      <c r="B233" s="17" t="s">
        <v>1150</v>
      </c>
      <c r="C233" s="17" t="s">
        <v>46</v>
      </c>
      <c r="D233" s="18">
        <v>31747</v>
      </c>
      <c r="E233" s="16" t="s">
        <v>14</v>
      </c>
      <c r="F233" s="31">
        <v>187</v>
      </c>
      <c r="G233" s="17" t="s">
        <v>59</v>
      </c>
      <c r="H233" s="17" t="s">
        <v>48</v>
      </c>
      <c r="I233" s="17" t="s">
        <v>17</v>
      </c>
      <c r="J233" s="27">
        <v>0.1</v>
      </c>
      <c r="K233" s="17" t="s">
        <v>932</v>
      </c>
      <c r="L233" s="32">
        <v>19</v>
      </c>
      <c r="M233" s="32">
        <f>_xlfn.XLOOKUP(Table2_1[[#This Row],[Product Code]],Product_Code,Unit_Price,0)</f>
        <v>23</v>
      </c>
      <c r="N233" s="31">
        <f>DATEDIF(Table2_1[[#This Row],[Buyer Date of Birth]],Table2_1[[#This Row],[Transaction  Date]],"Y")</f>
        <v>37</v>
      </c>
      <c r="O233" s="33">
        <v>3553</v>
      </c>
      <c r="P233" s="33">
        <f>Table2_1[[#This Row],[Quantity Purchased]]*Table2_1[[#This Row],[UnitPrice]]*(1-Table2_1[[#This Row],[Discount]])</f>
        <v>3870.9</v>
      </c>
      <c r="Q233" s="33">
        <f>Table2_1[[#This Row],[Revenue]]-Table2_1[[#This Row],[COGS]]</f>
        <v>317.90000000000009</v>
      </c>
      <c r="R233" s="39">
        <f>WEEKDAY(Table2_1[[#This Row],[Transaction  Date]])</f>
        <v>2</v>
      </c>
      <c r="S233" s="17" t="str">
        <f>IF(WEEKDAY(Table2_1[[#This Row],[Transaction  Date]],2)&lt;=5,"Weekday","Weekend")</f>
        <v>Weekday</v>
      </c>
      <c r="T233" s="37" t="str">
        <f>FLOOR(Table2_1[[#This Row],[Age]],15)&amp; "-"&amp; FLOOR(Table2_1[[#This Row],[Age]],15)+14</f>
        <v>30-44</v>
      </c>
    </row>
    <row r="234" spans="1:20" x14ac:dyDescent="0.3">
      <c r="A234" s="18">
        <v>45334</v>
      </c>
      <c r="B234" s="17" t="s">
        <v>1151</v>
      </c>
      <c r="C234" s="17" t="s">
        <v>51</v>
      </c>
      <c r="D234" s="18">
        <v>36140</v>
      </c>
      <c r="E234" s="16" t="s">
        <v>68</v>
      </c>
      <c r="F234" s="31">
        <v>450</v>
      </c>
      <c r="G234" s="17" t="s">
        <v>21</v>
      </c>
      <c r="H234" s="17" t="s">
        <v>35</v>
      </c>
      <c r="I234" s="17" t="s">
        <v>17</v>
      </c>
      <c r="J234" s="27">
        <v>0.1</v>
      </c>
      <c r="K234" s="17" t="s">
        <v>934</v>
      </c>
      <c r="L234" s="32">
        <v>10</v>
      </c>
      <c r="M234" s="32">
        <f>_xlfn.XLOOKUP(Table2_1[[#This Row],[Product Code]],Product_Code,Unit_Price,0)</f>
        <v>45</v>
      </c>
      <c r="N234" s="31">
        <f>DATEDIF(Table2_1[[#This Row],[Buyer Date of Birth]],Table2_1[[#This Row],[Transaction  Date]],"Y")</f>
        <v>25</v>
      </c>
      <c r="O234" s="33">
        <v>4500</v>
      </c>
      <c r="P234" s="33">
        <f>Table2_1[[#This Row],[Quantity Purchased]]*Table2_1[[#This Row],[UnitPrice]]*(1-Table2_1[[#This Row],[Discount]])</f>
        <v>18225</v>
      </c>
      <c r="Q234" s="33">
        <f>Table2_1[[#This Row],[Revenue]]-Table2_1[[#This Row],[COGS]]</f>
        <v>13725</v>
      </c>
      <c r="R234" s="39">
        <f>WEEKDAY(Table2_1[[#This Row],[Transaction  Date]])</f>
        <v>2</v>
      </c>
      <c r="S234" s="17" t="str">
        <f>IF(WEEKDAY(Table2_1[[#This Row],[Transaction  Date]],2)&lt;=5,"Weekday","Weekend")</f>
        <v>Weekday</v>
      </c>
      <c r="T234" s="37" t="str">
        <f>FLOOR(Table2_1[[#This Row],[Age]],15)&amp; "-"&amp; FLOOR(Table2_1[[#This Row],[Age]],15)+14</f>
        <v>15-29</v>
      </c>
    </row>
    <row r="235" spans="1:20" x14ac:dyDescent="0.3">
      <c r="A235" s="18">
        <v>45335</v>
      </c>
      <c r="B235" s="17" t="s">
        <v>1152</v>
      </c>
      <c r="C235" s="17" t="s">
        <v>46</v>
      </c>
      <c r="D235" s="18">
        <v>34483</v>
      </c>
      <c r="E235" s="16" t="s">
        <v>20</v>
      </c>
      <c r="F235" s="31">
        <v>483</v>
      </c>
      <c r="G235" s="17" t="s">
        <v>56</v>
      </c>
      <c r="H235" s="17" t="s">
        <v>35</v>
      </c>
      <c r="I235" s="17" t="s">
        <v>23</v>
      </c>
      <c r="J235" s="27">
        <v>0.1</v>
      </c>
      <c r="K235" s="17" t="s">
        <v>935</v>
      </c>
      <c r="L235" s="32">
        <v>18</v>
      </c>
      <c r="M235" s="32">
        <f>_xlfn.XLOOKUP(Table2_1[[#This Row],[Product Code]],Product_Code,Unit_Price,0)</f>
        <v>36</v>
      </c>
      <c r="N235" s="31">
        <f>DATEDIF(Table2_1[[#This Row],[Buyer Date of Birth]],Table2_1[[#This Row],[Transaction  Date]],"Y")</f>
        <v>29</v>
      </c>
      <c r="O235" s="33">
        <v>8694</v>
      </c>
      <c r="P235" s="33">
        <f>Table2_1[[#This Row],[Quantity Purchased]]*Table2_1[[#This Row],[UnitPrice]]*(1-Table2_1[[#This Row],[Discount]])</f>
        <v>15649.2</v>
      </c>
      <c r="Q235" s="33">
        <f>Table2_1[[#This Row],[Revenue]]-Table2_1[[#This Row],[COGS]]</f>
        <v>6955.2000000000007</v>
      </c>
      <c r="R235" s="39">
        <f>WEEKDAY(Table2_1[[#This Row],[Transaction  Date]])</f>
        <v>3</v>
      </c>
      <c r="S235" s="17" t="str">
        <f>IF(WEEKDAY(Table2_1[[#This Row],[Transaction  Date]],2)&lt;=5,"Weekday","Weekend")</f>
        <v>Weekday</v>
      </c>
      <c r="T235" s="37" t="str">
        <f>FLOOR(Table2_1[[#This Row],[Age]],15)&amp; "-"&amp; FLOOR(Table2_1[[#This Row],[Age]],15)+14</f>
        <v>15-29</v>
      </c>
    </row>
    <row r="236" spans="1:20" x14ac:dyDescent="0.3">
      <c r="A236" s="18">
        <v>45335</v>
      </c>
      <c r="B236" s="17" t="s">
        <v>1153</v>
      </c>
      <c r="C236" s="17" t="s">
        <v>46</v>
      </c>
      <c r="D236" s="18">
        <v>26589</v>
      </c>
      <c r="E236" s="16" t="s">
        <v>14</v>
      </c>
      <c r="F236" s="31">
        <v>320</v>
      </c>
      <c r="G236" s="17" t="s">
        <v>56</v>
      </c>
      <c r="H236" s="17" t="s">
        <v>39</v>
      </c>
      <c r="I236" s="17" t="s">
        <v>17</v>
      </c>
      <c r="J236" s="27">
        <v>0.1</v>
      </c>
      <c r="K236" s="17" t="s">
        <v>935</v>
      </c>
      <c r="L236" s="32">
        <v>18</v>
      </c>
      <c r="M236" s="32">
        <f>_xlfn.XLOOKUP(Table2_1[[#This Row],[Product Code]],Product_Code,Unit_Price,0)</f>
        <v>36</v>
      </c>
      <c r="N236" s="31">
        <f>DATEDIF(Table2_1[[#This Row],[Buyer Date of Birth]],Table2_1[[#This Row],[Transaction  Date]],"Y")</f>
        <v>51</v>
      </c>
      <c r="O236" s="33">
        <v>5760</v>
      </c>
      <c r="P236" s="33">
        <f>Table2_1[[#This Row],[Quantity Purchased]]*Table2_1[[#This Row],[UnitPrice]]*(1-Table2_1[[#This Row],[Discount]])</f>
        <v>10368</v>
      </c>
      <c r="Q236" s="33">
        <f>Table2_1[[#This Row],[Revenue]]-Table2_1[[#This Row],[COGS]]</f>
        <v>4608</v>
      </c>
      <c r="R236" s="39">
        <f>WEEKDAY(Table2_1[[#This Row],[Transaction  Date]])</f>
        <v>3</v>
      </c>
      <c r="S236" s="17" t="str">
        <f>IF(WEEKDAY(Table2_1[[#This Row],[Transaction  Date]],2)&lt;=5,"Weekday","Weekend")</f>
        <v>Weekday</v>
      </c>
      <c r="T236" s="37" t="str">
        <f>FLOOR(Table2_1[[#This Row],[Age]],15)&amp; "-"&amp; FLOOR(Table2_1[[#This Row],[Age]],15)+14</f>
        <v>45-59</v>
      </c>
    </row>
    <row r="237" spans="1:20" x14ac:dyDescent="0.3">
      <c r="A237" s="18">
        <v>45335</v>
      </c>
      <c r="B237" s="17" t="s">
        <v>1154</v>
      </c>
      <c r="C237" s="17" t="s">
        <v>32</v>
      </c>
      <c r="D237" s="18">
        <v>34701</v>
      </c>
      <c r="E237" s="16" t="s">
        <v>68</v>
      </c>
      <c r="F237" s="31">
        <v>339</v>
      </c>
      <c r="G237" s="17" t="s">
        <v>56</v>
      </c>
      <c r="H237" s="17" t="s">
        <v>52</v>
      </c>
      <c r="I237" s="17" t="s">
        <v>17</v>
      </c>
      <c r="J237" s="27">
        <v>0.1</v>
      </c>
      <c r="K237" s="17" t="s">
        <v>935</v>
      </c>
      <c r="L237" s="32">
        <v>18</v>
      </c>
      <c r="M237" s="32">
        <f>_xlfn.XLOOKUP(Table2_1[[#This Row],[Product Code]],Product_Code,Unit_Price,0)</f>
        <v>36</v>
      </c>
      <c r="N237" s="31">
        <f>DATEDIF(Table2_1[[#This Row],[Buyer Date of Birth]],Table2_1[[#This Row],[Transaction  Date]],"Y")</f>
        <v>29</v>
      </c>
      <c r="O237" s="33">
        <v>6102</v>
      </c>
      <c r="P237" s="33">
        <f>Table2_1[[#This Row],[Quantity Purchased]]*Table2_1[[#This Row],[UnitPrice]]*(1-Table2_1[[#This Row],[Discount]])</f>
        <v>10983.6</v>
      </c>
      <c r="Q237" s="33">
        <f>Table2_1[[#This Row],[Revenue]]-Table2_1[[#This Row],[COGS]]</f>
        <v>4881.6000000000004</v>
      </c>
      <c r="R237" s="39">
        <f>WEEKDAY(Table2_1[[#This Row],[Transaction  Date]])</f>
        <v>3</v>
      </c>
      <c r="S237" s="17" t="str">
        <f>IF(WEEKDAY(Table2_1[[#This Row],[Transaction  Date]],2)&lt;=5,"Weekday","Weekend")</f>
        <v>Weekday</v>
      </c>
      <c r="T237" s="37" t="str">
        <f>FLOOR(Table2_1[[#This Row],[Age]],15)&amp; "-"&amp; FLOOR(Table2_1[[#This Row],[Age]],15)+14</f>
        <v>15-29</v>
      </c>
    </row>
    <row r="238" spans="1:20" x14ac:dyDescent="0.3">
      <c r="A238" s="18">
        <v>45335</v>
      </c>
      <c r="B238" s="17" t="s">
        <v>1155</v>
      </c>
      <c r="C238" s="17" t="s">
        <v>38</v>
      </c>
      <c r="D238" s="18">
        <v>36142</v>
      </c>
      <c r="E238" s="16" t="s">
        <v>33</v>
      </c>
      <c r="F238" s="31">
        <v>58</v>
      </c>
      <c r="G238" s="17" t="s">
        <v>47</v>
      </c>
      <c r="H238" s="17" t="s">
        <v>39</v>
      </c>
      <c r="I238" s="17" t="s">
        <v>17</v>
      </c>
      <c r="J238" s="27">
        <v>0.1</v>
      </c>
      <c r="K238" s="17" t="s">
        <v>931</v>
      </c>
      <c r="L238" s="32">
        <v>7</v>
      </c>
      <c r="M238" s="32">
        <f>_xlfn.XLOOKUP(Table2_1[[#This Row],[Product Code]],Product_Code,Unit_Price,0)</f>
        <v>9</v>
      </c>
      <c r="N238" s="31">
        <f>DATEDIF(Table2_1[[#This Row],[Buyer Date of Birth]],Table2_1[[#This Row],[Transaction  Date]],"Y")</f>
        <v>25</v>
      </c>
      <c r="O238" s="33">
        <v>406</v>
      </c>
      <c r="P238" s="33">
        <f>Table2_1[[#This Row],[Quantity Purchased]]*Table2_1[[#This Row],[UnitPrice]]*(1-Table2_1[[#This Row],[Discount]])</f>
        <v>469.8</v>
      </c>
      <c r="Q238" s="33">
        <f>Table2_1[[#This Row],[Revenue]]-Table2_1[[#This Row],[COGS]]</f>
        <v>63.800000000000011</v>
      </c>
      <c r="R238" s="39">
        <f>WEEKDAY(Table2_1[[#This Row],[Transaction  Date]])</f>
        <v>3</v>
      </c>
      <c r="S238" s="17" t="str">
        <f>IF(WEEKDAY(Table2_1[[#This Row],[Transaction  Date]],2)&lt;=5,"Weekday","Weekend")</f>
        <v>Weekday</v>
      </c>
      <c r="T238" s="37" t="str">
        <f>FLOOR(Table2_1[[#This Row],[Age]],15)&amp; "-"&amp; FLOOR(Table2_1[[#This Row],[Age]],15)+14</f>
        <v>15-29</v>
      </c>
    </row>
    <row r="239" spans="1:20" x14ac:dyDescent="0.3">
      <c r="A239" s="18">
        <v>45335</v>
      </c>
      <c r="B239" s="17" t="s">
        <v>1844</v>
      </c>
      <c r="C239" s="17" t="s">
        <v>71</v>
      </c>
      <c r="D239" s="18">
        <v>19109</v>
      </c>
      <c r="E239" s="16" t="s">
        <v>14</v>
      </c>
      <c r="F239" s="31">
        <v>35</v>
      </c>
      <c r="G239" s="17" t="s">
        <v>15</v>
      </c>
      <c r="H239" s="17" t="s">
        <v>48</v>
      </c>
      <c r="I239" s="17" t="s">
        <v>17</v>
      </c>
      <c r="J239" s="27">
        <v>0.1</v>
      </c>
      <c r="K239" s="17" t="s">
        <v>929</v>
      </c>
      <c r="L239" s="32">
        <v>10</v>
      </c>
      <c r="M239" s="32">
        <f>_xlfn.XLOOKUP(Table2_1[[#This Row],[Product Code]],Product_Code,Unit_Price,0)</f>
        <v>14</v>
      </c>
      <c r="N239" s="31">
        <f>DATEDIF(Table2_1[[#This Row],[Buyer Date of Birth]],Table2_1[[#This Row],[Transaction  Date]],"Y")</f>
        <v>71</v>
      </c>
      <c r="O239" s="33">
        <v>350</v>
      </c>
      <c r="P239" s="33">
        <f>Table2_1[[#This Row],[Quantity Purchased]]*Table2_1[[#This Row],[UnitPrice]]*(1-Table2_1[[#This Row],[Discount]])</f>
        <v>441</v>
      </c>
      <c r="Q239" s="33">
        <f>Table2_1[[#This Row],[Revenue]]-Table2_1[[#This Row],[COGS]]</f>
        <v>91</v>
      </c>
      <c r="R239" s="39">
        <f>WEEKDAY(Table2_1[[#This Row],[Transaction  Date]])</f>
        <v>3</v>
      </c>
      <c r="S239" s="17" t="str">
        <f>IF(WEEKDAY(Table2_1[[#This Row],[Transaction  Date]],2)&lt;=5,"Weekday","Weekend")</f>
        <v>Weekday</v>
      </c>
      <c r="T239" s="37" t="str">
        <f>FLOOR(Table2_1[[#This Row],[Age]],15)&amp; "-"&amp; FLOOR(Table2_1[[#This Row],[Age]],15)+14</f>
        <v>60-74</v>
      </c>
    </row>
    <row r="240" spans="1:20" x14ac:dyDescent="0.3">
      <c r="A240" s="18">
        <v>45336</v>
      </c>
      <c r="B240" s="17" t="s">
        <v>1156</v>
      </c>
      <c r="C240" s="17" t="s">
        <v>83</v>
      </c>
      <c r="D240" s="18">
        <v>24152</v>
      </c>
      <c r="E240" s="16" t="s">
        <v>33</v>
      </c>
      <c r="F240" s="31">
        <v>409</v>
      </c>
      <c r="G240" s="17" t="s">
        <v>42</v>
      </c>
      <c r="H240" s="17" t="s">
        <v>52</v>
      </c>
      <c r="I240" s="17" t="s">
        <v>17</v>
      </c>
      <c r="J240" s="27">
        <v>0.1</v>
      </c>
      <c r="K240" s="17" t="s">
        <v>926</v>
      </c>
      <c r="L240" s="32">
        <v>10</v>
      </c>
      <c r="M240" s="32">
        <f>_xlfn.XLOOKUP(Table2_1[[#This Row],[Product Code]],Product_Code,Unit_Price,0)</f>
        <v>11</v>
      </c>
      <c r="N240" s="31">
        <f>DATEDIF(Table2_1[[#This Row],[Buyer Date of Birth]],Table2_1[[#This Row],[Transaction  Date]],"Y")</f>
        <v>58</v>
      </c>
      <c r="O240" s="33">
        <v>4090</v>
      </c>
      <c r="P240" s="33">
        <f>Table2_1[[#This Row],[Quantity Purchased]]*Table2_1[[#This Row],[UnitPrice]]*(1-Table2_1[[#This Row],[Discount]])</f>
        <v>4049.1</v>
      </c>
      <c r="Q240" s="33">
        <f>Table2_1[[#This Row],[Revenue]]-Table2_1[[#This Row],[COGS]]</f>
        <v>-40.900000000000091</v>
      </c>
      <c r="R240" s="39">
        <f>WEEKDAY(Table2_1[[#This Row],[Transaction  Date]])</f>
        <v>4</v>
      </c>
      <c r="S240" s="17" t="str">
        <f>IF(WEEKDAY(Table2_1[[#This Row],[Transaction  Date]],2)&lt;=5,"Weekday","Weekend")</f>
        <v>Weekday</v>
      </c>
      <c r="T240" s="37" t="str">
        <f>FLOOR(Table2_1[[#This Row],[Age]],15)&amp; "-"&amp; FLOOR(Table2_1[[#This Row],[Age]],15)+14</f>
        <v>45-59</v>
      </c>
    </row>
    <row r="241" spans="1:20" x14ac:dyDescent="0.3">
      <c r="A241" s="18">
        <v>45336</v>
      </c>
      <c r="B241" s="17" t="s">
        <v>1157</v>
      </c>
      <c r="C241" s="17" t="s">
        <v>13</v>
      </c>
      <c r="D241" s="18">
        <v>28835</v>
      </c>
      <c r="E241" s="16" t="s">
        <v>14</v>
      </c>
      <c r="F241" s="31">
        <v>240</v>
      </c>
      <c r="G241" s="17" t="s">
        <v>47</v>
      </c>
      <c r="H241" s="17" t="s">
        <v>28</v>
      </c>
      <c r="I241" s="17" t="s">
        <v>17</v>
      </c>
      <c r="J241" s="27">
        <v>0.1</v>
      </c>
      <c r="K241" s="17" t="s">
        <v>931</v>
      </c>
      <c r="L241" s="32">
        <v>7</v>
      </c>
      <c r="M241" s="32">
        <f>_xlfn.XLOOKUP(Table2_1[[#This Row],[Product Code]],Product_Code,Unit_Price,0)</f>
        <v>9</v>
      </c>
      <c r="N241" s="31">
        <f>DATEDIF(Table2_1[[#This Row],[Buyer Date of Birth]],Table2_1[[#This Row],[Transaction  Date]],"Y")</f>
        <v>45</v>
      </c>
      <c r="O241" s="33">
        <v>1680</v>
      </c>
      <c r="P241" s="33">
        <f>Table2_1[[#This Row],[Quantity Purchased]]*Table2_1[[#This Row],[UnitPrice]]*(1-Table2_1[[#This Row],[Discount]])</f>
        <v>1944</v>
      </c>
      <c r="Q241" s="33">
        <f>Table2_1[[#This Row],[Revenue]]-Table2_1[[#This Row],[COGS]]</f>
        <v>264</v>
      </c>
      <c r="R241" s="39">
        <f>WEEKDAY(Table2_1[[#This Row],[Transaction  Date]])</f>
        <v>4</v>
      </c>
      <c r="S241" s="17" t="str">
        <f>IF(WEEKDAY(Table2_1[[#This Row],[Transaction  Date]],2)&lt;=5,"Weekday","Weekend")</f>
        <v>Weekday</v>
      </c>
      <c r="T241" s="37" t="str">
        <f>FLOOR(Table2_1[[#This Row],[Age]],15)&amp; "-"&amp; FLOOR(Table2_1[[#This Row],[Age]],15)+14</f>
        <v>45-59</v>
      </c>
    </row>
    <row r="242" spans="1:20" x14ac:dyDescent="0.3">
      <c r="A242" s="18">
        <v>45336</v>
      </c>
      <c r="B242" s="17" t="s">
        <v>1845</v>
      </c>
      <c r="C242" s="17" t="s">
        <v>46</v>
      </c>
      <c r="D242" s="18">
        <v>30212</v>
      </c>
      <c r="E242" s="16" t="s">
        <v>14</v>
      </c>
      <c r="F242" s="31">
        <v>482</v>
      </c>
      <c r="G242" s="17" t="s">
        <v>27</v>
      </c>
      <c r="H242" s="17" t="s">
        <v>52</v>
      </c>
      <c r="I242" s="17" t="s">
        <v>17</v>
      </c>
      <c r="J242" s="27">
        <v>0.1</v>
      </c>
      <c r="K242" s="17" t="s">
        <v>927</v>
      </c>
      <c r="L242" s="32">
        <v>18</v>
      </c>
      <c r="M242" s="32">
        <f>_xlfn.XLOOKUP(Table2_1[[#This Row],[Product Code]],Product_Code,Unit_Price,0)</f>
        <v>22</v>
      </c>
      <c r="N242" s="31">
        <f>DATEDIF(Table2_1[[#This Row],[Buyer Date of Birth]],Table2_1[[#This Row],[Transaction  Date]],"Y")</f>
        <v>41</v>
      </c>
      <c r="O242" s="33">
        <v>8676</v>
      </c>
      <c r="P242" s="33">
        <f>Table2_1[[#This Row],[Quantity Purchased]]*Table2_1[[#This Row],[UnitPrice]]*(1-Table2_1[[#This Row],[Discount]])</f>
        <v>9543.6</v>
      </c>
      <c r="Q242" s="33">
        <f>Table2_1[[#This Row],[Revenue]]-Table2_1[[#This Row],[COGS]]</f>
        <v>867.60000000000036</v>
      </c>
      <c r="R242" s="39">
        <f>WEEKDAY(Table2_1[[#This Row],[Transaction  Date]])</f>
        <v>4</v>
      </c>
      <c r="S242" s="17" t="str">
        <f>IF(WEEKDAY(Table2_1[[#This Row],[Transaction  Date]],2)&lt;=5,"Weekday","Weekend")</f>
        <v>Weekday</v>
      </c>
      <c r="T242" s="37" t="str">
        <f>FLOOR(Table2_1[[#This Row],[Age]],15)&amp; "-"&amp; FLOOR(Table2_1[[#This Row],[Age]],15)+14</f>
        <v>30-44</v>
      </c>
    </row>
    <row r="243" spans="1:20" x14ac:dyDescent="0.3">
      <c r="A243" s="18">
        <v>45336</v>
      </c>
      <c r="B243" s="17" t="s">
        <v>1158</v>
      </c>
      <c r="C243" s="17" t="s">
        <v>32</v>
      </c>
      <c r="D243" s="18">
        <v>26707</v>
      </c>
      <c r="E243" s="16" t="s">
        <v>20</v>
      </c>
      <c r="F243" s="31">
        <v>427</v>
      </c>
      <c r="G243" s="17" t="s">
        <v>47</v>
      </c>
      <c r="H243" s="17" t="s">
        <v>48</v>
      </c>
      <c r="I243" s="17" t="s">
        <v>17</v>
      </c>
      <c r="J243" s="27">
        <v>0.1</v>
      </c>
      <c r="K243" s="17" t="s">
        <v>931</v>
      </c>
      <c r="L243" s="32">
        <v>7</v>
      </c>
      <c r="M243" s="32">
        <f>_xlfn.XLOOKUP(Table2_1[[#This Row],[Product Code]],Product_Code,Unit_Price,0)</f>
        <v>9</v>
      </c>
      <c r="N243" s="31">
        <f>DATEDIF(Table2_1[[#This Row],[Buyer Date of Birth]],Table2_1[[#This Row],[Transaction  Date]],"Y")</f>
        <v>51</v>
      </c>
      <c r="O243" s="33">
        <v>2989</v>
      </c>
      <c r="P243" s="33">
        <f>Table2_1[[#This Row],[Quantity Purchased]]*Table2_1[[#This Row],[UnitPrice]]*(1-Table2_1[[#This Row],[Discount]])</f>
        <v>3458.7000000000003</v>
      </c>
      <c r="Q243" s="33">
        <f>Table2_1[[#This Row],[Revenue]]-Table2_1[[#This Row],[COGS]]</f>
        <v>469.70000000000027</v>
      </c>
      <c r="R243" s="39">
        <f>WEEKDAY(Table2_1[[#This Row],[Transaction  Date]])</f>
        <v>4</v>
      </c>
      <c r="S243" s="17" t="str">
        <f>IF(WEEKDAY(Table2_1[[#This Row],[Transaction  Date]],2)&lt;=5,"Weekday","Weekend")</f>
        <v>Weekday</v>
      </c>
      <c r="T243" s="37" t="str">
        <f>FLOOR(Table2_1[[#This Row],[Age]],15)&amp; "-"&amp; FLOOR(Table2_1[[#This Row],[Age]],15)+14</f>
        <v>45-59</v>
      </c>
    </row>
    <row r="244" spans="1:20" x14ac:dyDescent="0.3">
      <c r="A244" s="18">
        <v>45336</v>
      </c>
      <c r="B244" s="17" t="s">
        <v>1846</v>
      </c>
      <c r="C244" s="17" t="s">
        <v>71</v>
      </c>
      <c r="D244" s="18">
        <v>25646</v>
      </c>
      <c r="E244" s="16" t="s">
        <v>14</v>
      </c>
      <c r="F244" s="31">
        <v>255</v>
      </c>
      <c r="G244" s="17" t="s">
        <v>56</v>
      </c>
      <c r="H244" s="17" t="s">
        <v>39</v>
      </c>
      <c r="I244" s="17" t="s">
        <v>17</v>
      </c>
      <c r="J244" s="27">
        <v>0.1</v>
      </c>
      <c r="K244" s="17" t="s">
        <v>935</v>
      </c>
      <c r="L244" s="32">
        <v>18</v>
      </c>
      <c r="M244" s="32">
        <f>_xlfn.XLOOKUP(Table2_1[[#This Row],[Product Code]],Product_Code,Unit_Price,0)</f>
        <v>36</v>
      </c>
      <c r="N244" s="31">
        <f>DATEDIF(Table2_1[[#This Row],[Buyer Date of Birth]],Table2_1[[#This Row],[Transaction  Date]],"Y")</f>
        <v>53</v>
      </c>
      <c r="O244" s="33">
        <v>4590</v>
      </c>
      <c r="P244" s="33">
        <f>Table2_1[[#This Row],[Quantity Purchased]]*Table2_1[[#This Row],[UnitPrice]]*(1-Table2_1[[#This Row],[Discount]])</f>
        <v>8262</v>
      </c>
      <c r="Q244" s="33">
        <f>Table2_1[[#This Row],[Revenue]]-Table2_1[[#This Row],[COGS]]</f>
        <v>3672</v>
      </c>
      <c r="R244" s="39">
        <f>WEEKDAY(Table2_1[[#This Row],[Transaction  Date]])</f>
        <v>4</v>
      </c>
      <c r="S244" s="17" t="str">
        <f>IF(WEEKDAY(Table2_1[[#This Row],[Transaction  Date]],2)&lt;=5,"Weekday","Weekend")</f>
        <v>Weekday</v>
      </c>
      <c r="T244" s="37" t="str">
        <f>FLOOR(Table2_1[[#This Row],[Age]],15)&amp; "-"&amp; FLOOR(Table2_1[[#This Row],[Age]],15)+14</f>
        <v>45-59</v>
      </c>
    </row>
    <row r="245" spans="1:20" x14ac:dyDescent="0.3">
      <c r="A245" s="18">
        <v>45336</v>
      </c>
      <c r="B245" s="17" t="s">
        <v>1159</v>
      </c>
      <c r="C245" s="17" t="s">
        <v>71</v>
      </c>
      <c r="D245" s="18">
        <v>27617</v>
      </c>
      <c r="E245" s="16" t="s">
        <v>33</v>
      </c>
      <c r="F245" s="31">
        <v>120</v>
      </c>
      <c r="G245" s="17" t="s">
        <v>21</v>
      </c>
      <c r="H245" s="17" t="s">
        <v>52</v>
      </c>
      <c r="I245" s="17" t="s">
        <v>17</v>
      </c>
      <c r="J245" s="27">
        <v>0.1</v>
      </c>
      <c r="K245" s="17" t="s">
        <v>934</v>
      </c>
      <c r="L245" s="32">
        <v>10</v>
      </c>
      <c r="M245" s="32">
        <f>_xlfn.XLOOKUP(Table2_1[[#This Row],[Product Code]],Product_Code,Unit_Price,0)</f>
        <v>45</v>
      </c>
      <c r="N245" s="31">
        <f>DATEDIF(Table2_1[[#This Row],[Buyer Date of Birth]],Table2_1[[#This Row],[Transaction  Date]],"Y")</f>
        <v>48</v>
      </c>
      <c r="O245" s="33">
        <v>1200</v>
      </c>
      <c r="P245" s="33">
        <f>Table2_1[[#This Row],[Quantity Purchased]]*Table2_1[[#This Row],[UnitPrice]]*(1-Table2_1[[#This Row],[Discount]])</f>
        <v>4860</v>
      </c>
      <c r="Q245" s="33">
        <f>Table2_1[[#This Row],[Revenue]]-Table2_1[[#This Row],[COGS]]</f>
        <v>3660</v>
      </c>
      <c r="R245" s="39">
        <f>WEEKDAY(Table2_1[[#This Row],[Transaction  Date]])</f>
        <v>4</v>
      </c>
      <c r="S245" s="17" t="str">
        <f>IF(WEEKDAY(Table2_1[[#This Row],[Transaction  Date]],2)&lt;=5,"Weekday","Weekend")</f>
        <v>Weekday</v>
      </c>
      <c r="T245" s="37" t="str">
        <f>FLOOR(Table2_1[[#This Row],[Age]],15)&amp; "-"&amp; FLOOR(Table2_1[[#This Row],[Age]],15)+14</f>
        <v>45-59</v>
      </c>
    </row>
    <row r="246" spans="1:20" x14ac:dyDescent="0.3">
      <c r="A246" s="18">
        <v>45336</v>
      </c>
      <c r="B246" s="17" t="s">
        <v>1160</v>
      </c>
      <c r="C246" s="17" t="s">
        <v>51</v>
      </c>
      <c r="D246" s="18">
        <v>36748</v>
      </c>
      <c r="E246" s="16" t="s">
        <v>14</v>
      </c>
      <c r="F246" s="31">
        <v>35</v>
      </c>
      <c r="G246" s="17" t="s">
        <v>59</v>
      </c>
      <c r="H246" s="17" t="s">
        <v>48</v>
      </c>
      <c r="I246" s="17" t="s">
        <v>17</v>
      </c>
      <c r="J246" s="27">
        <v>0.1</v>
      </c>
      <c r="K246" s="17" t="s">
        <v>932</v>
      </c>
      <c r="L246" s="32">
        <v>19</v>
      </c>
      <c r="M246" s="32">
        <f>_xlfn.XLOOKUP(Table2_1[[#This Row],[Product Code]],Product_Code,Unit_Price,0)</f>
        <v>23</v>
      </c>
      <c r="N246" s="31">
        <f>DATEDIF(Table2_1[[#This Row],[Buyer Date of Birth]],Table2_1[[#This Row],[Transaction  Date]],"Y")</f>
        <v>23</v>
      </c>
      <c r="O246" s="33">
        <v>665</v>
      </c>
      <c r="P246" s="33">
        <f>Table2_1[[#This Row],[Quantity Purchased]]*Table2_1[[#This Row],[UnitPrice]]*(1-Table2_1[[#This Row],[Discount]])</f>
        <v>724.5</v>
      </c>
      <c r="Q246" s="33">
        <f>Table2_1[[#This Row],[Revenue]]-Table2_1[[#This Row],[COGS]]</f>
        <v>59.5</v>
      </c>
      <c r="R246" s="39">
        <f>WEEKDAY(Table2_1[[#This Row],[Transaction  Date]])</f>
        <v>4</v>
      </c>
      <c r="S246" s="17" t="str">
        <f>IF(WEEKDAY(Table2_1[[#This Row],[Transaction  Date]],2)&lt;=5,"Weekday","Weekend")</f>
        <v>Weekday</v>
      </c>
      <c r="T246" s="37" t="str">
        <f>FLOOR(Table2_1[[#This Row],[Age]],15)&amp; "-"&amp; FLOOR(Table2_1[[#This Row],[Age]],15)+14</f>
        <v>15-29</v>
      </c>
    </row>
    <row r="247" spans="1:20" x14ac:dyDescent="0.3">
      <c r="A247" s="18">
        <v>45336</v>
      </c>
      <c r="B247" s="17" t="s">
        <v>1161</v>
      </c>
      <c r="C247" s="17" t="s">
        <v>83</v>
      </c>
      <c r="D247" s="18">
        <v>26091</v>
      </c>
      <c r="E247" s="16" t="s">
        <v>20</v>
      </c>
      <c r="F247" s="31">
        <v>381</v>
      </c>
      <c r="G247" s="17" t="s">
        <v>59</v>
      </c>
      <c r="H247" s="17" t="s">
        <v>52</v>
      </c>
      <c r="I247" s="17" t="s">
        <v>17</v>
      </c>
      <c r="J247" s="27">
        <v>0.1</v>
      </c>
      <c r="K247" s="17" t="s">
        <v>932</v>
      </c>
      <c r="L247" s="32">
        <v>19</v>
      </c>
      <c r="M247" s="32">
        <f>_xlfn.XLOOKUP(Table2_1[[#This Row],[Product Code]],Product_Code,Unit_Price,0)</f>
        <v>23</v>
      </c>
      <c r="N247" s="31">
        <f>DATEDIF(Table2_1[[#This Row],[Buyer Date of Birth]],Table2_1[[#This Row],[Transaction  Date]],"Y")</f>
        <v>52</v>
      </c>
      <c r="O247" s="33">
        <v>7239</v>
      </c>
      <c r="P247" s="33">
        <f>Table2_1[[#This Row],[Quantity Purchased]]*Table2_1[[#This Row],[UnitPrice]]*(1-Table2_1[[#This Row],[Discount]])</f>
        <v>7886.7</v>
      </c>
      <c r="Q247" s="33">
        <f>Table2_1[[#This Row],[Revenue]]-Table2_1[[#This Row],[COGS]]</f>
        <v>647.69999999999982</v>
      </c>
      <c r="R247" s="39">
        <f>WEEKDAY(Table2_1[[#This Row],[Transaction  Date]])</f>
        <v>4</v>
      </c>
      <c r="S247" s="17" t="str">
        <f>IF(WEEKDAY(Table2_1[[#This Row],[Transaction  Date]],2)&lt;=5,"Weekday","Weekend")</f>
        <v>Weekday</v>
      </c>
      <c r="T247" s="37" t="str">
        <f>FLOOR(Table2_1[[#This Row],[Age]],15)&amp; "-"&amp; FLOOR(Table2_1[[#This Row],[Age]],15)+14</f>
        <v>45-59</v>
      </c>
    </row>
    <row r="248" spans="1:20" x14ac:dyDescent="0.3">
      <c r="A248" s="18">
        <v>45336</v>
      </c>
      <c r="B248" s="17" t="s">
        <v>1162</v>
      </c>
      <c r="C248" s="17" t="s">
        <v>71</v>
      </c>
      <c r="D248" s="18">
        <v>29279</v>
      </c>
      <c r="E248" s="16" t="s">
        <v>33</v>
      </c>
      <c r="F248" s="31">
        <v>271</v>
      </c>
      <c r="G248" s="17" t="s">
        <v>15</v>
      </c>
      <c r="H248" s="17" t="s">
        <v>52</v>
      </c>
      <c r="I248" s="17" t="s">
        <v>17</v>
      </c>
      <c r="J248" s="27">
        <v>0.1</v>
      </c>
      <c r="K248" s="17" t="s">
        <v>929</v>
      </c>
      <c r="L248" s="32">
        <v>10</v>
      </c>
      <c r="M248" s="32">
        <f>_xlfn.XLOOKUP(Table2_1[[#This Row],[Product Code]],Product_Code,Unit_Price,0)</f>
        <v>14</v>
      </c>
      <c r="N248" s="31">
        <f>DATEDIF(Table2_1[[#This Row],[Buyer Date of Birth]],Table2_1[[#This Row],[Transaction  Date]],"Y")</f>
        <v>43</v>
      </c>
      <c r="O248" s="33">
        <v>2710</v>
      </c>
      <c r="P248" s="33">
        <f>Table2_1[[#This Row],[Quantity Purchased]]*Table2_1[[#This Row],[UnitPrice]]*(1-Table2_1[[#This Row],[Discount]])</f>
        <v>3414.6</v>
      </c>
      <c r="Q248" s="33">
        <f>Table2_1[[#This Row],[Revenue]]-Table2_1[[#This Row],[COGS]]</f>
        <v>704.59999999999991</v>
      </c>
      <c r="R248" s="39">
        <f>WEEKDAY(Table2_1[[#This Row],[Transaction  Date]])</f>
        <v>4</v>
      </c>
      <c r="S248" s="17" t="str">
        <f>IF(WEEKDAY(Table2_1[[#This Row],[Transaction  Date]],2)&lt;=5,"Weekday","Weekend")</f>
        <v>Weekday</v>
      </c>
      <c r="T248" s="37" t="str">
        <f>FLOOR(Table2_1[[#This Row],[Age]],15)&amp; "-"&amp; FLOOR(Table2_1[[#This Row],[Age]],15)+14</f>
        <v>30-44</v>
      </c>
    </row>
    <row r="249" spans="1:20" x14ac:dyDescent="0.3">
      <c r="A249" s="18">
        <v>45336</v>
      </c>
      <c r="B249" s="17" t="s">
        <v>1163</v>
      </c>
      <c r="C249" s="17" t="s">
        <v>83</v>
      </c>
      <c r="D249" s="18">
        <v>37185</v>
      </c>
      <c r="E249" s="16" t="s">
        <v>68</v>
      </c>
      <c r="F249" s="31">
        <v>196</v>
      </c>
      <c r="G249" s="17" t="s">
        <v>64</v>
      </c>
      <c r="H249" s="17" t="s">
        <v>48</v>
      </c>
      <c r="I249" s="17" t="s">
        <v>17</v>
      </c>
      <c r="J249" s="27">
        <v>0.1</v>
      </c>
      <c r="K249" s="17" t="s">
        <v>933</v>
      </c>
      <c r="L249" s="32">
        <v>5</v>
      </c>
      <c r="M249" s="32">
        <f>_xlfn.XLOOKUP(Table2_1[[#This Row],[Product Code]],Product_Code,Unit_Price,0)</f>
        <v>7</v>
      </c>
      <c r="N249" s="31">
        <f>DATEDIF(Table2_1[[#This Row],[Buyer Date of Birth]],Table2_1[[#This Row],[Transaction  Date]],"Y")</f>
        <v>22</v>
      </c>
      <c r="O249" s="33">
        <v>980</v>
      </c>
      <c r="P249" s="33">
        <f>Table2_1[[#This Row],[Quantity Purchased]]*Table2_1[[#This Row],[UnitPrice]]*(1-Table2_1[[#This Row],[Discount]])</f>
        <v>1234.8</v>
      </c>
      <c r="Q249" s="33">
        <f>Table2_1[[#This Row],[Revenue]]-Table2_1[[#This Row],[COGS]]</f>
        <v>254.79999999999995</v>
      </c>
      <c r="R249" s="39">
        <f>WEEKDAY(Table2_1[[#This Row],[Transaction  Date]])</f>
        <v>4</v>
      </c>
      <c r="S249" s="17" t="str">
        <f>IF(WEEKDAY(Table2_1[[#This Row],[Transaction  Date]],2)&lt;=5,"Weekday","Weekend")</f>
        <v>Weekday</v>
      </c>
      <c r="T249" s="37" t="str">
        <f>FLOOR(Table2_1[[#This Row],[Age]],15)&amp; "-"&amp; FLOOR(Table2_1[[#This Row],[Age]],15)+14</f>
        <v>15-29</v>
      </c>
    </row>
    <row r="250" spans="1:20" x14ac:dyDescent="0.3">
      <c r="A250" s="18">
        <v>45337</v>
      </c>
      <c r="B250" s="17" t="s">
        <v>1164</v>
      </c>
      <c r="C250" s="17" t="s">
        <v>55</v>
      </c>
      <c r="D250" s="18">
        <v>17492</v>
      </c>
      <c r="E250" s="16" t="s">
        <v>20</v>
      </c>
      <c r="F250" s="31">
        <v>468</v>
      </c>
      <c r="G250" s="17" t="s">
        <v>56</v>
      </c>
      <c r="H250" s="17" t="s">
        <v>28</v>
      </c>
      <c r="I250" s="17" t="s">
        <v>17</v>
      </c>
      <c r="J250" s="27">
        <v>0.1</v>
      </c>
      <c r="K250" s="17" t="s">
        <v>935</v>
      </c>
      <c r="L250" s="32">
        <v>18</v>
      </c>
      <c r="M250" s="32">
        <f>_xlfn.XLOOKUP(Table2_1[[#This Row],[Product Code]],Product_Code,Unit_Price,0)</f>
        <v>36</v>
      </c>
      <c r="N250" s="31">
        <f>DATEDIF(Table2_1[[#This Row],[Buyer Date of Birth]],Table2_1[[#This Row],[Transaction  Date]],"Y")</f>
        <v>76</v>
      </c>
      <c r="O250" s="33">
        <v>8424</v>
      </c>
      <c r="P250" s="33">
        <f>Table2_1[[#This Row],[Quantity Purchased]]*Table2_1[[#This Row],[UnitPrice]]*(1-Table2_1[[#This Row],[Discount]])</f>
        <v>15163.2</v>
      </c>
      <c r="Q250" s="33">
        <f>Table2_1[[#This Row],[Revenue]]-Table2_1[[#This Row],[COGS]]</f>
        <v>6739.2000000000007</v>
      </c>
      <c r="R250" s="39">
        <f>WEEKDAY(Table2_1[[#This Row],[Transaction  Date]])</f>
        <v>5</v>
      </c>
      <c r="S250" s="17" t="str">
        <f>IF(WEEKDAY(Table2_1[[#This Row],[Transaction  Date]],2)&lt;=5,"Weekday","Weekend")</f>
        <v>Weekday</v>
      </c>
      <c r="T250" s="37" t="str">
        <f>FLOOR(Table2_1[[#This Row],[Age]],15)&amp; "-"&amp; FLOOR(Table2_1[[#This Row],[Age]],15)+14</f>
        <v>75-89</v>
      </c>
    </row>
    <row r="251" spans="1:20" x14ac:dyDescent="0.3">
      <c r="A251" s="18">
        <v>45338</v>
      </c>
      <c r="B251" s="17" t="s">
        <v>1165</v>
      </c>
      <c r="C251" s="17" t="s">
        <v>83</v>
      </c>
      <c r="D251" s="18">
        <v>18001</v>
      </c>
      <c r="E251" s="16" t="s">
        <v>33</v>
      </c>
      <c r="F251" s="31">
        <v>250</v>
      </c>
      <c r="G251" s="17" t="s">
        <v>56</v>
      </c>
      <c r="H251" s="17" t="s">
        <v>48</v>
      </c>
      <c r="I251" s="17" t="s">
        <v>17</v>
      </c>
      <c r="J251" s="27">
        <v>0.1</v>
      </c>
      <c r="K251" s="17" t="s">
        <v>935</v>
      </c>
      <c r="L251" s="32">
        <v>18</v>
      </c>
      <c r="M251" s="32">
        <f>_xlfn.XLOOKUP(Table2_1[[#This Row],[Product Code]],Product_Code,Unit_Price,0)</f>
        <v>36</v>
      </c>
      <c r="N251" s="31">
        <f>DATEDIF(Table2_1[[#This Row],[Buyer Date of Birth]],Table2_1[[#This Row],[Transaction  Date]],"Y")</f>
        <v>74</v>
      </c>
      <c r="O251" s="33">
        <v>4500</v>
      </c>
      <c r="P251" s="33">
        <f>Table2_1[[#This Row],[Quantity Purchased]]*Table2_1[[#This Row],[UnitPrice]]*(1-Table2_1[[#This Row],[Discount]])</f>
        <v>8100</v>
      </c>
      <c r="Q251" s="33">
        <f>Table2_1[[#This Row],[Revenue]]-Table2_1[[#This Row],[COGS]]</f>
        <v>3600</v>
      </c>
      <c r="R251" s="39">
        <f>WEEKDAY(Table2_1[[#This Row],[Transaction  Date]])</f>
        <v>6</v>
      </c>
      <c r="S251" s="17" t="str">
        <f>IF(WEEKDAY(Table2_1[[#This Row],[Transaction  Date]],2)&lt;=5,"Weekday","Weekend")</f>
        <v>Weekday</v>
      </c>
      <c r="T251" s="37" t="str">
        <f>FLOOR(Table2_1[[#This Row],[Age]],15)&amp; "-"&amp; FLOOR(Table2_1[[#This Row],[Age]],15)+14</f>
        <v>60-74</v>
      </c>
    </row>
    <row r="252" spans="1:20" x14ac:dyDescent="0.3">
      <c r="A252" s="18">
        <v>45338</v>
      </c>
      <c r="B252" s="17" t="s">
        <v>1166</v>
      </c>
      <c r="C252" s="17" t="s">
        <v>51</v>
      </c>
      <c r="D252" s="18">
        <v>32667</v>
      </c>
      <c r="E252" s="16" t="s">
        <v>33</v>
      </c>
      <c r="F252" s="31">
        <v>146</v>
      </c>
      <c r="G252" s="17" t="s">
        <v>15</v>
      </c>
      <c r="H252" s="17" t="s">
        <v>48</v>
      </c>
      <c r="I252" s="17" t="s">
        <v>17</v>
      </c>
      <c r="J252" s="27">
        <v>0.1</v>
      </c>
      <c r="K252" s="17" t="s">
        <v>929</v>
      </c>
      <c r="L252" s="32">
        <v>10</v>
      </c>
      <c r="M252" s="32">
        <f>_xlfn.XLOOKUP(Table2_1[[#This Row],[Product Code]],Product_Code,Unit_Price,0)</f>
        <v>14</v>
      </c>
      <c r="N252" s="31">
        <f>DATEDIF(Table2_1[[#This Row],[Buyer Date of Birth]],Table2_1[[#This Row],[Transaction  Date]],"Y")</f>
        <v>34</v>
      </c>
      <c r="O252" s="33">
        <v>1460</v>
      </c>
      <c r="P252" s="33">
        <f>Table2_1[[#This Row],[Quantity Purchased]]*Table2_1[[#This Row],[UnitPrice]]*(1-Table2_1[[#This Row],[Discount]])</f>
        <v>1839.6000000000001</v>
      </c>
      <c r="Q252" s="33">
        <f>Table2_1[[#This Row],[Revenue]]-Table2_1[[#This Row],[COGS]]</f>
        <v>379.60000000000014</v>
      </c>
      <c r="R252" s="39">
        <f>WEEKDAY(Table2_1[[#This Row],[Transaction  Date]])</f>
        <v>6</v>
      </c>
      <c r="S252" s="17" t="str">
        <f>IF(WEEKDAY(Table2_1[[#This Row],[Transaction  Date]],2)&lt;=5,"Weekday","Weekend")</f>
        <v>Weekday</v>
      </c>
      <c r="T252" s="37" t="str">
        <f>FLOOR(Table2_1[[#This Row],[Age]],15)&amp; "-"&amp; FLOOR(Table2_1[[#This Row],[Age]],15)+14</f>
        <v>30-44</v>
      </c>
    </row>
    <row r="253" spans="1:20" x14ac:dyDescent="0.3">
      <c r="A253" s="18">
        <v>45338</v>
      </c>
      <c r="B253" s="17" t="s">
        <v>1167</v>
      </c>
      <c r="C253" s="17" t="s">
        <v>46</v>
      </c>
      <c r="D253" s="18">
        <v>37315</v>
      </c>
      <c r="E253" s="16" t="s">
        <v>14</v>
      </c>
      <c r="F253" s="31">
        <v>367</v>
      </c>
      <c r="G253" s="17" t="s">
        <v>56</v>
      </c>
      <c r="H253" s="17" t="s">
        <v>43</v>
      </c>
      <c r="I253" s="17" t="s">
        <v>17</v>
      </c>
      <c r="J253" s="27">
        <v>0.1</v>
      </c>
      <c r="K253" s="17" t="s">
        <v>935</v>
      </c>
      <c r="L253" s="32">
        <v>18</v>
      </c>
      <c r="M253" s="32">
        <f>_xlfn.XLOOKUP(Table2_1[[#This Row],[Product Code]],Product_Code,Unit_Price,0)</f>
        <v>36</v>
      </c>
      <c r="N253" s="31">
        <f>DATEDIF(Table2_1[[#This Row],[Buyer Date of Birth]],Table2_1[[#This Row],[Transaction  Date]],"Y")</f>
        <v>21</v>
      </c>
      <c r="O253" s="33">
        <v>6606</v>
      </c>
      <c r="P253" s="33">
        <f>Table2_1[[#This Row],[Quantity Purchased]]*Table2_1[[#This Row],[UnitPrice]]*(1-Table2_1[[#This Row],[Discount]])</f>
        <v>11890.800000000001</v>
      </c>
      <c r="Q253" s="33">
        <f>Table2_1[[#This Row],[Revenue]]-Table2_1[[#This Row],[COGS]]</f>
        <v>5284.8000000000011</v>
      </c>
      <c r="R253" s="39">
        <f>WEEKDAY(Table2_1[[#This Row],[Transaction  Date]])</f>
        <v>6</v>
      </c>
      <c r="S253" s="17" t="str">
        <f>IF(WEEKDAY(Table2_1[[#This Row],[Transaction  Date]],2)&lt;=5,"Weekday","Weekend")</f>
        <v>Weekday</v>
      </c>
      <c r="T253" s="37" t="str">
        <f>FLOOR(Table2_1[[#This Row],[Age]],15)&amp; "-"&amp; FLOOR(Table2_1[[#This Row],[Age]],15)+14</f>
        <v>15-29</v>
      </c>
    </row>
    <row r="254" spans="1:20" x14ac:dyDescent="0.3">
      <c r="A254" s="18">
        <v>45339</v>
      </c>
      <c r="B254" s="17" t="s">
        <v>1168</v>
      </c>
      <c r="C254" s="17" t="s">
        <v>46</v>
      </c>
      <c r="D254" s="18">
        <v>22039</v>
      </c>
      <c r="E254" s="16" t="s">
        <v>14</v>
      </c>
      <c r="F254" s="31">
        <v>366</v>
      </c>
      <c r="G254" s="17" t="s">
        <v>47</v>
      </c>
      <c r="H254" s="17" t="s">
        <v>48</v>
      </c>
      <c r="I254" s="17" t="s">
        <v>29</v>
      </c>
      <c r="J254" s="27">
        <v>0.1</v>
      </c>
      <c r="K254" s="17" t="s">
        <v>931</v>
      </c>
      <c r="L254" s="32">
        <v>7</v>
      </c>
      <c r="M254" s="32">
        <f>_xlfn.XLOOKUP(Table2_1[[#This Row],[Product Code]],Product_Code,Unit_Price,0)</f>
        <v>9</v>
      </c>
      <c r="N254" s="31">
        <f>DATEDIF(Table2_1[[#This Row],[Buyer Date of Birth]],Table2_1[[#This Row],[Transaction  Date]],"Y")</f>
        <v>63</v>
      </c>
      <c r="O254" s="33">
        <v>2562</v>
      </c>
      <c r="P254" s="33">
        <f>Table2_1[[#This Row],[Quantity Purchased]]*Table2_1[[#This Row],[UnitPrice]]*(1-Table2_1[[#This Row],[Discount]])</f>
        <v>2964.6</v>
      </c>
      <c r="Q254" s="33">
        <f>Table2_1[[#This Row],[Revenue]]-Table2_1[[#This Row],[COGS]]</f>
        <v>402.59999999999991</v>
      </c>
      <c r="R254" s="39">
        <f>WEEKDAY(Table2_1[[#This Row],[Transaction  Date]])</f>
        <v>7</v>
      </c>
      <c r="S254" s="17" t="str">
        <f>IF(WEEKDAY(Table2_1[[#This Row],[Transaction  Date]],2)&lt;=5,"Weekday","Weekend")</f>
        <v>Weekend</v>
      </c>
      <c r="T254" s="37" t="str">
        <f>FLOOR(Table2_1[[#This Row],[Age]],15)&amp; "-"&amp; FLOOR(Table2_1[[#This Row],[Age]],15)+14</f>
        <v>60-74</v>
      </c>
    </row>
    <row r="255" spans="1:20" x14ac:dyDescent="0.3">
      <c r="A255" s="18">
        <v>45339</v>
      </c>
      <c r="B255" s="17" t="s">
        <v>1027</v>
      </c>
      <c r="C255" s="17" t="s">
        <v>38</v>
      </c>
      <c r="D255" s="18">
        <v>17049</v>
      </c>
      <c r="E255" s="16" t="s">
        <v>33</v>
      </c>
      <c r="F255" s="31">
        <v>229</v>
      </c>
      <c r="G255" s="17" t="s">
        <v>65</v>
      </c>
      <c r="H255" s="17" t="s">
        <v>43</v>
      </c>
      <c r="I255" s="17" t="s">
        <v>23</v>
      </c>
      <c r="J255" s="27">
        <v>0.1</v>
      </c>
      <c r="K255" s="17" t="s">
        <v>928</v>
      </c>
      <c r="L255" s="32">
        <v>3</v>
      </c>
      <c r="M255" s="32">
        <f>_xlfn.XLOOKUP(Table2_1[[#This Row],[Product Code]],Product_Code,Unit_Price,0)</f>
        <v>5</v>
      </c>
      <c r="N255" s="31">
        <f>DATEDIF(Table2_1[[#This Row],[Buyer Date of Birth]],Table2_1[[#This Row],[Transaction  Date]],"Y")</f>
        <v>77</v>
      </c>
      <c r="O255" s="33">
        <v>687</v>
      </c>
      <c r="P255" s="33">
        <f>Table2_1[[#This Row],[Quantity Purchased]]*Table2_1[[#This Row],[UnitPrice]]*(1-Table2_1[[#This Row],[Discount]])</f>
        <v>1030.5</v>
      </c>
      <c r="Q255" s="33">
        <f>Table2_1[[#This Row],[Revenue]]-Table2_1[[#This Row],[COGS]]</f>
        <v>343.5</v>
      </c>
      <c r="R255" s="39">
        <f>WEEKDAY(Table2_1[[#This Row],[Transaction  Date]])</f>
        <v>7</v>
      </c>
      <c r="S255" s="17" t="str">
        <f>IF(WEEKDAY(Table2_1[[#This Row],[Transaction  Date]],2)&lt;=5,"Weekday","Weekend")</f>
        <v>Weekend</v>
      </c>
      <c r="T255" s="37" t="str">
        <f>FLOOR(Table2_1[[#This Row],[Age]],15)&amp; "-"&amp; FLOOR(Table2_1[[#This Row],[Age]],15)+14</f>
        <v>75-89</v>
      </c>
    </row>
    <row r="256" spans="1:20" x14ac:dyDescent="0.3">
      <c r="A256" s="18">
        <v>45339</v>
      </c>
      <c r="B256" s="17" t="s">
        <v>1169</v>
      </c>
      <c r="C256" s="17" t="s">
        <v>55</v>
      </c>
      <c r="D256" s="18">
        <v>35271</v>
      </c>
      <c r="E256" s="16" t="s">
        <v>14</v>
      </c>
      <c r="F256" s="31">
        <v>377</v>
      </c>
      <c r="G256" s="17" t="s">
        <v>21</v>
      </c>
      <c r="H256" s="17" t="s">
        <v>52</v>
      </c>
      <c r="I256" s="17" t="s">
        <v>17</v>
      </c>
      <c r="J256" s="27">
        <v>0.1</v>
      </c>
      <c r="K256" s="17" t="s">
        <v>934</v>
      </c>
      <c r="L256" s="32">
        <v>10</v>
      </c>
      <c r="M256" s="32">
        <f>_xlfn.XLOOKUP(Table2_1[[#This Row],[Product Code]],Product_Code,Unit_Price,0)</f>
        <v>45</v>
      </c>
      <c r="N256" s="31">
        <f>DATEDIF(Table2_1[[#This Row],[Buyer Date of Birth]],Table2_1[[#This Row],[Transaction  Date]],"Y")</f>
        <v>27</v>
      </c>
      <c r="O256" s="33">
        <v>3770</v>
      </c>
      <c r="P256" s="33">
        <f>Table2_1[[#This Row],[Quantity Purchased]]*Table2_1[[#This Row],[UnitPrice]]*(1-Table2_1[[#This Row],[Discount]])</f>
        <v>15268.5</v>
      </c>
      <c r="Q256" s="33">
        <f>Table2_1[[#This Row],[Revenue]]-Table2_1[[#This Row],[COGS]]</f>
        <v>11498.5</v>
      </c>
      <c r="R256" s="39">
        <f>WEEKDAY(Table2_1[[#This Row],[Transaction  Date]])</f>
        <v>7</v>
      </c>
      <c r="S256" s="17" t="str">
        <f>IF(WEEKDAY(Table2_1[[#This Row],[Transaction  Date]],2)&lt;=5,"Weekday","Weekend")</f>
        <v>Weekend</v>
      </c>
      <c r="T256" s="37" t="str">
        <f>FLOOR(Table2_1[[#This Row],[Age]],15)&amp; "-"&amp; FLOOR(Table2_1[[#This Row],[Age]],15)+14</f>
        <v>15-29</v>
      </c>
    </row>
    <row r="257" spans="1:20" x14ac:dyDescent="0.3">
      <c r="A257" s="18">
        <v>45339</v>
      </c>
      <c r="B257" s="17" t="s">
        <v>1170</v>
      </c>
      <c r="C257" s="17" t="s">
        <v>55</v>
      </c>
      <c r="D257" s="18">
        <v>19966</v>
      </c>
      <c r="E257" s="16" t="s">
        <v>14</v>
      </c>
      <c r="F257" s="31">
        <v>366</v>
      </c>
      <c r="G257" s="17" t="s">
        <v>34</v>
      </c>
      <c r="H257" s="17" t="s">
        <v>52</v>
      </c>
      <c r="I257" s="17" t="s">
        <v>17</v>
      </c>
      <c r="J257" s="27">
        <v>0.1</v>
      </c>
      <c r="K257" s="17" t="s">
        <v>930</v>
      </c>
      <c r="L257" s="32">
        <v>14</v>
      </c>
      <c r="M257" s="32">
        <f>_xlfn.XLOOKUP(Table2_1[[#This Row],[Product Code]],Product_Code,Unit_Price,0)</f>
        <v>28</v>
      </c>
      <c r="N257" s="31">
        <f>DATEDIF(Table2_1[[#This Row],[Buyer Date of Birth]],Table2_1[[#This Row],[Transaction  Date]],"Y")</f>
        <v>69</v>
      </c>
      <c r="O257" s="33">
        <v>5124</v>
      </c>
      <c r="P257" s="33">
        <f>Table2_1[[#This Row],[Quantity Purchased]]*Table2_1[[#This Row],[UnitPrice]]*(1-Table2_1[[#This Row],[Discount]])</f>
        <v>9223.2000000000007</v>
      </c>
      <c r="Q257" s="33">
        <f>Table2_1[[#This Row],[Revenue]]-Table2_1[[#This Row],[COGS]]</f>
        <v>4099.2000000000007</v>
      </c>
      <c r="R257" s="39">
        <f>WEEKDAY(Table2_1[[#This Row],[Transaction  Date]])</f>
        <v>7</v>
      </c>
      <c r="S257" s="17" t="str">
        <f>IF(WEEKDAY(Table2_1[[#This Row],[Transaction  Date]],2)&lt;=5,"Weekday","Weekend")</f>
        <v>Weekend</v>
      </c>
      <c r="T257" s="37" t="str">
        <f>FLOOR(Table2_1[[#This Row],[Age]],15)&amp; "-"&amp; FLOOR(Table2_1[[#This Row],[Age]],15)+14</f>
        <v>60-74</v>
      </c>
    </row>
    <row r="258" spans="1:20" x14ac:dyDescent="0.3">
      <c r="A258" s="18">
        <v>45340</v>
      </c>
      <c r="B258" s="17" t="s">
        <v>1171</v>
      </c>
      <c r="C258" s="17" t="s">
        <v>38</v>
      </c>
      <c r="D258" s="18">
        <v>18337</v>
      </c>
      <c r="E258" s="16" t="s">
        <v>33</v>
      </c>
      <c r="F258" s="31">
        <v>132</v>
      </c>
      <c r="G258" s="17" t="s">
        <v>56</v>
      </c>
      <c r="H258" s="17" t="s">
        <v>48</v>
      </c>
      <c r="I258" s="17" t="s">
        <v>17</v>
      </c>
      <c r="J258" s="27">
        <v>0.1</v>
      </c>
      <c r="K258" s="17" t="s">
        <v>935</v>
      </c>
      <c r="L258" s="32">
        <v>18</v>
      </c>
      <c r="M258" s="32">
        <f>_xlfn.XLOOKUP(Table2_1[[#This Row],[Product Code]],Product_Code,Unit_Price,0)</f>
        <v>36</v>
      </c>
      <c r="N258" s="31">
        <f>DATEDIF(Table2_1[[#This Row],[Buyer Date of Birth]],Table2_1[[#This Row],[Transaction  Date]],"Y")</f>
        <v>73</v>
      </c>
      <c r="O258" s="33">
        <v>2376</v>
      </c>
      <c r="P258" s="33">
        <f>Table2_1[[#This Row],[Quantity Purchased]]*Table2_1[[#This Row],[UnitPrice]]*(1-Table2_1[[#This Row],[Discount]])</f>
        <v>4276.8</v>
      </c>
      <c r="Q258" s="33">
        <f>Table2_1[[#This Row],[Revenue]]-Table2_1[[#This Row],[COGS]]</f>
        <v>1900.8000000000002</v>
      </c>
      <c r="R258" s="39">
        <f>WEEKDAY(Table2_1[[#This Row],[Transaction  Date]])</f>
        <v>1</v>
      </c>
      <c r="S258" s="17" t="str">
        <f>IF(WEEKDAY(Table2_1[[#This Row],[Transaction  Date]],2)&lt;=5,"Weekday","Weekend")</f>
        <v>Weekend</v>
      </c>
      <c r="T258" s="37" t="str">
        <f>FLOOR(Table2_1[[#This Row],[Age]],15)&amp; "-"&amp; FLOOR(Table2_1[[#This Row],[Age]],15)+14</f>
        <v>60-74</v>
      </c>
    </row>
    <row r="259" spans="1:20" x14ac:dyDescent="0.3">
      <c r="A259" s="18">
        <v>45340</v>
      </c>
      <c r="B259" s="17" t="s">
        <v>1172</v>
      </c>
      <c r="C259" s="17" t="s">
        <v>38</v>
      </c>
      <c r="D259" s="18">
        <v>23406</v>
      </c>
      <c r="E259" s="16" t="s">
        <v>14</v>
      </c>
      <c r="F259" s="31">
        <v>73</v>
      </c>
      <c r="G259" s="17" t="s">
        <v>42</v>
      </c>
      <c r="H259" s="17" t="s">
        <v>43</v>
      </c>
      <c r="I259" s="17" t="s">
        <v>17</v>
      </c>
      <c r="J259" s="27">
        <v>0.1</v>
      </c>
      <c r="K259" s="17" t="s">
        <v>926</v>
      </c>
      <c r="L259" s="32">
        <v>10</v>
      </c>
      <c r="M259" s="32">
        <f>_xlfn.XLOOKUP(Table2_1[[#This Row],[Product Code]],Product_Code,Unit_Price,0)</f>
        <v>11</v>
      </c>
      <c r="N259" s="31">
        <f>DATEDIF(Table2_1[[#This Row],[Buyer Date of Birth]],Table2_1[[#This Row],[Transaction  Date]],"Y")</f>
        <v>60</v>
      </c>
      <c r="O259" s="33">
        <v>730</v>
      </c>
      <c r="P259" s="33">
        <f>Table2_1[[#This Row],[Quantity Purchased]]*Table2_1[[#This Row],[UnitPrice]]*(1-Table2_1[[#This Row],[Discount]])</f>
        <v>722.7</v>
      </c>
      <c r="Q259" s="33">
        <f>Table2_1[[#This Row],[Revenue]]-Table2_1[[#This Row],[COGS]]</f>
        <v>-7.2999999999999545</v>
      </c>
      <c r="R259" s="39">
        <f>WEEKDAY(Table2_1[[#This Row],[Transaction  Date]])</f>
        <v>1</v>
      </c>
      <c r="S259" s="17" t="str">
        <f>IF(WEEKDAY(Table2_1[[#This Row],[Transaction  Date]],2)&lt;=5,"Weekday","Weekend")</f>
        <v>Weekend</v>
      </c>
      <c r="T259" s="37" t="str">
        <f>FLOOR(Table2_1[[#This Row],[Age]],15)&amp; "-"&amp; FLOOR(Table2_1[[#This Row],[Age]],15)+14</f>
        <v>60-74</v>
      </c>
    </row>
    <row r="260" spans="1:20" x14ac:dyDescent="0.3">
      <c r="A260" s="18">
        <v>45340</v>
      </c>
      <c r="B260" s="17" t="s">
        <v>1173</v>
      </c>
      <c r="C260" s="17" t="s">
        <v>46</v>
      </c>
      <c r="D260" s="18">
        <v>32602</v>
      </c>
      <c r="E260" s="16" t="s">
        <v>14</v>
      </c>
      <c r="F260" s="31">
        <v>107</v>
      </c>
      <c r="G260" s="17" t="s">
        <v>34</v>
      </c>
      <c r="H260" s="17" t="s">
        <v>28</v>
      </c>
      <c r="I260" s="17" t="s">
        <v>17</v>
      </c>
      <c r="J260" s="27">
        <v>0.1</v>
      </c>
      <c r="K260" s="17" t="s">
        <v>930</v>
      </c>
      <c r="L260" s="32">
        <v>14</v>
      </c>
      <c r="M260" s="32">
        <f>_xlfn.XLOOKUP(Table2_1[[#This Row],[Product Code]],Product_Code,Unit_Price,0)</f>
        <v>28</v>
      </c>
      <c r="N260" s="31">
        <f>DATEDIF(Table2_1[[#This Row],[Buyer Date of Birth]],Table2_1[[#This Row],[Transaction  Date]],"Y")</f>
        <v>34</v>
      </c>
      <c r="O260" s="33">
        <v>1498</v>
      </c>
      <c r="P260" s="33">
        <f>Table2_1[[#This Row],[Quantity Purchased]]*Table2_1[[#This Row],[UnitPrice]]*(1-Table2_1[[#This Row],[Discount]])</f>
        <v>2696.4</v>
      </c>
      <c r="Q260" s="33">
        <f>Table2_1[[#This Row],[Revenue]]-Table2_1[[#This Row],[COGS]]</f>
        <v>1198.4000000000001</v>
      </c>
      <c r="R260" s="39">
        <f>WEEKDAY(Table2_1[[#This Row],[Transaction  Date]])</f>
        <v>1</v>
      </c>
      <c r="S260" s="17" t="str">
        <f>IF(WEEKDAY(Table2_1[[#This Row],[Transaction  Date]],2)&lt;=5,"Weekday","Weekend")</f>
        <v>Weekend</v>
      </c>
      <c r="T260" s="37" t="str">
        <f>FLOOR(Table2_1[[#This Row],[Age]],15)&amp; "-"&amp; FLOOR(Table2_1[[#This Row],[Age]],15)+14</f>
        <v>30-44</v>
      </c>
    </row>
    <row r="261" spans="1:20" x14ac:dyDescent="0.3">
      <c r="A261" s="18">
        <v>45340</v>
      </c>
      <c r="B261" s="17" t="s">
        <v>1174</v>
      </c>
      <c r="C261" s="17" t="s">
        <v>55</v>
      </c>
      <c r="D261" s="18">
        <v>24034</v>
      </c>
      <c r="E261" s="16" t="s">
        <v>68</v>
      </c>
      <c r="F261" s="31">
        <v>173</v>
      </c>
      <c r="G261" s="17" t="s">
        <v>65</v>
      </c>
      <c r="H261" s="17" t="s">
        <v>52</v>
      </c>
      <c r="I261" s="17" t="s">
        <v>17</v>
      </c>
      <c r="J261" s="27">
        <v>0.1</v>
      </c>
      <c r="K261" s="17" t="s">
        <v>928</v>
      </c>
      <c r="L261" s="32">
        <v>3</v>
      </c>
      <c r="M261" s="32">
        <f>_xlfn.XLOOKUP(Table2_1[[#This Row],[Product Code]],Product_Code,Unit_Price,0)</f>
        <v>5</v>
      </c>
      <c r="N261" s="31">
        <f>DATEDIF(Table2_1[[#This Row],[Buyer Date of Birth]],Table2_1[[#This Row],[Transaction  Date]],"Y")</f>
        <v>58</v>
      </c>
      <c r="O261" s="33">
        <v>519</v>
      </c>
      <c r="P261" s="33">
        <f>Table2_1[[#This Row],[Quantity Purchased]]*Table2_1[[#This Row],[UnitPrice]]*(1-Table2_1[[#This Row],[Discount]])</f>
        <v>778.5</v>
      </c>
      <c r="Q261" s="33">
        <f>Table2_1[[#This Row],[Revenue]]-Table2_1[[#This Row],[COGS]]</f>
        <v>259.5</v>
      </c>
      <c r="R261" s="39">
        <f>WEEKDAY(Table2_1[[#This Row],[Transaction  Date]])</f>
        <v>1</v>
      </c>
      <c r="S261" s="17" t="str">
        <f>IF(WEEKDAY(Table2_1[[#This Row],[Transaction  Date]],2)&lt;=5,"Weekday","Weekend")</f>
        <v>Weekend</v>
      </c>
      <c r="T261" s="37" t="str">
        <f>FLOOR(Table2_1[[#This Row],[Age]],15)&amp; "-"&amp; FLOOR(Table2_1[[#This Row],[Age]],15)+14</f>
        <v>45-59</v>
      </c>
    </row>
    <row r="262" spans="1:20" x14ac:dyDescent="0.3">
      <c r="A262" s="18">
        <v>45340</v>
      </c>
      <c r="B262" s="17" t="s">
        <v>1175</v>
      </c>
      <c r="C262" s="17" t="s">
        <v>78</v>
      </c>
      <c r="D262" s="18">
        <v>36460</v>
      </c>
      <c r="E262" s="16" t="s">
        <v>20</v>
      </c>
      <c r="F262" s="31">
        <v>482</v>
      </c>
      <c r="G262" s="17" t="s">
        <v>42</v>
      </c>
      <c r="H262" s="17" t="s">
        <v>43</v>
      </c>
      <c r="I262" s="17" t="s">
        <v>17</v>
      </c>
      <c r="J262" s="27">
        <v>0.1</v>
      </c>
      <c r="K262" s="17" t="s">
        <v>926</v>
      </c>
      <c r="L262" s="32">
        <v>10</v>
      </c>
      <c r="M262" s="32">
        <f>_xlfn.XLOOKUP(Table2_1[[#This Row],[Product Code]],Product_Code,Unit_Price,0)</f>
        <v>11</v>
      </c>
      <c r="N262" s="31">
        <f>DATEDIF(Table2_1[[#This Row],[Buyer Date of Birth]],Table2_1[[#This Row],[Transaction  Date]],"Y")</f>
        <v>24</v>
      </c>
      <c r="O262" s="33">
        <v>4820</v>
      </c>
      <c r="P262" s="33">
        <f>Table2_1[[#This Row],[Quantity Purchased]]*Table2_1[[#This Row],[UnitPrice]]*(1-Table2_1[[#This Row],[Discount]])</f>
        <v>4771.8</v>
      </c>
      <c r="Q262" s="33">
        <f>Table2_1[[#This Row],[Revenue]]-Table2_1[[#This Row],[COGS]]</f>
        <v>-48.199999999999818</v>
      </c>
      <c r="R262" s="39">
        <f>WEEKDAY(Table2_1[[#This Row],[Transaction  Date]])</f>
        <v>1</v>
      </c>
      <c r="S262" s="17" t="str">
        <f>IF(WEEKDAY(Table2_1[[#This Row],[Transaction  Date]],2)&lt;=5,"Weekday","Weekend")</f>
        <v>Weekend</v>
      </c>
      <c r="T262" s="37" t="str">
        <f>FLOOR(Table2_1[[#This Row],[Age]],15)&amp; "-"&amp; FLOOR(Table2_1[[#This Row],[Age]],15)+14</f>
        <v>15-29</v>
      </c>
    </row>
    <row r="263" spans="1:20" x14ac:dyDescent="0.3">
      <c r="A263" s="18">
        <v>45341</v>
      </c>
      <c r="B263" s="17" t="s">
        <v>1176</v>
      </c>
      <c r="C263" s="17" t="s">
        <v>38</v>
      </c>
      <c r="D263" s="18">
        <v>22832</v>
      </c>
      <c r="E263" s="16" t="s">
        <v>20</v>
      </c>
      <c r="F263" s="31">
        <v>496</v>
      </c>
      <c r="G263" s="17" t="s">
        <v>59</v>
      </c>
      <c r="H263" s="17" t="s">
        <v>28</v>
      </c>
      <c r="I263" s="17" t="s">
        <v>17</v>
      </c>
      <c r="J263" s="27">
        <v>0.1</v>
      </c>
      <c r="K263" s="17" t="s">
        <v>932</v>
      </c>
      <c r="L263" s="32">
        <v>19</v>
      </c>
      <c r="M263" s="32">
        <f>_xlfn.XLOOKUP(Table2_1[[#This Row],[Product Code]],Product_Code,Unit_Price,0)</f>
        <v>23</v>
      </c>
      <c r="N263" s="31">
        <f>DATEDIF(Table2_1[[#This Row],[Buyer Date of Birth]],Table2_1[[#This Row],[Transaction  Date]],"Y")</f>
        <v>61</v>
      </c>
      <c r="O263" s="33">
        <v>9424</v>
      </c>
      <c r="P263" s="33">
        <f>Table2_1[[#This Row],[Quantity Purchased]]*Table2_1[[#This Row],[UnitPrice]]*(1-Table2_1[[#This Row],[Discount]])</f>
        <v>10267.200000000001</v>
      </c>
      <c r="Q263" s="33">
        <f>Table2_1[[#This Row],[Revenue]]-Table2_1[[#This Row],[COGS]]</f>
        <v>843.20000000000073</v>
      </c>
      <c r="R263" s="39">
        <f>WEEKDAY(Table2_1[[#This Row],[Transaction  Date]])</f>
        <v>2</v>
      </c>
      <c r="S263" s="17" t="str">
        <f>IF(WEEKDAY(Table2_1[[#This Row],[Transaction  Date]],2)&lt;=5,"Weekday","Weekend")</f>
        <v>Weekday</v>
      </c>
      <c r="T263" s="37" t="str">
        <f>FLOOR(Table2_1[[#This Row],[Age]],15)&amp; "-"&amp; FLOOR(Table2_1[[#This Row],[Age]],15)+14</f>
        <v>60-74</v>
      </c>
    </row>
    <row r="264" spans="1:20" x14ac:dyDescent="0.3">
      <c r="A264" s="18">
        <v>45341</v>
      </c>
      <c r="B264" s="17" t="s">
        <v>1177</v>
      </c>
      <c r="C264" s="17" t="s">
        <v>94</v>
      </c>
      <c r="D264" s="18">
        <v>26289</v>
      </c>
      <c r="E264" s="16" t="s">
        <v>14</v>
      </c>
      <c r="F264" s="31">
        <v>297</v>
      </c>
      <c r="G264" s="17" t="s">
        <v>21</v>
      </c>
      <c r="H264" s="17" t="s">
        <v>52</v>
      </c>
      <c r="I264" s="17" t="s">
        <v>17</v>
      </c>
      <c r="J264" s="27">
        <v>0.1</v>
      </c>
      <c r="K264" s="17" t="s">
        <v>934</v>
      </c>
      <c r="L264" s="32">
        <v>10</v>
      </c>
      <c r="M264" s="32">
        <f>_xlfn.XLOOKUP(Table2_1[[#This Row],[Product Code]],Product_Code,Unit_Price,0)</f>
        <v>45</v>
      </c>
      <c r="N264" s="31">
        <f>DATEDIF(Table2_1[[#This Row],[Buyer Date of Birth]],Table2_1[[#This Row],[Transaction  Date]],"Y")</f>
        <v>52</v>
      </c>
      <c r="O264" s="33">
        <v>2970</v>
      </c>
      <c r="P264" s="33">
        <f>Table2_1[[#This Row],[Quantity Purchased]]*Table2_1[[#This Row],[UnitPrice]]*(1-Table2_1[[#This Row],[Discount]])</f>
        <v>12028.5</v>
      </c>
      <c r="Q264" s="33">
        <f>Table2_1[[#This Row],[Revenue]]-Table2_1[[#This Row],[COGS]]</f>
        <v>9058.5</v>
      </c>
      <c r="R264" s="39">
        <f>WEEKDAY(Table2_1[[#This Row],[Transaction  Date]])</f>
        <v>2</v>
      </c>
      <c r="S264" s="17" t="str">
        <f>IF(WEEKDAY(Table2_1[[#This Row],[Transaction  Date]],2)&lt;=5,"Weekday","Weekend")</f>
        <v>Weekday</v>
      </c>
      <c r="T264" s="37" t="str">
        <f>FLOOR(Table2_1[[#This Row],[Age]],15)&amp; "-"&amp; FLOOR(Table2_1[[#This Row],[Age]],15)+14</f>
        <v>45-59</v>
      </c>
    </row>
    <row r="265" spans="1:20" x14ac:dyDescent="0.3">
      <c r="A265" s="18">
        <v>45341</v>
      </c>
      <c r="B265" s="17" t="s">
        <v>1178</v>
      </c>
      <c r="C265" s="17" t="s">
        <v>55</v>
      </c>
      <c r="D265" s="18">
        <v>38054</v>
      </c>
      <c r="E265" s="16" t="s">
        <v>68</v>
      </c>
      <c r="F265" s="31">
        <v>67</v>
      </c>
      <c r="G265" s="17" t="s">
        <v>59</v>
      </c>
      <c r="H265" s="17" t="s">
        <v>48</v>
      </c>
      <c r="I265" s="17" t="s">
        <v>17</v>
      </c>
      <c r="J265" s="27">
        <v>0.1</v>
      </c>
      <c r="K265" s="17" t="s">
        <v>932</v>
      </c>
      <c r="L265" s="32">
        <v>19</v>
      </c>
      <c r="M265" s="32">
        <f>_xlfn.XLOOKUP(Table2_1[[#This Row],[Product Code]],Product_Code,Unit_Price,0)</f>
        <v>23</v>
      </c>
      <c r="N265" s="31">
        <f>DATEDIF(Table2_1[[#This Row],[Buyer Date of Birth]],Table2_1[[#This Row],[Transaction  Date]],"Y")</f>
        <v>19</v>
      </c>
      <c r="O265" s="33">
        <v>1273</v>
      </c>
      <c r="P265" s="33">
        <f>Table2_1[[#This Row],[Quantity Purchased]]*Table2_1[[#This Row],[UnitPrice]]*(1-Table2_1[[#This Row],[Discount]])</f>
        <v>1386.9</v>
      </c>
      <c r="Q265" s="33">
        <f>Table2_1[[#This Row],[Revenue]]-Table2_1[[#This Row],[COGS]]</f>
        <v>113.90000000000009</v>
      </c>
      <c r="R265" s="39">
        <f>WEEKDAY(Table2_1[[#This Row],[Transaction  Date]])</f>
        <v>2</v>
      </c>
      <c r="S265" s="17" t="str">
        <f>IF(WEEKDAY(Table2_1[[#This Row],[Transaction  Date]],2)&lt;=5,"Weekday","Weekend")</f>
        <v>Weekday</v>
      </c>
      <c r="T265" s="37" t="str">
        <f>FLOOR(Table2_1[[#This Row],[Age]],15)&amp; "-"&amp; FLOOR(Table2_1[[#This Row],[Age]],15)+14</f>
        <v>15-29</v>
      </c>
    </row>
    <row r="266" spans="1:20" x14ac:dyDescent="0.3">
      <c r="A266" s="18">
        <v>45341</v>
      </c>
      <c r="B266" s="17" t="s">
        <v>1179</v>
      </c>
      <c r="C266" s="17" t="s">
        <v>13</v>
      </c>
      <c r="D266" s="18">
        <v>17373</v>
      </c>
      <c r="E266" s="16" t="s">
        <v>68</v>
      </c>
      <c r="F266" s="31">
        <v>79</v>
      </c>
      <c r="G266" s="17" t="s">
        <v>27</v>
      </c>
      <c r="H266" s="17" t="s">
        <v>52</v>
      </c>
      <c r="I266" s="17" t="s">
        <v>17</v>
      </c>
      <c r="J266" s="27">
        <v>0.1</v>
      </c>
      <c r="K266" s="17" t="s">
        <v>927</v>
      </c>
      <c r="L266" s="32">
        <v>18</v>
      </c>
      <c r="M266" s="32">
        <f>_xlfn.XLOOKUP(Table2_1[[#This Row],[Product Code]],Product_Code,Unit_Price,0)</f>
        <v>22</v>
      </c>
      <c r="N266" s="31">
        <f>DATEDIF(Table2_1[[#This Row],[Buyer Date of Birth]],Table2_1[[#This Row],[Transaction  Date]],"Y")</f>
        <v>76</v>
      </c>
      <c r="O266" s="33">
        <v>1422</v>
      </c>
      <c r="P266" s="33">
        <f>Table2_1[[#This Row],[Quantity Purchased]]*Table2_1[[#This Row],[UnitPrice]]*(1-Table2_1[[#This Row],[Discount]])</f>
        <v>1564.2</v>
      </c>
      <c r="Q266" s="33">
        <f>Table2_1[[#This Row],[Revenue]]-Table2_1[[#This Row],[COGS]]</f>
        <v>142.20000000000005</v>
      </c>
      <c r="R266" s="39">
        <f>WEEKDAY(Table2_1[[#This Row],[Transaction  Date]])</f>
        <v>2</v>
      </c>
      <c r="S266" s="17" t="str">
        <f>IF(WEEKDAY(Table2_1[[#This Row],[Transaction  Date]],2)&lt;=5,"Weekday","Weekend")</f>
        <v>Weekday</v>
      </c>
      <c r="T266" s="37" t="str">
        <f>FLOOR(Table2_1[[#This Row],[Age]],15)&amp; "-"&amp; FLOOR(Table2_1[[#This Row],[Age]],15)+14</f>
        <v>75-89</v>
      </c>
    </row>
    <row r="267" spans="1:20" x14ac:dyDescent="0.3">
      <c r="A267" s="18">
        <v>45341</v>
      </c>
      <c r="B267" s="17" t="s">
        <v>1180</v>
      </c>
      <c r="C267" s="17" t="s">
        <v>83</v>
      </c>
      <c r="D267" s="18">
        <v>37601</v>
      </c>
      <c r="E267" s="16" t="s">
        <v>33</v>
      </c>
      <c r="F267" s="31">
        <v>212</v>
      </c>
      <c r="G267" s="17" t="s">
        <v>47</v>
      </c>
      <c r="H267" s="17" t="s">
        <v>52</v>
      </c>
      <c r="I267" s="17" t="s">
        <v>17</v>
      </c>
      <c r="J267" s="27">
        <v>0.1</v>
      </c>
      <c r="K267" s="17" t="s">
        <v>931</v>
      </c>
      <c r="L267" s="32">
        <v>7</v>
      </c>
      <c r="M267" s="32">
        <f>_xlfn.XLOOKUP(Table2_1[[#This Row],[Product Code]],Product_Code,Unit_Price,0)</f>
        <v>9</v>
      </c>
      <c r="N267" s="31">
        <f>DATEDIF(Table2_1[[#This Row],[Buyer Date of Birth]],Table2_1[[#This Row],[Transaction  Date]],"Y")</f>
        <v>21</v>
      </c>
      <c r="O267" s="33">
        <v>1484</v>
      </c>
      <c r="P267" s="33">
        <f>Table2_1[[#This Row],[Quantity Purchased]]*Table2_1[[#This Row],[UnitPrice]]*(1-Table2_1[[#This Row],[Discount]])</f>
        <v>1717.2</v>
      </c>
      <c r="Q267" s="33">
        <f>Table2_1[[#This Row],[Revenue]]-Table2_1[[#This Row],[COGS]]</f>
        <v>233.20000000000005</v>
      </c>
      <c r="R267" s="39">
        <f>WEEKDAY(Table2_1[[#This Row],[Transaction  Date]])</f>
        <v>2</v>
      </c>
      <c r="S267" s="17" t="str">
        <f>IF(WEEKDAY(Table2_1[[#This Row],[Transaction  Date]],2)&lt;=5,"Weekday","Weekend")</f>
        <v>Weekday</v>
      </c>
      <c r="T267" s="37" t="str">
        <f>FLOOR(Table2_1[[#This Row],[Age]],15)&amp; "-"&amp; FLOOR(Table2_1[[#This Row],[Age]],15)+14</f>
        <v>15-29</v>
      </c>
    </row>
    <row r="268" spans="1:20" x14ac:dyDescent="0.3">
      <c r="A268" s="18">
        <v>45341</v>
      </c>
      <c r="B268" s="17" t="s">
        <v>1181</v>
      </c>
      <c r="C268" s="17" t="s">
        <v>94</v>
      </c>
      <c r="D268" s="18">
        <v>19903</v>
      </c>
      <c r="E268" s="16" t="s">
        <v>33</v>
      </c>
      <c r="F268" s="31">
        <v>124</v>
      </c>
      <c r="G268" s="17" t="s">
        <v>21</v>
      </c>
      <c r="H268" s="17" t="s">
        <v>52</v>
      </c>
      <c r="I268" s="17" t="s">
        <v>17</v>
      </c>
      <c r="J268" s="27">
        <v>0.1</v>
      </c>
      <c r="K268" s="17" t="s">
        <v>934</v>
      </c>
      <c r="L268" s="32">
        <v>10</v>
      </c>
      <c r="M268" s="32">
        <f>_xlfn.XLOOKUP(Table2_1[[#This Row],[Product Code]],Product_Code,Unit_Price,0)</f>
        <v>45</v>
      </c>
      <c r="N268" s="31">
        <f>DATEDIF(Table2_1[[#This Row],[Buyer Date of Birth]],Table2_1[[#This Row],[Transaction  Date]],"Y")</f>
        <v>69</v>
      </c>
      <c r="O268" s="33">
        <v>1240</v>
      </c>
      <c r="P268" s="33">
        <f>Table2_1[[#This Row],[Quantity Purchased]]*Table2_1[[#This Row],[UnitPrice]]*(1-Table2_1[[#This Row],[Discount]])</f>
        <v>5022</v>
      </c>
      <c r="Q268" s="33">
        <f>Table2_1[[#This Row],[Revenue]]-Table2_1[[#This Row],[COGS]]</f>
        <v>3782</v>
      </c>
      <c r="R268" s="39">
        <f>WEEKDAY(Table2_1[[#This Row],[Transaction  Date]])</f>
        <v>2</v>
      </c>
      <c r="S268" s="17" t="str">
        <f>IF(WEEKDAY(Table2_1[[#This Row],[Transaction  Date]],2)&lt;=5,"Weekday","Weekend")</f>
        <v>Weekday</v>
      </c>
      <c r="T268" s="37" t="str">
        <f>FLOOR(Table2_1[[#This Row],[Age]],15)&amp; "-"&amp; FLOOR(Table2_1[[#This Row],[Age]],15)+14</f>
        <v>60-74</v>
      </c>
    </row>
    <row r="269" spans="1:20" x14ac:dyDescent="0.3">
      <c r="A269" s="18">
        <v>45342</v>
      </c>
      <c r="B269" s="17" t="s">
        <v>1182</v>
      </c>
      <c r="C269" s="17" t="s">
        <v>13</v>
      </c>
      <c r="D269" s="18">
        <v>20020</v>
      </c>
      <c r="E269" s="16" t="s">
        <v>14</v>
      </c>
      <c r="F269" s="31">
        <v>129</v>
      </c>
      <c r="G269" s="17" t="s">
        <v>15</v>
      </c>
      <c r="H269" s="17" t="s">
        <v>16</v>
      </c>
      <c r="I269" s="17" t="s">
        <v>17</v>
      </c>
      <c r="J269" s="27">
        <v>0.1</v>
      </c>
      <c r="K269" s="17" t="s">
        <v>929</v>
      </c>
      <c r="L269" s="32">
        <v>10</v>
      </c>
      <c r="M269" s="32">
        <f>_xlfn.XLOOKUP(Table2_1[[#This Row],[Product Code]],Product_Code,Unit_Price,0)</f>
        <v>14</v>
      </c>
      <c r="N269" s="31">
        <f>DATEDIF(Table2_1[[#This Row],[Buyer Date of Birth]],Table2_1[[#This Row],[Transaction  Date]],"Y")</f>
        <v>69</v>
      </c>
      <c r="O269" s="33">
        <v>1290</v>
      </c>
      <c r="P269" s="33">
        <f>Table2_1[[#This Row],[Quantity Purchased]]*Table2_1[[#This Row],[UnitPrice]]*(1-Table2_1[[#This Row],[Discount]])</f>
        <v>1625.4</v>
      </c>
      <c r="Q269" s="33">
        <f>Table2_1[[#This Row],[Revenue]]-Table2_1[[#This Row],[COGS]]</f>
        <v>335.40000000000009</v>
      </c>
      <c r="R269" s="39">
        <f>WEEKDAY(Table2_1[[#This Row],[Transaction  Date]])</f>
        <v>3</v>
      </c>
      <c r="S269" s="17" t="str">
        <f>IF(WEEKDAY(Table2_1[[#This Row],[Transaction  Date]],2)&lt;=5,"Weekday","Weekend")</f>
        <v>Weekday</v>
      </c>
      <c r="T269" s="37" t="str">
        <f>FLOOR(Table2_1[[#This Row],[Age]],15)&amp; "-"&amp; FLOOR(Table2_1[[#This Row],[Age]],15)+14</f>
        <v>60-74</v>
      </c>
    </row>
    <row r="270" spans="1:20" x14ac:dyDescent="0.3">
      <c r="A270" s="18">
        <v>45342</v>
      </c>
      <c r="B270" s="17" t="s">
        <v>1847</v>
      </c>
      <c r="C270" s="17" t="s">
        <v>38</v>
      </c>
      <c r="D270" s="18">
        <v>22557</v>
      </c>
      <c r="E270" s="16" t="s">
        <v>20</v>
      </c>
      <c r="F270" s="31">
        <v>428</v>
      </c>
      <c r="G270" s="17" t="s">
        <v>64</v>
      </c>
      <c r="H270" s="17" t="s">
        <v>35</v>
      </c>
      <c r="I270" s="17" t="s">
        <v>17</v>
      </c>
      <c r="J270" s="27">
        <v>0.1</v>
      </c>
      <c r="K270" s="17" t="s">
        <v>933</v>
      </c>
      <c r="L270" s="32">
        <v>5</v>
      </c>
      <c r="M270" s="32">
        <f>_xlfn.XLOOKUP(Table2_1[[#This Row],[Product Code]],Product_Code,Unit_Price,0)</f>
        <v>7</v>
      </c>
      <c r="N270" s="31">
        <f>DATEDIF(Table2_1[[#This Row],[Buyer Date of Birth]],Table2_1[[#This Row],[Transaction  Date]],"Y")</f>
        <v>62</v>
      </c>
      <c r="O270" s="33">
        <v>2140</v>
      </c>
      <c r="P270" s="33">
        <f>Table2_1[[#This Row],[Quantity Purchased]]*Table2_1[[#This Row],[UnitPrice]]*(1-Table2_1[[#This Row],[Discount]])</f>
        <v>2696.4</v>
      </c>
      <c r="Q270" s="33">
        <f>Table2_1[[#This Row],[Revenue]]-Table2_1[[#This Row],[COGS]]</f>
        <v>556.40000000000009</v>
      </c>
      <c r="R270" s="39">
        <f>WEEKDAY(Table2_1[[#This Row],[Transaction  Date]])</f>
        <v>3</v>
      </c>
      <c r="S270" s="17" t="str">
        <f>IF(WEEKDAY(Table2_1[[#This Row],[Transaction  Date]],2)&lt;=5,"Weekday","Weekend")</f>
        <v>Weekday</v>
      </c>
      <c r="T270" s="37" t="str">
        <f>FLOOR(Table2_1[[#This Row],[Age]],15)&amp; "-"&amp; FLOOR(Table2_1[[#This Row],[Age]],15)+14</f>
        <v>60-74</v>
      </c>
    </row>
    <row r="271" spans="1:20" x14ac:dyDescent="0.3">
      <c r="A271" s="18">
        <v>45342</v>
      </c>
      <c r="B271" s="17" t="s">
        <v>1183</v>
      </c>
      <c r="C271" s="17" t="s">
        <v>26</v>
      </c>
      <c r="D271" s="18">
        <v>16792</v>
      </c>
      <c r="E271" s="16" t="s">
        <v>68</v>
      </c>
      <c r="F271" s="31">
        <v>182</v>
      </c>
      <c r="G271" s="17" t="s">
        <v>56</v>
      </c>
      <c r="H271" s="17" t="s">
        <v>52</v>
      </c>
      <c r="I271" s="17" t="s">
        <v>17</v>
      </c>
      <c r="J271" s="27">
        <v>0.1</v>
      </c>
      <c r="K271" s="17" t="s">
        <v>935</v>
      </c>
      <c r="L271" s="32">
        <v>18</v>
      </c>
      <c r="M271" s="32">
        <f>_xlfn.XLOOKUP(Table2_1[[#This Row],[Product Code]],Product_Code,Unit_Price,0)</f>
        <v>36</v>
      </c>
      <c r="N271" s="31">
        <f>DATEDIF(Table2_1[[#This Row],[Buyer Date of Birth]],Table2_1[[#This Row],[Transaction  Date]],"Y")</f>
        <v>78</v>
      </c>
      <c r="O271" s="33">
        <v>3276</v>
      </c>
      <c r="P271" s="33">
        <f>Table2_1[[#This Row],[Quantity Purchased]]*Table2_1[[#This Row],[UnitPrice]]*(1-Table2_1[[#This Row],[Discount]])</f>
        <v>5896.8</v>
      </c>
      <c r="Q271" s="33">
        <f>Table2_1[[#This Row],[Revenue]]-Table2_1[[#This Row],[COGS]]</f>
        <v>2620.8000000000002</v>
      </c>
      <c r="R271" s="39">
        <f>WEEKDAY(Table2_1[[#This Row],[Transaction  Date]])</f>
        <v>3</v>
      </c>
      <c r="S271" s="17" t="str">
        <f>IF(WEEKDAY(Table2_1[[#This Row],[Transaction  Date]],2)&lt;=5,"Weekday","Weekend")</f>
        <v>Weekday</v>
      </c>
      <c r="T271" s="37" t="str">
        <f>FLOOR(Table2_1[[#This Row],[Age]],15)&amp; "-"&amp; FLOOR(Table2_1[[#This Row],[Age]],15)+14</f>
        <v>75-89</v>
      </c>
    </row>
    <row r="272" spans="1:20" x14ac:dyDescent="0.3">
      <c r="A272" s="18">
        <v>45343</v>
      </c>
      <c r="B272" s="17" t="s">
        <v>1184</v>
      </c>
      <c r="C272" s="17" t="s">
        <v>13</v>
      </c>
      <c r="D272" s="18">
        <v>25647</v>
      </c>
      <c r="E272" s="16" t="s">
        <v>20</v>
      </c>
      <c r="F272" s="31">
        <v>32</v>
      </c>
      <c r="G272" s="17" t="s">
        <v>59</v>
      </c>
      <c r="H272" s="17" t="s">
        <v>48</v>
      </c>
      <c r="I272" s="17" t="s">
        <v>17</v>
      </c>
      <c r="J272" s="27">
        <v>0.1</v>
      </c>
      <c r="K272" s="17" t="s">
        <v>932</v>
      </c>
      <c r="L272" s="32">
        <v>19</v>
      </c>
      <c r="M272" s="32">
        <f>_xlfn.XLOOKUP(Table2_1[[#This Row],[Product Code]],Product_Code,Unit_Price,0)</f>
        <v>23</v>
      </c>
      <c r="N272" s="31">
        <f>DATEDIF(Table2_1[[#This Row],[Buyer Date of Birth]],Table2_1[[#This Row],[Transaction  Date]],"Y")</f>
        <v>53</v>
      </c>
      <c r="O272" s="33">
        <v>608</v>
      </c>
      <c r="P272" s="33">
        <f>Table2_1[[#This Row],[Quantity Purchased]]*Table2_1[[#This Row],[UnitPrice]]*(1-Table2_1[[#This Row],[Discount]])</f>
        <v>662.4</v>
      </c>
      <c r="Q272" s="33">
        <f>Table2_1[[#This Row],[Revenue]]-Table2_1[[#This Row],[COGS]]</f>
        <v>54.399999999999977</v>
      </c>
      <c r="R272" s="39">
        <f>WEEKDAY(Table2_1[[#This Row],[Transaction  Date]])</f>
        <v>4</v>
      </c>
      <c r="S272" s="17" t="str">
        <f>IF(WEEKDAY(Table2_1[[#This Row],[Transaction  Date]],2)&lt;=5,"Weekday","Weekend")</f>
        <v>Weekday</v>
      </c>
      <c r="T272" s="37" t="str">
        <f>FLOOR(Table2_1[[#This Row],[Age]],15)&amp; "-"&amp; FLOOR(Table2_1[[#This Row],[Age]],15)+14</f>
        <v>45-59</v>
      </c>
    </row>
    <row r="273" spans="1:20" x14ac:dyDescent="0.3">
      <c r="A273" s="18">
        <v>45344</v>
      </c>
      <c r="B273" s="17" t="s">
        <v>1185</v>
      </c>
      <c r="C273" s="17" t="s">
        <v>83</v>
      </c>
      <c r="D273" s="18">
        <v>24881</v>
      </c>
      <c r="E273" s="16" t="s">
        <v>14</v>
      </c>
      <c r="F273" s="31">
        <v>136</v>
      </c>
      <c r="G273" s="17" t="s">
        <v>47</v>
      </c>
      <c r="H273" s="17" t="s">
        <v>43</v>
      </c>
      <c r="I273" s="17" t="s">
        <v>17</v>
      </c>
      <c r="J273" s="27">
        <v>0.1</v>
      </c>
      <c r="K273" s="17" t="s">
        <v>931</v>
      </c>
      <c r="L273" s="32">
        <v>7</v>
      </c>
      <c r="M273" s="32">
        <f>_xlfn.XLOOKUP(Table2_1[[#This Row],[Product Code]],Product_Code,Unit_Price,0)</f>
        <v>9</v>
      </c>
      <c r="N273" s="31">
        <f>DATEDIF(Table2_1[[#This Row],[Buyer Date of Birth]],Table2_1[[#This Row],[Transaction  Date]],"Y")</f>
        <v>56</v>
      </c>
      <c r="O273" s="33">
        <v>952</v>
      </c>
      <c r="P273" s="33">
        <f>Table2_1[[#This Row],[Quantity Purchased]]*Table2_1[[#This Row],[UnitPrice]]*(1-Table2_1[[#This Row],[Discount]])</f>
        <v>1101.6000000000001</v>
      </c>
      <c r="Q273" s="33">
        <f>Table2_1[[#This Row],[Revenue]]-Table2_1[[#This Row],[COGS]]</f>
        <v>149.60000000000014</v>
      </c>
      <c r="R273" s="39">
        <f>WEEKDAY(Table2_1[[#This Row],[Transaction  Date]])</f>
        <v>5</v>
      </c>
      <c r="S273" s="17" t="str">
        <f>IF(WEEKDAY(Table2_1[[#This Row],[Transaction  Date]],2)&lt;=5,"Weekday","Weekend")</f>
        <v>Weekday</v>
      </c>
      <c r="T273" s="37" t="str">
        <f>FLOOR(Table2_1[[#This Row],[Age]],15)&amp; "-"&amp; FLOOR(Table2_1[[#This Row],[Age]],15)+14</f>
        <v>45-59</v>
      </c>
    </row>
    <row r="274" spans="1:20" x14ac:dyDescent="0.3">
      <c r="A274" s="18">
        <v>45344</v>
      </c>
      <c r="B274" s="17" t="s">
        <v>1186</v>
      </c>
      <c r="C274" s="17" t="s">
        <v>71</v>
      </c>
      <c r="D274" s="18">
        <v>35114</v>
      </c>
      <c r="E274" s="16" t="s">
        <v>14</v>
      </c>
      <c r="F274" s="31">
        <v>64</v>
      </c>
      <c r="G274" s="17" t="s">
        <v>56</v>
      </c>
      <c r="H274" s="17" t="s">
        <v>39</v>
      </c>
      <c r="I274" s="17" t="s">
        <v>17</v>
      </c>
      <c r="J274" s="27">
        <v>0.1</v>
      </c>
      <c r="K274" s="17" t="s">
        <v>935</v>
      </c>
      <c r="L274" s="32">
        <v>18</v>
      </c>
      <c r="M274" s="32">
        <f>_xlfn.XLOOKUP(Table2_1[[#This Row],[Product Code]],Product_Code,Unit_Price,0)</f>
        <v>36</v>
      </c>
      <c r="N274" s="31">
        <f>DATEDIF(Table2_1[[#This Row],[Buyer Date of Birth]],Table2_1[[#This Row],[Transaction  Date]],"Y")</f>
        <v>28</v>
      </c>
      <c r="O274" s="33">
        <v>1152</v>
      </c>
      <c r="P274" s="33">
        <f>Table2_1[[#This Row],[Quantity Purchased]]*Table2_1[[#This Row],[UnitPrice]]*(1-Table2_1[[#This Row],[Discount]])</f>
        <v>2073.6</v>
      </c>
      <c r="Q274" s="33">
        <f>Table2_1[[#This Row],[Revenue]]-Table2_1[[#This Row],[COGS]]</f>
        <v>921.59999999999991</v>
      </c>
      <c r="R274" s="39">
        <f>WEEKDAY(Table2_1[[#This Row],[Transaction  Date]])</f>
        <v>5</v>
      </c>
      <c r="S274" s="17" t="str">
        <f>IF(WEEKDAY(Table2_1[[#This Row],[Transaction  Date]],2)&lt;=5,"Weekday","Weekend")</f>
        <v>Weekday</v>
      </c>
      <c r="T274" s="37" t="str">
        <f>FLOOR(Table2_1[[#This Row],[Age]],15)&amp; "-"&amp; FLOOR(Table2_1[[#This Row],[Age]],15)+14</f>
        <v>15-29</v>
      </c>
    </row>
    <row r="275" spans="1:20" x14ac:dyDescent="0.3">
      <c r="A275" s="18">
        <v>45344</v>
      </c>
      <c r="B275" s="17" t="s">
        <v>1187</v>
      </c>
      <c r="C275" s="17" t="s">
        <v>13</v>
      </c>
      <c r="D275" s="18">
        <v>29483</v>
      </c>
      <c r="E275" s="16" t="s">
        <v>68</v>
      </c>
      <c r="F275" s="31">
        <v>456</v>
      </c>
      <c r="G275" s="17" t="s">
        <v>21</v>
      </c>
      <c r="H275" s="17" t="s">
        <v>43</v>
      </c>
      <c r="I275" s="17" t="s">
        <v>17</v>
      </c>
      <c r="J275" s="27">
        <v>0.1</v>
      </c>
      <c r="K275" s="17" t="s">
        <v>934</v>
      </c>
      <c r="L275" s="32">
        <v>10</v>
      </c>
      <c r="M275" s="32">
        <f>_xlfn.XLOOKUP(Table2_1[[#This Row],[Product Code]],Product_Code,Unit_Price,0)</f>
        <v>45</v>
      </c>
      <c r="N275" s="31">
        <f>DATEDIF(Table2_1[[#This Row],[Buyer Date of Birth]],Table2_1[[#This Row],[Transaction  Date]],"Y")</f>
        <v>43</v>
      </c>
      <c r="O275" s="33">
        <v>4560</v>
      </c>
      <c r="P275" s="33">
        <f>Table2_1[[#This Row],[Quantity Purchased]]*Table2_1[[#This Row],[UnitPrice]]*(1-Table2_1[[#This Row],[Discount]])</f>
        <v>18468</v>
      </c>
      <c r="Q275" s="33">
        <f>Table2_1[[#This Row],[Revenue]]-Table2_1[[#This Row],[COGS]]</f>
        <v>13908</v>
      </c>
      <c r="R275" s="39">
        <f>WEEKDAY(Table2_1[[#This Row],[Transaction  Date]])</f>
        <v>5</v>
      </c>
      <c r="S275" s="17" t="str">
        <f>IF(WEEKDAY(Table2_1[[#This Row],[Transaction  Date]],2)&lt;=5,"Weekday","Weekend")</f>
        <v>Weekday</v>
      </c>
      <c r="T275" s="37" t="str">
        <f>FLOOR(Table2_1[[#This Row],[Age]],15)&amp; "-"&amp; FLOOR(Table2_1[[#This Row],[Age]],15)+14</f>
        <v>30-44</v>
      </c>
    </row>
    <row r="276" spans="1:20" x14ac:dyDescent="0.3">
      <c r="A276" s="18">
        <v>45344</v>
      </c>
      <c r="B276" s="17" t="s">
        <v>996</v>
      </c>
      <c r="C276" s="17" t="s">
        <v>26</v>
      </c>
      <c r="D276" s="18">
        <v>21801</v>
      </c>
      <c r="E276" s="16" t="s">
        <v>68</v>
      </c>
      <c r="F276" s="31">
        <v>30</v>
      </c>
      <c r="G276" s="17" t="s">
        <v>42</v>
      </c>
      <c r="H276" s="17" t="s">
        <v>39</v>
      </c>
      <c r="I276" s="17" t="s">
        <v>17</v>
      </c>
      <c r="J276" s="27">
        <v>0.1</v>
      </c>
      <c r="K276" s="17" t="s">
        <v>926</v>
      </c>
      <c r="L276" s="32">
        <v>10</v>
      </c>
      <c r="M276" s="32">
        <f>_xlfn.XLOOKUP(Table2_1[[#This Row],[Product Code]],Product_Code,Unit_Price,0)</f>
        <v>11</v>
      </c>
      <c r="N276" s="31">
        <f>DATEDIF(Table2_1[[#This Row],[Buyer Date of Birth]],Table2_1[[#This Row],[Transaction  Date]],"Y")</f>
        <v>64</v>
      </c>
      <c r="O276" s="33">
        <v>300</v>
      </c>
      <c r="P276" s="33">
        <f>Table2_1[[#This Row],[Quantity Purchased]]*Table2_1[[#This Row],[UnitPrice]]*(1-Table2_1[[#This Row],[Discount]])</f>
        <v>297</v>
      </c>
      <c r="Q276" s="33">
        <f>Table2_1[[#This Row],[Revenue]]-Table2_1[[#This Row],[COGS]]</f>
        <v>-3</v>
      </c>
      <c r="R276" s="39">
        <f>WEEKDAY(Table2_1[[#This Row],[Transaction  Date]])</f>
        <v>5</v>
      </c>
      <c r="S276" s="17" t="str">
        <f>IF(WEEKDAY(Table2_1[[#This Row],[Transaction  Date]],2)&lt;=5,"Weekday","Weekend")</f>
        <v>Weekday</v>
      </c>
      <c r="T276" s="37" t="str">
        <f>FLOOR(Table2_1[[#This Row],[Age]],15)&amp; "-"&amp; FLOOR(Table2_1[[#This Row],[Age]],15)+14</f>
        <v>60-74</v>
      </c>
    </row>
    <row r="277" spans="1:20" x14ac:dyDescent="0.3">
      <c r="A277" s="18">
        <v>45345</v>
      </c>
      <c r="B277" s="17" t="s">
        <v>1188</v>
      </c>
      <c r="C277" s="17" t="s">
        <v>55</v>
      </c>
      <c r="D277" s="18">
        <v>24492</v>
      </c>
      <c r="E277" s="16" t="s">
        <v>20</v>
      </c>
      <c r="F277" s="31">
        <v>407</v>
      </c>
      <c r="G277" s="17" t="s">
        <v>21</v>
      </c>
      <c r="H277" s="17" t="s">
        <v>52</v>
      </c>
      <c r="I277" s="17" t="s">
        <v>17</v>
      </c>
      <c r="J277" s="27">
        <v>0.1</v>
      </c>
      <c r="K277" s="17" t="s">
        <v>934</v>
      </c>
      <c r="L277" s="32">
        <v>10</v>
      </c>
      <c r="M277" s="32">
        <f>_xlfn.XLOOKUP(Table2_1[[#This Row],[Product Code]],Product_Code,Unit_Price,0)</f>
        <v>45</v>
      </c>
      <c r="N277" s="31">
        <f>DATEDIF(Table2_1[[#This Row],[Buyer Date of Birth]],Table2_1[[#This Row],[Transaction  Date]],"Y")</f>
        <v>57</v>
      </c>
      <c r="O277" s="33">
        <v>4070</v>
      </c>
      <c r="P277" s="33">
        <f>Table2_1[[#This Row],[Quantity Purchased]]*Table2_1[[#This Row],[UnitPrice]]*(1-Table2_1[[#This Row],[Discount]])</f>
        <v>16483.5</v>
      </c>
      <c r="Q277" s="33">
        <f>Table2_1[[#This Row],[Revenue]]-Table2_1[[#This Row],[COGS]]</f>
        <v>12413.5</v>
      </c>
      <c r="R277" s="39">
        <f>WEEKDAY(Table2_1[[#This Row],[Transaction  Date]])</f>
        <v>6</v>
      </c>
      <c r="S277" s="17" t="str">
        <f>IF(WEEKDAY(Table2_1[[#This Row],[Transaction  Date]],2)&lt;=5,"Weekday","Weekend")</f>
        <v>Weekday</v>
      </c>
      <c r="T277" s="37" t="str">
        <f>FLOOR(Table2_1[[#This Row],[Age]],15)&amp; "-"&amp; FLOOR(Table2_1[[#This Row],[Age]],15)+14</f>
        <v>45-59</v>
      </c>
    </row>
    <row r="278" spans="1:20" x14ac:dyDescent="0.3">
      <c r="A278" s="18">
        <v>45345</v>
      </c>
      <c r="B278" s="17" t="s">
        <v>1189</v>
      </c>
      <c r="C278" s="17" t="s">
        <v>78</v>
      </c>
      <c r="D278" s="18">
        <v>20563</v>
      </c>
      <c r="E278" s="16" t="s">
        <v>33</v>
      </c>
      <c r="F278" s="31">
        <v>265</v>
      </c>
      <c r="G278" s="17" t="s">
        <v>42</v>
      </c>
      <c r="H278" s="17" t="s">
        <v>39</v>
      </c>
      <c r="I278" s="17" t="s">
        <v>17</v>
      </c>
      <c r="J278" s="27">
        <v>0.1</v>
      </c>
      <c r="K278" s="17" t="s">
        <v>926</v>
      </c>
      <c r="L278" s="32">
        <v>10</v>
      </c>
      <c r="M278" s="32">
        <f>_xlfn.XLOOKUP(Table2_1[[#This Row],[Product Code]],Product_Code,Unit_Price,0)</f>
        <v>11</v>
      </c>
      <c r="N278" s="31">
        <f>DATEDIF(Table2_1[[#This Row],[Buyer Date of Birth]],Table2_1[[#This Row],[Transaction  Date]],"Y")</f>
        <v>67</v>
      </c>
      <c r="O278" s="33">
        <v>2650</v>
      </c>
      <c r="P278" s="33">
        <f>Table2_1[[#This Row],[Quantity Purchased]]*Table2_1[[#This Row],[UnitPrice]]*(1-Table2_1[[#This Row],[Discount]])</f>
        <v>2623.5</v>
      </c>
      <c r="Q278" s="33">
        <f>Table2_1[[#This Row],[Revenue]]-Table2_1[[#This Row],[COGS]]</f>
        <v>-26.5</v>
      </c>
      <c r="R278" s="39">
        <f>WEEKDAY(Table2_1[[#This Row],[Transaction  Date]])</f>
        <v>6</v>
      </c>
      <c r="S278" s="17" t="str">
        <f>IF(WEEKDAY(Table2_1[[#This Row],[Transaction  Date]],2)&lt;=5,"Weekday","Weekend")</f>
        <v>Weekday</v>
      </c>
      <c r="T278" s="37" t="str">
        <f>FLOOR(Table2_1[[#This Row],[Age]],15)&amp; "-"&amp; FLOOR(Table2_1[[#This Row],[Age]],15)+14</f>
        <v>60-74</v>
      </c>
    </row>
    <row r="279" spans="1:20" x14ac:dyDescent="0.3">
      <c r="A279" s="18">
        <v>45345</v>
      </c>
      <c r="B279" s="17" t="s">
        <v>1190</v>
      </c>
      <c r="C279" s="17" t="s">
        <v>51</v>
      </c>
      <c r="D279" s="18">
        <v>36850</v>
      </c>
      <c r="E279" s="16" t="s">
        <v>33</v>
      </c>
      <c r="F279" s="31">
        <v>322</v>
      </c>
      <c r="G279" s="17" t="s">
        <v>34</v>
      </c>
      <c r="H279" s="17" t="s">
        <v>28</v>
      </c>
      <c r="I279" s="17" t="s">
        <v>17</v>
      </c>
      <c r="J279" s="27">
        <v>0.1</v>
      </c>
      <c r="K279" s="17" t="s">
        <v>930</v>
      </c>
      <c r="L279" s="32">
        <v>14</v>
      </c>
      <c r="M279" s="32">
        <f>_xlfn.XLOOKUP(Table2_1[[#This Row],[Product Code]],Product_Code,Unit_Price,0)</f>
        <v>28</v>
      </c>
      <c r="N279" s="31">
        <f>DATEDIF(Table2_1[[#This Row],[Buyer Date of Birth]],Table2_1[[#This Row],[Transaction  Date]],"Y")</f>
        <v>23</v>
      </c>
      <c r="O279" s="33">
        <v>4508</v>
      </c>
      <c r="P279" s="33">
        <f>Table2_1[[#This Row],[Quantity Purchased]]*Table2_1[[#This Row],[UnitPrice]]*(1-Table2_1[[#This Row],[Discount]])</f>
        <v>8114.4000000000005</v>
      </c>
      <c r="Q279" s="33">
        <f>Table2_1[[#This Row],[Revenue]]-Table2_1[[#This Row],[COGS]]</f>
        <v>3606.4000000000005</v>
      </c>
      <c r="R279" s="39">
        <f>WEEKDAY(Table2_1[[#This Row],[Transaction  Date]])</f>
        <v>6</v>
      </c>
      <c r="S279" s="17" t="str">
        <f>IF(WEEKDAY(Table2_1[[#This Row],[Transaction  Date]],2)&lt;=5,"Weekday","Weekend")</f>
        <v>Weekday</v>
      </c>
      <c r="T279" s="37" t="str">
        <f>FLOOR(Table2_1[[#This Row],[Age]],15)&amp; "-"&amp; FLOOR(Table2_1[[#This Row],[Age]],15)+14</f>
        <v>15-29</v>
      </c>
    </row>
    <row r="280" spans="1:20" x14ac:dyDescent="0.3">
      <c r="A280" s="18">
        <v>45346</v>
      </c>
      <c r="B280" s="17" t="s">
        <v>1191</v>
      </c>
      <c r="C280" s="17" t="s">
        <v>78</v>
      </c>
      <c r="D280" s="18">
        <v>26656</v>
      </c>
      <c r="E280" s="16" t="s">
        <v>14</v>
      </c>
      <c r="F280" s="31">
        <v>150</v>
      </c>
      <c r="G280" s="17" t="s">
        <v>42</v>
      </c>
      <c r="H280" s="17" t="s">
        <v>52</v>
      </c>
      <c r="I280" s="17" t="s">
        <v>17</v>
      </c>
      <c r="J280" s="27">
        <v>0.1</v>
      </c>
      <c r="K280" s="17" t="s">
        <v>926</v>
      </c>
      <c r="L280" s="32">
        <v>10</v>
      </c>
      <c r="M280" s="32">
        <f>_xlfn.XLOOKUP(Table2_1[[#This Row],[Product Code]],Product_Code,Unit_Price,0)</f>
        <v>11</v>
      </c>
      <c r="N280" s="31">
        <f>DATEDIF(Table2_1[[#This Row],[Buyer Date of Birth]],Table2_1[[#This Row],[Transaction  Date]],"Y")</f>
        <v>51</v>
      </c>
      <c r="O280" s="33">
        <v>1500</v>
      </c>
      <c r="P280" s="33">
        <f>Table2_1[[#This Row],[Quantity Purchased]]*Table2_1[[#This Row],[UnitPrice]]*(1-Table2_1[[#This Row],[Discount]])</f>
        <v>1485</v>
      </c>
      <c r="Q280" s="33">
        <f>Table2_1[[#This Row],[Revenue]]-Table2_1[[#This Row],[COGS]]</f>
        <v>-15</v>
      </c>
      <c r="R280" s="39">
        <f>WEEKDAY(Table2_1[[#This Row],[Transaction  Date]])</f>
        <v>7</v>
      </c>
      <c r="S280" s="17" t="str">
        <f>IF(WEEKDAY(Table2_1[[#This Row],[Transaction  Date]],2)&lt;=5,"Weekday","Weekend")</f>
        <v>Weekend</v>
      </c>
      <c r="T280" s="37" t="str">
        <f>FLOOR(Table2_1[[#This Row],[Age]],15)&amp; "-"&amp; FLOOR(Table2_1[[#This Row],[Age]],15)+14</f>
        <v>45-59</v>
      </c>
    </row>
    <row r="281" spans="1:20" x14ac:dyDescent="0.3">
      <c r="A281" s="18">
        <v>45346</v>
      </c>
      <c r="B281" s="17" t="s">
        <v>1192</v>
      </c>
      <c r="C281" s="17" t="s">
        <v>13</v>
      </c>
      <c r="D281" s="18">
        <v>28648</v>
      </c>
      <c r="E281" s="16" t="s">
        <v>68</v>
      </c>
      <c r="F281" s="31">
        <v>349</v>
      </c>
      <c r="G281" s="17" t="s">
        <v>65</v>
      </c>
      <c r="H281" s="17" t="s">
        <v>35</v>
      </c>
      <c r="I281" s="17" t="s">
        <v>23</v>
      </c>
      <c r="J281" s="27">
        <v>0.1</v>
      </c>
      <c r="K281" s="17" t="s">
        <v>928</v>
      </c>
      <c r="L281" s="32">
        <v>3</v>
      </c>
      <c r="M281" s="32">
        <f>_xlfn.XLOOKUP(Table2_1[[#This Row],[Product Code]],Product_Code,Unit_Price,0)</f>
        <v>5</v>
      </c>
      <c r="N281" s="31">
        <f>DATEDIF(Table2_1[[#This Row],[Buyer Date of Birth]],Table2_1[[#This Row],[Transaction  Date]],"Y")</f>
        <v>45</v>
      </c>
      <c r="O281" s="33">
        <v>1047</v>
      </c>
      <c r="P281" s="33">
        <f>Table2_1[[#This Row],[Quantity Purchased]]*Table2_1[[#This Row],[UnitPrice]]*(1-Table2_1[[#This Row],[Discount]])</f>
        <v>1570.5</v>
      </c>
      <c r="Q281" s="33">
        <f>Table2_1[[#This Row],[Revenue]]-Table2_1[[#This Row],[COGS]]</f>
        <v>523.5</v>
      </c>
      <c r="R281" s="39">
        <f>WEEKDAY(Table2_1[[#This Row],[Transaction  Date]])</f>
        <v>7</v>
      </c>
      <c r="S281" s="17" t="str">
        <f>IF(WEEKDAY(Table2_1[[#This Row],[Transaction  Date]],2)&lt;=5,"Weekday","Weekend")</f>
        <v>Weekend</v>
      </c>
      <c r="T281" s="37" t="str">
        <f>FLOOR(Table2_1[[#This Row],[Age]],15)&amp; "-"&amp; FLOOR(Table2_1[[#This Row],[Age]],15)+14</f>
        <v>45-59</v>
      </c>
    </row>
    <row r="282" spans="1:20" x14ac:dyDescent="0.3">
      <c r="A282" s="18">
        <v>45346</v>
      </c>
      <c r="B282" s="17" t="s">
        <v>1193</v>
      </c>
      <c r="C282" s="17" t="s">
        <v>83</v>
      </c>
      <c r="D282" s="18">
        <v>30406</v>
      </c>
      <c r="E282" s="16" t="s">
        <v>68</v>
      </c>
      <c r="F282" s="31">
        <v>146</v>
      </c>
      <c r="G282" s="17" t="s">
        <v>47</v>
      </c>
      <c r="H282" s="17" t="s">
        <v>52</v>
      </c>
      <c r="I282" s="17" t="s">
        <v>17</v>
      </c>
      <c r="J282" s="27">
        <v>0.1</v>
      </c>
      <c r="K282" s="17" t="s">
        <v>931</v>
      </c>
      <c r="L282" s="32">
        <v>7</v>
      </c>
      <c r="M282" s="32">
        <f>_xlfn.XLOOKUP(Table2_1[[#This Row],[Product Code]],Product_Code,Unit_Price,0)</f>
        <v>9</v>
      </c>
      <c r="N282" s="31">
        <f>DATEDIF(Table2_1[[#This Row],[Buyer Date of Birth]],Table2_1[[#This Row],[Transaction  Date]],"Y")</f>
        <v>40</v>
      </c>
      <c r="O282" s="33">
        <v>1022</v>
      </c>
      <c r="P282" s="33">
        <f>Table2_1[[#This Row],[Quantity Purchased]]*Table2_1[[#This Row],[UnitPrice]]*(1-Table2_1[[#This Row],[Discount]])</f>
        <v>1182.6000000000001</v>
      </c>
      <c r="Q282" s="33">
        <f>Table2_1[[#This Row],[Revenue]]-Table2_1[[#This Row],[COGS]]</f>
        <v>160.60000000000014</v>
      </c>
      <c r="R282" s="39">
        <f>WEEKDAY(Table2_1[[#This Row],[Transaction  Date]])</f>
        <v>7</v>
      </c>
      <c r="S282" s="17" t="str">
        <f>IF(WEEKDAY(Table2_1[[#This Row],[Transaction  Date]],2)&lt;=5,"Weekday","Weekend")</f>
        <v>Weekend</v>
      </c>
      <c r="T282" s="37" t="str">
        <f>FLOOR(Table2_1[[#This Row],[Age]],15)&amp; "-"&amp; FLOOR(Table2_1[[#This Row],[Age]],15)+14</f>
        <v>30-44</v>
      </c>
    </row>
    <row r="283" spans="1:20" x14ac:dyDescent="0.3">
      <c r="A283" s="18">
        <v>45346</v>
      </c>
      <c r="B283" s="17" t="s">
        <v>1194</v>
      </c>
      <c r="C283" s="17" t="s">
        <v>71</v>
      </c>
      <c r="D283" s="18">
        <v>35587</v>
      </c>
      <c r="E283" s="16" t="s">
        <v>20</v>
      </c>
      <c r="F283" s="31">
        <v>401</v>
      </c>
      <c r="G283" s="17" t="s">
        <v>15</v>
      </c>
      <c r="H283" s="17" t="s">
        <v>48</v>
      </c>
      <c r="I283" s="17" t="s">
        <v>17</v>
      </c>
      <c r="J283" s="27">
        <v>0.1</v>
      </c>
      <c r="K283" s="17" t="s">
        <v>929</v>
      </c>
      <c r="L283" s="32">
        <v>10</v>
      </c>
      <c r="M283" s="32">
        <f>_xlfn.XLOOKUP(Table2_1[[#This Row],[Product Code]],Product_Code,Unit_Price,0)</f>
        <v>14</v>
      </c>
      <c r="N283" s="31">
        <f>DATEDIF(Table2_1[[#This Row],[Buyer Date of Birth]],Table2_1[[#This Row],[Transaction  Date]],"Y")</f>
        <v>26</v>
      </c>
      <c r="O283" s="33">
        <v>4010</v>
      </c>
      <c r="P283" s="33">
        <f>Table2_1[[#This Row],[Quantity Purchased]]*Table2_1[[#This Row],[UnitPrice]]*(1-Table2_1[[#This Row],[Discount]])</f>
        <v>5052.6000000000004</v>
      </c>
      <c r="Q283" s="33">
        <f>Table2_1[[#This Row],[Revenue]]-Table2_1[[#This Row],[COGS]]</f>
        <v>1042.6000000000004</v>
      </c>
      <c r="R283" s="39">
        <f>WEEKDAY(Table2_1[[#This Row],[Transaction  Date]])</f>
        <v>7</v>
      </c>
      <c r="S283" s="17" t="str">
        <f>IF(WEEKDAY(Table2_1[[#This Row],[Transaction  Date]],2)&lt;=5,"Weekday","Weekend")</f>
        <v>Weekend</v>
      </c>
      <c r="T283" s="37" t="str">
        <f>FLOOR(Table2_1[[#This Row],[Age]],15)&amp; "-"&amp; FLOOR(Table2_1[[#This Row],[Age]],15)+14</f>
        <v>15-29</v>
      </c>
    </row>
    <row r="284" spans="1:20" x14ac:dyDescent="0.3">
      <c r="A284" s="18">
        <v>45346</v>
      </c>
      <c r="B284" s="17" t="s">
        <v>1195</v>
      </c>
      <c r="C284" s="17" t="s">
        <v>51</v>
      </c>
      <c r="D284" s="18">
        <v>27955</v>
      </c>
      <c r="E284" s="16" t="s">
        <v>20</v>
      </c>
      <c r="F284" s="31">
        <v>81</v>
      </c>
      <c r="G284" s="17" t="s">
        <v>27</v>
      </c>
      <c r="H284" s="17" t="s">
        <v>35</v>
      </c>
      <c r="I284" s="17" t="s">
        <v>17</v>
      </c>
      <c r="J284" s="27">
        <v>0.1</v>
      </c>
      <c r="K284" s="17" t="s">
        <v>927</v>
      </c>
      <c r="L284" s="32">
        <v>18</v>
      </c>
      <c r="M284" s="32">
        <f>_xlfn.XLOOKUP(Table2_1[[#This Row],[Product Code]],Product_Code,Unit_Price,0)</f>
        <v>22</v>
      </c>
      <c r="N284" s="31">
        <f>DATEDIF(Table2_1[[#This Row],[Buyer Date of Birth]],Table2_1[[#This Row],[Transaction  Date]],"Y")</f>
        <v>47</v>
      </c>
      <c r="O284" s="33">
        <v>1458</v>
      </c>
      <c r="P284" s="33">
        <f>Table2_1[[#This Row],[Quantity Purchased]]*Table2_1[[#This Row],[UnitPrice]]*(1-Table2_1[[#This Row],[Discount]])</f>
        <v>1603.8</v>
      </c>
      <c r="Q284" s="33">
        <f>Table2_1[[#This Row],[Revenue]]-Table2_1[[#This Row],[COGS]]</f>
        <v>145.79999999999995</v>
      </c>
      <c r="R284" s="39">
        <f>WEEKDAY(Table2_1[[#This Row],[Transaction  Date]])</f>
        <v>7</v>
      </c>
      <c r="S284" s="17" t="str">
        <f>IF(WEEKDAY(Table2_1[[#This Row],[Transaction  Date]],2)&lt;=5,"Weekday","Weekend")</f>
        <v>Weekend</v>
      </c>
      <c r="T284" s="37" t="str">
        <f>FLOOR(Table2_1[[#This Row],[Age]],15)&amp; "-"&amp; FLOOR(Table2_1[[#This Row],[Age]],15)+14</f>
        <v>45-59</v>
      </c>
    </row>
    <row r="285" spans="1:20" x14ac:dyDescent="0.3">
      <c r="A285" s="18">
        <v>45346</v>
      </c>
      <c r="B285" s="17" t="s">
        <v>1196</v>
      </c>
      <c r="C285" s="17" t="s">
        <v>71</v>
      </c>
      <c r="D285" s="18">
        <v>16241</v>
      </c>
      <c r="E285" s="16" t="s">
        <v>14</v>
      </c>
      <c r="F285" s="31">
        <v>298</v>
      </c>
      <c r="G285" s="17" t="s">
        <v>47</v>
      </c>
      <c r="H285" s="17" t="s">
        <v>48</v>
      </c>
      <c r="I285" s="17" t="s">
        <v>17</v>
      </c>
      <c r="J285" s="27">
        <v>0.1</v>
      </c>
      <c r="K285" s="17" t="s">
        <v>931</v>
      </c>
      <c r="L285" s="32">
        <v>7</v>
      </c>
      <c r="M285" s="32">
        <f>_xlfn.XLOOKUP(Table2_1[[#This Row],[Product Code]],Product_Code,Unit_Price,0)</f>
        <v>9</v>
      </c>
      <c r="N285" s="31">
        <f>DATEDIF(Table2_1[[#This Row],[Buyer Date of Birth]],Table2_1[[#This Row],[Transaction  Date]],"Y")</f>
        <v>79</v>
      </c>
      <c r="O285" s="33">
        <v>2086</v>
      </c>
      <c r="P285" s="33">
        <f>Table2_1[[#This Row],[Quantity Purchased]]*Table2_1[[#This Row],[UnitPrice]]*(1-Table2_1[[#This Row],[Discount]])</f>
        <v>2413.8000000000002</v>
      </c>
      <c r="Q285" s="33">
        <f>Table2_1[[#This Row],[Revenue]]-Table2_1[[#This Row],[COGS]]</f>
        <v>327.80000000000018</v>
      </c>
      <c r="R285" s="39">
        <f>WEEKDAY(Table2_1[[#This Row],[Transaction  Date]])</f>
        <v>7</v>
      </c>
      <c r="S285" s="17" t="str">
        <f>IF(WEEKDAY(Table2_1[[#This Row],[Transaction  Date]],2)&lt;=5,"Weekday","Weekend")</f>
        <v>Weekend</v>
      </c>
      <c r="T285" s="37" t="str">
        <f>FLOOR(Table2_1[[#This Row],[Age]],15)&amp; "-"&amp; FLOOR(Table2_1[[#This Row],[Age]],15)+14</f>
        <v>75-89</v>
      </c>
    </row>
    <row r="286" spans="1:20" x14ac:dyDescent="0.3">
      <c r="A286" s="18">
        <v>45346</v>
      </c>
      <c r="B286" s="17" t="s">
        <v>1197</v>
      </c>
      <c r="C286" s="17" t="s">
        <v>71</v>
      </c>
      <c r="D286" s="18">
        <v>31863</v>
      </c>
      <c r="E286" s="16" t="s">
        <v>14</v>
      </c>
      <c r="F286" s="31">
        <v>307</v>
      </c>
      <c r="G286" s="17" t="s">
        <v>56</v>
      </c>
      <c r="H286" s="17" t="s">
        <v>28</v>
      </c>
      <c r="I286" s="17" t="s">
        <v>17</v>
      </c>
      <c r="J286" s="27">
        <v>0.1</v>
      </c>
      <c r="K286" s="17" t="s">
        <v>935</v>
      </c>
      <c r="L286" s="32">
        <v>18</v>
      </c>
      <c r="M286" s="32">
        <f>_xlfn.XLOOKUP(Table2_1[[#This Row],[Product Code]],Product_Code,Unit_Price,0)</f>
        <v>36</v>
      </c>
      <c r="N286" s="31">
        <f>DATEDIF(Table2_1[[#This Row],[Buyer Date of Birth]],Table2_1[[#This Row],[Transaction  Date]],"Y")</f>
        <v>36</v>
      </c>
      <c r="O286" s="33">
        <v>5526</v>
      </c>
      <c r="P286" s="33">
        <f>Table2_1[[#This Row],[Quantity Purchased]]*Table2_1[[#This Row],[UnitPrice]]*(1-Table2_1[[#This Row],[Discount]])</f>
        <v>9946.8000000000011</v>
      </c>
      <c r="Q286" s="33">
        <f>Table2_1[[#This Row],[Revenue]]-Table2_1[[#This Row],[COGS]]</f>
        <v>4420.8000000000011</v>
      </c>
      <c r="R286" s="39">
        <f>WEEKDAY(Table2_1[[#This Row],[Transaction  Date]])</f>
        <v>7</v>
      </c>
      <c r="S286" s="17" t="str">
        <f>IF(WEEKDAY(Table2_1[[#This Row],[Transaction  Date]],2)&lt;=5,"Weekday","Weekend")</f>
        <v>Weekend</v>
      </c>
      <c r="T286" s="37" t="str">
        <f>FLOOR(Table2_1[[#This Row],[Age]],15)&amp; "-"&amp; FLOOR(Table2_1[[#This Row],[Age]],15)+14</f>
        <v>30-44</v>
      </c>
    </row>
    <row r="287" spans="1:20" x14ac:dyDescent="0.3">
      <c r="A287" s="18">
        <v>45346</v>
      </c>
      <c r="B287" s="17" t="s">
        <v>1198</v>
      </c>
      <c r="C287" s="17" t="s">
        <v>26</v>
      </c>
      <c r="D287" s="18">
        <v>35116</v>
      </c>
      <c r="E287" s="16" t="s">
        <v>14</v>
      </c>
      <c r="F287" s="31">
        <v>31</v>
      </c>
      <c r="G287" s="17" t="s">
        <v>42</v>
      </c>
      <c r="H287" s="17" t="s">
        <v>43</v>
      </c>
      <c r="I287" s="17" t="s">
        <v>17</v>
      </c>
      <c r="J287" s="27">
        <v>0.1</v>
      </c>
      <c r="K287" s="17" t="s">
        <v>926</v>
      </c>
      <c r="L287" s="32">
        <v>10</v>
      </c>
      <c r="M287" s="32">
        <f>_xlfn.XLOOKUP(Table2_1[[#This Row],[Product Code]],Product_Code,Unit_Price,0)</f>
        <v>11</v>
      </c>
      <c r="N287" s="31">
        <f>DATEDIF(Table2_1[[#This Row],[Buyer Date of Birth]],Table2_1[[#This Row],[Transaction  Date]],"Y")</f>
        <v>28</v>
      </c>
      <c r="O287" s="33">
        <v>310</v>
      </c>
      <c r="P287" s="33">
        <f>Table2_1[[#This Row],[Quantity Purchased]]*Table2_1[[#This Row],[UnitPrice]]*(1-Table2_1[[#This Row],[Discount]])</f>
        <v>306.90000000000003</v>
      </c>
      <c r="Q287" s="33">
        <f>Table2_1[[#This Row],[Revenue]]-Table2_1[[#This Row],[COGS]]</f>
        <v>-3.0999999999999659</v>
      </c>
      <c r="R287" s="39">
        <f>WEEKDAY(Table2_1[[#This Row],[Transaction  Date]])</f>
        <v>7</v>
      </c>
      <c r="S287" s="17" t="str">
        <f>IF(WEEKDAY(Table2_1[[#This Row],[Transaction  Date]],2)&lt;=5,"Weekday","Weekend")</f>
        <v>Weekend</v>
      </c>
      <c r="T287" s="37" t="str">
        <f>FLOOR(Table2_1[[#This Row],[Age]],15)&amp; "-"&amp; FLOOR(Table2_1[[#This Row],[Age]],15)+14</f>
        <v>15-29</v>
      </c>
    </row>
    <row r="288" spans="1:20" x14ac:dyDescent="0.3">
      <c r="A288" s="18">
        <v>45347</v>
      </c>
      <c r="B288" s="17" t="s">
        <v>1199</v>
      </c>
      <c r="C288" s="17" t="s">
        <v>83</v>
      </c>
      <c r="D288" s="18">
        <v>21451</v>
      </c>
      <c r="E288" s="16" t="s">
        <v>20</v>
      </c>
      <c r="F288" s="31">
        <v>276</v>
      </c>
      <c r="G288" s="17" t="s">
        <v>65</v>
      </c>
      <c r="H288" s="17" t="s">
        <v>52</v>
      </c>
      <c r="I288" s="17" t="s">
        <v>17</v>
      </c>
      <c r="J288" s="27">
        <v>0.1</v>
      </c>
      <c r="K288" s="17" t="s">
        <v>928</v>
      </c>
      <c r="L288" s="32">
        <v>3</v>
      </c>
      <c r="M288" s="32">
        <f>_xlfn.XLOOKUP(Table2_1[[#This Row],[Product Code]],Product_Code,Unit_Price,0)</f>
        <v>5</v>
      </c>
      <c r="N288" s="31">
        <f>DATEDIF(Table2_1[[#This Row],[Buyer Date of Birth]],Table2_1[[#This Row],[Transaction  Date]],"Y")</f>
        <v>65</v>
      </c>
      <c r="O288" s="33">
        <v>828</v>
      </c>
      <c r="P288" s="33">
        <f>Table2_1[[#This Row],[Quantity Purchased]]*Table2_1[[#This Row],[UnitPrice]]*(1-Table2_1[[#This Row],[Discount]])</f>
        <v>1242</v>
      </c>
      <c r="Q288" s="33">
        <f>Table2_1[[#This Row],[Revenue]]-Table2_1[[#This Row],[COGS]]</f>
        <v>414</v>
      </c>
      <c r="R288" s="39">
        <f>WEEKDAY(Table2_1[[#This Row],[Transaction  Date]])</f>
        <v>1</v>
      </c>
      <c r="S288" s="17" t="str">
        <f>IF(WEEKDAY(Table2_1[[#This Row],[Transaction  Date]],2)&lt;=5,"Weekday","Weekend")</f>
        <v>Weekend</v>
      </c>
      <c r="T288" s="37" t="str">
        <f>FLOOR(Table2_1[[#This Row],[Age]],15)&amp; "-"&amp; FLOOR(Table2_1[[#This Row],[Age]],15)+14</f>
        <v>60-74</v>
      </c>
    </row>
    <row r="289" spans="1:20" x14ac:dyDescent="0.3">
      <c r="A289" s="18">
        <v>45347</v>
      </c>
      <c r="B289" s="17" t="s">
        <v>1200</v>
      </c>
      <c r="C289" s="17" t="s">
        <v>55</v>
      </c>
      <c r="D289" s="18">
        <v>25525</v>
      </c>
      <c r="E289" s="16" t="s">
        <v>20</v>
      </c>
      <c r="F289" s="31">
        <v>387</v>
      </c>
      <c r="G289" s="17" t="s">
        <v>47</v>
      </c>
      <c r="H289" s="17" t="s">
        <v>48</v>
      </c>
      <c r="I289" s="17" t="s">
        <v>17</v>
      </c>
      <c r="J289" s="27">
        <v>0.1</v>
      </c>
      <c r="K289" s="17" t="s">
        <v>931</v>
      </c>
      <c r="L289" s="32">
        <v>7</v>
      </c>
      <c r="M289" s="32">
        <f>_xlfn.XLOOKUP(Table2_1[[#This Row],[Product Code]],Product_Code,Unit_Price,0)</f>
        <v>9</v>
      </c>
      <c r="N289" s="31">
        <f>DATEDIF(Table2_1[[#This Row],[Buyer Date of Birth]],Table2_1[[#This Row],[Transaction  Date]],"Y")</f>
        <v>54</v>
      </c>
      <c r="O289" s="33">
        <v>2709</v>
      </c>
      <c r="P289" s="33">
        <f>Table2_1[[#This Row],[Quantity Purchased]]*Table2_1[[#This Row],[UnitPrice]]*(1-Table2_1[[#This Row],[Discount]])</f>
        <v>3134.7000000000003</v>
      </c>
      <c r="Q289" s="33">
        <f>Table2_1[[#This Row],[Revenue]]-Table2_1[[#This Row],[COGS]]</f>
        <v>425.70000000000027</v>
      </c>
      <c r="R289" s="39">
        <f>WEEKDAY(Table2_1[[#This Row],[Transaction  Date]])</f>
        <v>1</v>
      </c>
      <c r="S289" s="17" t="str">
        <f>IF(WEEKDAY(Table2_1[[#This Row],[Transaction  Date]],2)&lt;=5,"Weekday","Weekend")</f>
        <v>Weekend</v>
      </c>
      <c r="T289" s="37" t="str">
        <f>FLOOR(Table2_1[[#This Row],[Age]],15)&amp; "-"&amp; FLOOR(Table2_1[[#This Row],[Age]],15)+14</f>
        <v>45-59</v>
      </c>
    </row>
    <row r="290" spans="1:20" x14ac:dyDescent="0.3">
      <c r="A290" s="18">
        <v>45347</v>
      </c>
      <c r="B290" s="17" t="s">
        <v>1201</v>
      </c>
      <c r="C290" s="17" t="s">
        <v>13</v>
      </c>
      <c r="D290" s="18">
        <v>29264</v>
      </c>
      <c r="E290" s="16" t="s">
        <v>33</v>
      </c>
      <c r="F290" s="31">
        <v>74</v>
      </c>
      <c r="G290" s="17" t="s">
        <v>34</v>
      </c>
      <c r="H290" s="17" t="s">
        <v>48</v>
      </c>
      <c r="I290" s="17" t="s">
        <v>17</v>
      </c>
      <c r="J290" s="27">
        <v>0.1</v>
      </c>
      <c r="K290" s="17" t="s">
        <v>930</v>
      </c>
      <c r="L290" s="32">
        <v>14</v>
      </c>
      <c r="M290" s="32">
        <f>_xlfn.XLOOKUP(Table2_1[[#This Row],[Product Code]],Product_Code,Unit_Price,0)</f>
        <v>28</v>
      </c>
      <c r="N290" s="31">
        <f>DATEDIF(Table2_1[[#This Row],[Buyer Date of Birth]],Table2_1[[#This Row],[Transaction  Date]],"Y")</f>
        <v>44</v>
      </c>
      <c r="O290" s="33">
        <v>1036</v>
      </c>
      <c r="P290" s="33">
        <f>Table2_1[[#This Row],[Quantity Purchased]]*Table2_1[[#This Row],[UnitPrice]]*(1-Table2_1[[#This Row],[Discount]])</f>
        <v>1864.8</v>
      </c>
      <c r="Q290" s="33">
        <f>Table2_1[[#This Row],[Revenue]]-Table2_1[[#This Row],[COGS]]</f>
        <v>828.8</v>
      </c>
      <c r="R290" s="39">
        <f>WEEKDAY(Table2_1[[#This Row],[Transaction  Date]])</f>
        <v>1</v>
      </c>
      <c r="S290" s="17" t="str">
        <f>IF(WEEKDAY(Table2_1[[#This Row],[Transaction  Date]],2)&lt;=5,"Weekday","Weekend")</f>
        <v>Weekend</v>
      </c>
      <c r="T290" s="37" t="str">
        <f>FLOOR(Table2_1[[#This Row],[Age]],15)&amp; "-"&amp; FLOOR(Table2_1[[#This Row],[Age]],15)+14</f>
        <v>30-44</v>
      </c>
    </row>
    <row r="291" spans="1:20" x14ac:dyDescent="0.3">
      <c r="A291" s="18">
        <v>45347</v>
      </c>
      <c r="B291" s="17" t="s">
        <v>1202</v>
      </c>
      <c r="C291" s="17" t="s">
        <v>32</v>
      </c>
      <c r="D291" s="18">
        <v>23274</v>
      </c>
      <c r="E291" s="16" t="s">
        <v>14</v>
      </c>
      <c r="F291" s="31">
        <v>487</v>
      </c>
      <c r="G291" s="17" t="s">
        <v>64</v>
      </c>
      <c r="H291" s="17" t="s">
        <v>48</v>
      </c>
      <c r="I291" s="17" t="s">
        <v>17</v>
      </c>
      <c r="J291" s="27">
        <v>0.1</v>
      </c>
      <c r="K291" s="17" t="s">
        <v>933</v>
      </c>
      <c r="L291" s="32">
        <v>5</v>
      </c>
      <c r="M291" s="32">
        <f>_xlfn.XLOOKUP(Table2_1[[#This Row],[Product Code]],Product_Code,Unit_Price,0)</f>
        <v>7</v>
      </c>
      <c r="N291" s="31">
        <f>DATEDIF(Table2_1[[#This Row],[Buyer Date of Birth]],Table2_1[[#This Row],[Transaction  Date]],"Y")</f>
        <v>60</v>
      </c>
      <c r="O291" s="33">
        <v>2435</v>
      </c>
      <c r="P291" s="33">
        <f>Table2_1[[#This Row],[Quantity Purchased]]*Table2_1[[#This Row],[UnitPrice]]*(1-Table2_1[[#This Row],[Discount]])</f>
        <v>3068.1</v>
      </c>
      <c r="Q291" s="33">
        <f>Table2_1[[#This Row],[Revenue]]-Table2_1[[#This Row],[COGS]]</f>
        <v>633.09999999999991</v>
      </c>
      <c r="R291" s="39">
        <f>WEEKDAY(Table2_1[[#This Row],[Transaction  Date]])</f>
        <v>1</v>
      </c>
      <c r="S291" s="17" t="str">
        <f>IF(WEEKDAY(Table2_1[[#This Row],[Transaction  Date]],2)&lt;=5,"Weekday","Weekend")</f>
        <v>Weekend</v>
      </c>
      <c r="T291" s="37" t="str">
        <f>FLOOR(Table2_1[[#This Row],[Age]],15)&amp; "-"&amp; FLOOR(Table2_1[[#This Row],[Age]],15)+14</f>
        <v>60-74</v>
      </c>
    </row>
    <row r="292" spans="1:20" x14ac:dyDescent="0.3">
      <c r="A292" s="18">
        <v>45348</v>
      </c>
      <c r="B292" s="17" t="s">
        <v>1203</v>
      </c>
      <c r="C292" s="17" t="s">
        <v>26</v>
      </c>
      <c r="D292" s="18">
        <v>28546</v>
      </c>
      <c r="E292" s="16" t="s">
        <v>68</v>
      </c>
      <c r="F292" s="31">
        <v>432</v>
      </c>
      <c r="G292" s="17" t="s">
        <v>56</v>
      </c>
      <c r="H292" s="17" t="s">
        <v>39</v>
      </c>
      <c r="I292" s="17" t="s">
        <v>17</v>
      </c>
      <c r="J292" s="27">
        <v>0.1</v>
      </c>
      <c r="K292" s="17" t="s">
        <v>935</v>
      </c>
      <c r="L292" s="32">
        <v>18</v>
      </c>
      <c r="M292" s="32">
        <f>_xlfn.XLOOKUP(Table2_1[[#This Row],[Product Code]],Product_Code,Unit_Price,0)</f>
        <v>36</v>
      </c>
      <c r="N292" s="31">
        <f>DATEDIF(Table2_1[[#This Row],[Buyer Date of Birth]],Table2_1[[#This Row],[Transaction  Date]],"Y")</f>
        <v>46</v>
      </c>
      <c r="O292" s="33">
        <v>7776</v>
      </c>
      <c r="P292" s="33">
        <f>Table2_1[[#This Row],[Quantity Purchased]]*Table2_1[[#This Row],[UnitPrice]]*(1-Table2_1[[#This Row],[Discount]])</f>
        <v>13996.800000000001</v>
      </c>
      <c r="Q292" s="33">
        <f>Table2_1[[#This Row],[Revenue]]-Table2_1[[#This Row],[COGS]]</f>
        <v>6220.8000000000011</v>
      </c>
      <c r="R292" s="39">
        <f>WEEKDAY(Table2_1[[#This Row],[Transaction  Date]])</f>
        <v>2</v>
      </c>
      <c r="S292" s="17" t="str">
        <f>IF(WEEKDAY(Table2_1[[#This Row],[Transaction  Date]],2)&lt;=5,"Weekday","Weekend")</f>
        <v>Weekday</v>
      </c>
      <c r="T292" s="37" t="str">
        <f>FLOOR(Table2_1[[#This Row],[Age]],15)&amp; "-"&amp; FLOOR(Table2_1[[#This Row],[Age]],15)+14</f>
        <v>45-59</v>
      </c>
    </row>
    <row r="293" spans="1:20" x14ac:dyDescent="0.3">
      <c r="A293" s="18">
        <v>45348</v>
      </c>
      <c r="B293" s="17" t="s">
        <v>1204</v>
      </c>
      <c r="C293" s="17" t="s">
        <v>94</v>
      </c>
      <c r="D293" s="18">
        <v>38312</v>
      </c>
      <c r="E293" s="16" t="s">
        <v>20</v>
      </c>
      <c r="F293" s="31">
        <v>56</v>
      </c>
      <c r="G293" s="17" t="s">
        <v>15</v>
      </c>
      <c r="H293" s="17" t="s">
        <v>52</v>
      </c>
      <c r="I293" s="17" t="s">
        <v>17</v>
      </c>
      <c r="J293" s="27">
        <v>0.1</v>
      </c>
      <c r="K293" s="17" t="s">
        <v>929</v>
      </c>
      <c r="L293" s="32">
        <v>10</v>
      </c>
      <c r="M293" s="32">
        <f>_xlfn.XLOOKUP(Table2_1[[#This Row],[Product Code]],Product_Code,Unit_Price,0)</f>
        <v>14</v>
      </c>
      <c r="N293" s="31">
        <f>DATEDIF(Table2_1[[#This Row],[Buyer Date of Birth]],Table2_1[[#This Row],[Transaction  Date]],"Y")</f>
        <v>19</v>
      </c>
      <c r="O293" s="33">
        <v>560</v>
      </c>
      <c r="P293" s="33">
        <f>Table2_1[[#This Row],[Quantity Purchased]]*Table2_1[[#This Row],[UnitPrice]]*(1-Table2_1[[#This Row],[Discount]])</f>
        <v>705.6</v>
      </c>
      <c r="Q293" s="33">
        <f>Table2_1[[#This Row],[Revenue]]-Table2_1[[#This Row],[COGS]]</f>
        <v>145.60000000000002</v>
      </c>
      <c r="R293" s="39">
        <f>WEEKDAY(Table2_1[[#This Row],[Transaction  Date]])</f>
        <v>2</v>
      </c>
      <c r="S293" s="17" t="str">
        <f>IF(WEEKDAY(Table2_1[[#This Row],[Transaction  Date]],2)&lt;=5,"Weekday","Weekend")</f>
        <v>Weekday</v>
      </c>
      <c r="T293" s="37" t="str">
        <f>FLOOR(Table2_1[[#This Row],[Age]],15)&amp; "-"&amp; FLOOR(Table2_1[[#This Row],[Age]],15)+14</f>
        <v>15-29</v>
      </c>
    </row>
    <row r="294" spans="1:20" x14ac:dyDescent="0.3">
      <c r="A294" s="18">
        <v>45348</v>
      </c>
      <c r="B294" s="17" t="s">
        <v>1205</v>
      </c>
      <c r="C294" s="17" t="s">
        <v>46</v>
      </c>
      <c r="D294" s="18">
        <v>24414</v>
      </c>
      <c r="E294" s="16" t="s">
        <v>33</v>
      </c>
      <c r="F294" s="31">
        <v>495</v>
      </c>
      <c r="G294" s="17" t="s">
        <v>64</v>
      </c>
      <c r="H294" s="17" t="s">
        <v>52</v>
      </c>
      <c r="I294" s="17" t="s">
        <v>17</v>
      </c>
      <c r="J294" s="27">
        <v>0.1</v>
      </c>
      <c r="K294" s="17" t="s">
        <v>933</v>
      </c>
      <c r="L294" s="32">
        <v>5</v>
      </c>
      <c r="M294" s="32">
        <f>_xlfn.XLOOKUP(Table2_1[[#This Row],[Product Code]],Product_Code,Unit_Price,0)</f>
        <v>7</v>
      </c>
      <c r="N294" s="31">
        <f>DATEDIF(Table2_1[[#This Row],[Buyer Date of Birth]],Table2_1[[#This Row],[Transaction  Date]],"Y")</f>
        <v>57</v>
      </c>
      <c r="O294" s="33">
        <v>2475</v>
      </c>
      <c r="P294" s="33">
        <f>Table2_1[[#This Row],[Quantity Purchased]]*Table2_1[[#This Row],[UnitPrice]]*(1-Table2_1[[#This Row],[Discount]])</f>
        <v>3118.5</v>
      </c>
      <c r="Q294" s="33">
        <f>Table2_1[[#This Row],[Revenue]]-Table2_1[[#This Row],[COGS]]</f>
        <v>643.5</v>
      </c>
      <c r="R294" s="39">
        <f>WEEKDAY(Table2_1[[#This Row],[Transaction  Date]])</f>
        <v>2</v>
      </c>
      <c r="S294" s="17" t="str">
        <f>IF(WEEKDAY(Table2_1[[#This Row],[Transaction  Date]],2)&lt;=5,"Weekday","Weekend")</f>
        <v>Weekday</v>
      </c>
      <c r="T294" s="37" t="str">
        <f>FLOOR(Table2_1[[#This Row],[Age]],15)&amp; "-"&amp; FLOOR(Table2_1[[#This Row],[Age]],15)+14</f>
        <v>45-59</v>
      </c>
    </row>
    <row r="295" spans="1:20" x14ac:dyDescent="0.3">
      <c r="A295" s="18">
        <v>45349</v>
      </c>
      <c r="B295" s="17" t="s">
        <v>1206</v>
      </c>
      <c r="C295" s="17" t="s">
        <v>94</v>
      </c>
      <c r="D295" s="18">
        <v>22693</v>
      </c>
      <c r="E295" s="16" t="s">
        <v>14</v>
      </c>
      <c r="F295" s="31">
        <v>149</v>
      </c>
      <c r="G295" s="17" t="s">
        <v>65</v>
      </c>
      <c r="H295" s="17" t="s">
        <v>52</v>
      </c>
      <c r="I295" s="17" t="s">
        <v>29</v>
      </c>
      <c r="J295" s="27">
        <v>0.1</v>
      </c>
      <c r="K295" s="17" t="s">
        <v>928</v>
      </c>
      <c r="L295" s="32">
        <v>3</v>
      </c>
      <c r="M295" s="32">
        <f>_xlfn.XLOOKUP(Table2_1[[#This Row],[Product Code]],Product_Code,Unit_Price,0)</f>
        <v>5</v>
      </c>
      <c r="N295" s="31">
        <f>DATEDIF(Table2_1[[#This Row],[Buyer Date of Birth]],Table2_1[[#This Row],[Transaction  Date]],"Y")</f>
        <v>62</v>
      </c>
      <c r="O295" s="33">
        <v>447</v>
      </c>
      <c r="P295" s="33">
        <f>Table2_1[[#This Row],[Quantity Purchased]]*Table2_1[[#This Row],[UnitPrice]]*(1-Table2_1[[#This Row],[Discount]])</f>
        <v>670.5</v>
      </c>
      <c r="Q295" s="33">
        <f>Table2_1[[#This Row],[Revenue]]-Table2_1[[#This Row],[COGS]]</f>
        <v>223.5</v>
      </c>
      <c r="R295" s="39">
        <f>WEEKDAY(Table2_1[[#This Row],[Transaction  Date]])</f>
        <v>3</v>
      </c>
      <c r="S295" s="17" t="str">
        <f>IF(WEEKDAY(Table2_1[[#This Row],[Transaction  Date]],2)&lt;=5,"Weekday","Weekend")</f>
        <v>Weekday</v>
      </c>
      <c r="T295" s="37" t="str">
        <f>FLOOR(Table2_1[[#This Row],[Age]],15)&amp; "-"&amp; FLOOR(Table2_1[[#This Row],[Age]],15)+14</f>
        <v>60-74</v>
      </c>
    </row>
    <row r="296" spans="1:20" x14ac:dyDescent="0.3">
      <c r="A296" s="18">
        <v>45349</v>
      </c>
      <c r="B296" s="17" t="s">
        <v>1207</v>
      </c>
      <c r="C296" s="17" t="s">
        <v>83</v>
      </c>
      <c r="D296" s="18">
        <v>22178</v>
      </c>
      <c r="E296" s="16" t="s">
        <v>20</v>
      </c>
      <c r="F296" s="31">
        <v>223</v>
      </c>
      <c r="G296" s="17" t="s">
        <v>21</v>
      </c>
      <c r="H296" s="17" t="s">
        <v>48</v>
      </c>
      <c r="I296" s="17" t="s">
        <v>17</v>
      </c>
      <c r="J296" s="27">
        <v>0.1</v>
      </c>
      <c r="K296" s="17" t="s">
        <v>934</v>
      </c>
      <c r="L296" s="32">
        <v>10</v>
      </c>
      <c r="M296" s="32">
        <f>_xlfn.XLOOKUP(Table2_1[[#This Row],[Product Code]],Product_Code,Unit_Price,0)</f>
        <v>45</v>
      </c>
      <c r="N296" s="31">
        <f>DATEDIF(Table2_1[[#This Row],[Buyer Date of Birth]],Table2_1[[#This Row],[Transaction  Date]],"Y")</f>
        <v>63</v>
      </c>
      <c r="O296" s="33">
        <v>2230</v>
      </c>
      <c r="P296" s="33">
        <f>Table2_1[[#This Row],[Quantity Purchased]]*Table2_1[[#This Row],[UnitPrice]]*(1-Table2_1[[#This Row],[Discount]])</f>
        <v>9031.5</v>
      </c>
      <c r="Q296" s="33">
        <f>Table2_1[[#This Row],[Revenue]]-Table2_1[[#This Row],[COGS]]</f>
        <v>6801.5</v>
      </c>
      <c r="R296" s="39">
        <f>WEEKDAY(Table2_1[[#This Row],[Transaction  Date]])</f>
        <v>3</v>
      </c>
      <c r="S296" s="17" t="str">
        <f>IF(WEEKDAY(Table2_1[[#This Row],[Transaction  Date]],2)&lt;=5,"Weekday","Weekend")</f>
        <v>Weekday</v>
      </c>
      <c r="T296" s="37" t="str">
        <f>FLOOR(Table2_1[[#This Row],[Age]],15)&amp; "-"&amp; FLOOR(Table2_1[[#This Row],[Age]],15)+14</f>
        <v>60-74</v>
      </c>
    </row>
    <row r="297" spans="1:20" x14ac:dyDescent="0.3">
      <c r="A297" s="18">
        <v>45350</v>
      </c>
      <c r="B297" s="17" t="s">
        <v>1208</v>
      </c>
      <c r="C297" s="17" t="s">
        <v>51</v>
      </c>
      <c r="D297" s="18">
        <v>16651</v>
      </c>
      <c r="E297" s="16" t="s">
        <v>33</v>
      </c>
      <c r="F297" s="31">
        <v>265</v>
      </c>
      <c r="G297" s="17" t="s">
        <v>56</v>
      </c>
      <c r="H297" s="17" t="s">
        <v>48</v>
      </c>
      <c r="I297" s="17" t="s">
        <v>17</v>
      </c>
      <c r="J297" s="27">
        <v>0.1</v>
      </c>
      <c r="K297" s="17" t="s">
        <v>935</v>
      </c>
      <c r="L297" s="32">
        <v>18</v>
      </c>
      <c r="M297" s="32">
        <f>_xlfn.XLOOKUP(Table2_1[[#This Row],[Product Code]],Product_Code,Unit_Price,0)</f>
        <v>36</v>
      </c>
      <c r="N297" s="31">
        <f>DATEDIF(Table2_1[[#This Row],[Buyer Date of Birth]],Table2_1[[#This Row],[Transaction  Date]],"Y")</f>
        <v>78</v>
      </c>
      <c r="O297" s="33">
        <v>4770</v>
      </c>
      <c r="P297" s="33">
        <f>Table2_1[[#This Row],[Quantity Purchased]]*Table2_1[[#This Row],[UnitPrice]]*(1-Table2_1[[#This Row],[Discount]])</f>
        <v>8586</v>
      </c>
      <c r="Q297" s="33">
        <f>Table2_1[[#This Row],[Revenue]]-Table2_1[[#This Row],[COGS]]</f>
        <v>3816</v>
      </c>
      <c r="R297" s="39">
        <f>WEEKDAY(Table2_1[[#This Row],[Transaction  Date]])</f>
        <v>4</v>
      </c>
      <c r="S297" s="17" t="str">
        <f>IF(WEEKDAY(Table2_1[[#This Row],[Transaction  Date]],2)&lt;=5,"Weekday","Weekend")</f>
        <v>Weekday</v>
      </c>
      <c r="T297" s="37" t="str">
        <f>FLOOR(Table2_1[[#This Row],[Age]],15)&amp; "-"&amp; FLOOR(Table2_1[[#This Row],[Age]],15)+14</f>
        <v>75-89</v>
      </c>
    </row>
    <row r="298" spans="1:20" x14ac:dyDescent="0.3">
      <c r="A298" s="18">
        <v>45350</v>
      </c>
      <c r="B298" s="17" t="s">
        <v>1209</v>
      </c>
      <c r="C298" s="17" t="s">
        <v>32</v>
      </c>
      <c r="D298" s="18">
        <v>23334</v>
      </c>
      <c r="E298" s="16" t="s">
        <v>20</v>
      </c>
      <c r="F298" s="31">
        <v>242</v>
      </c>
      <c r="G298" s="17" t="s">
        <v>34</v>
      </c>
      <c r="H298" s="17" t="s">
        <v>48</v>
      </c>
      <c r="I298" s="17" t="s">
        <v>17</v>
      </c>
      <c r="J298" s="27">
        <v>0.1</v>
      </c>
      <c r="K298" s="17" t="s">
        <v>930</v>
      </c>
      <c r="L298" s="32">
        <v>14</v>
      </c>
      <c r="M298" s="32">
        <f>_xlfn.XLOOKUP(Table2_1[[#This Row],[Product Code]],Product_Code,Unit_Price,0)</f>
        <v>28</v>
      </c>
      <c r="N298" s="31">
        <f>DATEDIF(Table2_1[[#This Row],[Buyer Date of Birth]],Table2_1[[#This Row],[Transaction  Date]],"Y")</f>
        <v>60</v>
      </c>
      <c r="O298" s="33">
        <v>3388</v>
      </c>
      <c r="P298" s="33">
        <f>Table2_1[[#This Row],[Quantity Purchased]]*Table2_1[[#This Row],[UnitPrice]]*(1-Table2_1[[#This Row],[Discount]])</f>
        <v>6098.4000000000005</v>
      </c>
      <c r="Q298" s="33">
        <f>Table2_1[[#This Row],[Revenue]]-Table2_1[[#This Row],[COGS]]</f>
        <v>2710.4000000000005</v>
      </c>
      <c r="R298" s="39">
        <f>WEEKDAY(Table2_1[[#This Row],[Transaction  Date]])</f>
        <v>4</v>
      </c>
      <c r="S298" s="17" t="str">
        <f>IF(WEEKDAY(Table2_1[[#This Row],[Transaction  Date]],2)&lt;=5,"Weekday","Weekend")</f>
        <v>Weekday</v>
      </c>
      <c r="T298" s="37" t="str">
        <f>FLOOR(Table2_1[[#This Row],[Age]],15)&amp; "-"&amp; FLOOR(Table2_1[[#This Row],[Age]],15)+14</f>
        <v>60-74</v>
      </c>
    </row>
    <row r="299" spans="1:20" x14ac:dyDescent="0.3">
      <c r="A299" s="18">
        <v>45350</v>
      </c>
      <c r="B299" s="17" t="s">
        <v>380</v>
      </c>
      <c r="C299" s="17" t="s">
        <v>83</v>
      </c>
      <c r="D299" s="18">
        <v>29025</v>
      </c>
      <c r="E299" s="16" t="s">
        <v>68</v>
      </c>
      <c r="F299" s="31">
        <v>76</v>
      </c>
      <c r="G299" s="17" t="s">
        <v>64</v>
      </c>
      <c r="H299" s="17" t="s">
        <v>52</v>
      </c>
      <c r="I299" s="17" t="s">
        <v>17</v>
      </c>
      <c r="J299" s="27">
        <v>0.1</v>
      </c>
      <c r="K299" s="17" t="s">
        <v>933</v>
      </c>
      <c r="L299" s="32">
        <v>5</v>
      </c>
      <c r="M299" s="32">
        <f>_xlfn.XLOOKUP(Table2_1[[#This Row],[Product Code]],Product_Code,Unit_Price,0)</f>
        <v>7</v>
      </c>
      <c r="N299" s="31">
        <f>DATEDIF(Table2_1[[#This Row],[Buyer Date of Birth]],Table2_1[[#This Row],[Transaction  Date]],"Y")</f>
        <v>44</v>
      </c>
      <c r="O299" s="33">
        <v>380</v>
      </c>
      <c r="P299" s="33">
        <f>Table2_1[[#This Row],[Quantity Purchased]]*Table2_1[[#This Row],[UnitPrice]]*(1-Table2_1[[#This Row],[Discount]])</f>
        <v>478.8</v>
      </c>
      <c r="Q299" s="33">
        <f>Table2_1[[#This Row],[Revenue]]-Table2_1[[#This Row],[COGS]]</f>
        <v>98.800000000000011</v>
      </c>
      <c r="R299" s="39">
        <f>WEEKDAY(Table2_1[[#This Row],[Transaction  Date]])</f>
        <v>4</v>
      </c>
      <c r="S299" s="17" t="str">
        <f>IF(WEEKDAY(Table2_1[[#This Row],[Transaction  Date]],2)&lt;=5,"Weekday","Weekend")</f>
        <v>Weekday</v>
      </c>
      <c r="T299" s="37" t="str">
        <f>FLOOR(Table2_1[[#This Row],[Age]],15)&amp; "-"&amp; FLOOR(Table2_1[[#This Row],[Age]],15)+14</f>
        <v>30-44</v>
      </c>
    </row>
    <row r="300" spans="1:20" x14ac:dyDescent="0.3">
      <c r="A300" s="18">
        <v>45350</v>
      </c>
      <c r="B300" s="17" t="s">
        <v>1210</v>
      </c>
      <c r="C300" s="17" t="s">
        <v>78</v>
      </c>
      <c r="D300" s="18">
        <v>27196</v>
      </c>
      <c r="E300" s="16" t="s">
        <v>33</v>
      </c>
      <c r="F300" s="31">
        <v>125</v>
      </c>
      <c r="G300" s="17" t="s">
        <v>34</v>
      </c>
      <c r="H300" s="17" t="s">
        <v>39</v>
      </c>
      <c r="I300" s="17" t="s">
        <v>17</v>
      </c>
      <c r="J300" s="27">
        <v>0.1</v>
      </c>
      <c r="K300" s="17" t="s">
        <v>930</v>
      </c>
      <c r="L300" s="32">
        <v>14</v>
      </c>
      <c r="M300" s="32">
        <f>_xlfn.XLOOKUP(Table2_1[[#This Row],[Product Code]],Product_Code,Unit_Price,0)</f>
        <v>28</v>
      </c>
      <c r="N300" s="31">
        <f>DATEDIF(Table2_1[[#This Row],[Buyer Date of Birth]],Table2_1[[#This Row],[Transaction  Date]],"Y")</f>
        <v>49</v>
      </c>
      <c r="O300" s="33">
        <v>1750</v>
      </c>
      <c r="P300" s="33">
        <f>Table2_1[[#This Row],[Quantity Purchased]]*Table2_1[[#This Row],[UnitPrice]]*(1-Table2_1[[#This Row],[Discount]])</f>
        <v>3150</v>
      </c>
      <c r="Q300" s="33">
        <f>Table2_1[[#This Row],[Revenue]]-Table2_1[[#This Row],[COGS]]</f>
        <v>1400</v>
      </c>
      <c r="R300" s="39">
        <f>WEEKDAY(Table2_1[[#This Row],[Transaction  Date]])</f>
        <v>4</v>
      </c>
      <c r="S300" s="17" t="str">
        <f>IF(WEEKDAY(Table2_1[[#This Row],[Transaction  Date]],2)&lt;=5,"Weekday","Weekend")</f>
        <v>Weekday</v>
      </c>
      <c r="T300" s="37" t="str">
        <f>FLOOR(Table2_1[[#This Row],[Age]],15)&amp; "-"&amp; FLOOR(Table2_1[[#This Row],[Age]],15)+14</f>
        <v>45-59</v>
      </c>
    </row>
    <row r="301" spans="1:20" x14ac:dyDescent="0.3">
      <c r="A301" s="18">
        <v>45351</v>
      </c>
      <c r="B301" s="17" t="s">
        <v>1211</v>
      </c>
      <c r="C301" s="17" t="s">
        <v>51</v>
      </c>
      <c r="D301" s="18">
        <v>36206</v>
      </c>
      <c r="E301" s="16" t="s">
        <v>14</v>
      </c>
      <c r="F301" s="31">
        <v>252</v>
      </c>
      <c r="G301" s="17" t="s">
        <v>21</v>
      </c>
      <c r="H301" s="17" t="s">
        <v>39</v>
      </c>
      <c r="I301" s="17" t="s">
        <v>17</v>
      </c>
      <c r="J301" s="27">
        <v>0.1</v>
      </c>
      <c r="K301" s="17" t="s">
        <v>934</v>
      </c>
      <c r="L301" s="32">
        <v>10</v>
      </c>
      <c r="M301" s="32">
        <f>_xlfn.XLOOKUP(Table2_1[[#This Row],[Product Code]],Product_Code,Unit_Price,0)</f>
        <v>45</v>
      </c>
      <c r="N301" s="31">
        <f>DATEDIF(Table2_1[[#This Row],[Buyer Date of Birth]],Table2_1[[#This Row],[Transaction  Date]],"Y")</f>
        <v>25</v>
      </c>
      <c r="O301" s="33">
        <v>2520</v>
      </c>
      <c r="P301" s="33">
        <f>Table2_1[[#This Row],[Quantity Purchased]]*Table2_1[[#This Row],[UnitPrice]]*(1-Table2_1[[#This Row],[Discount]])</f>
        <v>10206</v>
      </c>
      <c r="Q301" s="33">
        <f>Table2_1[[#This Row],[Revenue]]-Table2_1[[#This Row],[COGS]]</f>
        <v>7686</v>
      </c>
      <c r="R301" s="39">
        <f>WEEKDAY(Table2_1[[#This Row],[Transaction  Date]])</f>
        <v>5</v>
      </c>
      <c r="S301" s="17" t="str">
        <f>IF(WEEKDAY(Table2_1[[#This Row],[Transaction  Date]],2)&lt;=5,"Weekday","Weekend")</f>
        <v>Weekday</v>
      </c>
      <c r="T301" s="37" t="str">
        <f>FLOOR(Table2_1[[#This Row],[Age]],15)&amp; "-"&amp; FLOOR(Table2_1[[#This Row],[Age]],15)+14</f>
        <v>15-29</v>
      </c>
    </row>
    <row r="302" spans="1:20" x14ac:dyDescent="0.3">
      <c r="A302" s="18">
        <v>45351</v>
      </c>
      <c r="B302" s="17" t="s">
        <v>1212</v>
      </c>
      <c r="C302" s="17" t="s">
        <v>55</v>
      </c>
      <c r="D302" s="18">
        <v>23786</v>
      </c>
      <c r="E302" s="16" t="s">
        <v>33</v>
      </c>
      <c r="F302" s="31">
        <v>81</v>
      </c>
      <c r="G302" s="17" t="s">
        <v>34</v>
      </c>
      <c r="H302" s="17" t="s">
        <v>35</v>
      </c>
      <c r="I302" s="17" t="s">
        <v>17</v>
      </c>
      <c r="J302" s="27">
        <v>0.1</v>
      </c>
      <c r="K302" s="17" t="s">
        <v>930</v>
      </c>
      <c r="L302" s="32">
        <v>14</v>
      </c>
      <c r="M302" s="32">
        <f>_xlfn.XLOOKUP(Table2_1[[#This Row],[Product Code]],Product_Code,Unit_Price,0)</f>
        <v>28</v>
      </c>
      <c r="N302" s="31">
        <f>DATEDIF(Table2_1[[#This Row],[Buyer Date of Birth]],Table2_1[[#This Row],[Transaction  Date]],"Y")</f>
        <v>59</v>
      </c>
      <c r="O302" s="33">
        <v>1134</v>
      </c>
      <c r="P302" s="33">
        <f>Table2_1[[#This Row],[Quantity Purchased]]*Table2_1[[#This Row],[UnitPrice]]*(1-Table2_1[[#This Row],[Discount]])</f>
        <v>2041.2</v>
      </c>
      <c r="Q302" s="33">
        <f>Table2_1[[#This Row],[Revenue]]-Table2_1[[#This Row],[COGS]]</f>
        <v>907.2</v>
      </c>
      <c r="R302" s="39">
        <f>WEEKDAY(Table2_1[[#This Row],[Transaction  Date]])</f>
        <v>5</v>
      </c>
      <c r="S302" s="17" t="str">
        <f>IF(WEEKDAY(Table2_1[[#This Row],[Transaction  Date]],2)&lt;=5,"Weekday","Weekend")</f>
        <v>Weekday</v>
      </c>
      <c r="T302" s="37" t="str">
        <f>FLOOR(Table2_1[[#This Row],[Age]],15)&amp; "-"&amp; FLOOR(Table2_1[[#This Row],[Age]],15)+14</f>
        <v>45-59</v>
      </c>
    </row>
    <row r="303" spans="1:20" x14ac:dyDescent="0.3">
      <c r="A303" s="18">
        <v>45351</v>
      </c>
      <c r="B303" s="17" t="s">
        <v>1213</v>
      </c>
      <c r="C303" s="17" t="s">
        <v>51</v>
      </c>
      <c r="D303" s="18">
        <v>16952</v>
      </c>
      <c r="E303" s="16" t="s">
        <v>20</v>
      </c>
      <c r="F303" s="31">
        <v>414</v>
      </c>
      <c r="G303" s="17" t="s">
        <v>65</v>
      </c>
      <c r="H303" s="17" t="s">
        <v>48</v>
      </c>
      <c r="I303" s="17" t="s">
        <v>17</v>
      </c>
      <c r="J303" s="27">
        <v>0.1</v>
      </c>
      <c r="K303" s="17" t="s">
        <v>928</v>
      </c>
      <c r="L303" s="32">
        <v>3</v>
      </c>
      <c r="M303" s="32">
        <f>_xlfn.XLOOKUP(Table2_1[[#This Row],[Product Code]],Product_Code,Unit_Price,0)</f>
        <v>5</v>
      </c>
      <c r="N303" s="31">
        <f>DATEDIF(Table2_1[[#This Row],[Buyer Date of Birth]],Table2_1[[#This Row],[Transaction  Date]],"Y")</f>
        <v>77</v>
      </c>
      <c r="O303" s="33">
        <v>1242</v>
      </c>
      <c r="P303" s="33">
        <f>Table2_1[[#This Row],[Quantity Purchased]]*Table2_1[[#This Row],[UnitPrice]]*(1-Table2_1[[#This Row],[Discount]])</f>
        <v>1863</v>
      </c>
      <c r="Q303" s="33">
        <f>Table2_1[[#This Row],[Revenue]]-Table2_1[[#This Row],[COGS]]</f>
        <v>621</v>
      </c>
      <c r="R303" s="39">
        <f>WEEKDAY(Table2_1[[#This Row],[Transaction  Date]])</f>
        <v>5</v>
      </c>
      <c r="S303" s="17" t="str">
        <f>IF(WEEKDAY(Table2_1[[#This Row],[Transaction  Date]],2)&lt;=5,"Weekday","Weekend")</f>
        <v>Weekday</v>
      </c>
      <c r="T303" s="37" t="str">
        <f>FLOOR(Table2_1[[#This Row],[Age]],15)&amp; "-"&amp; FLOOR(Table2_1[[#This Row],[Age]],15)+14</f>
        <v>75-89</v>
      </c>
    </row>
    <row r="304" spans="1:20" x14ac:dyDescent="0.3">
      <c r="A304" s="18">
        <v>45351</v>
      </c>
      <c r="B304" s="17" t="s">
        <v>1214</v>
      </c>
      <c r="C304" s="17" t="s">
        <v>26</v>
      </c>
      <c r="D304" s="18">
        <v>15928</v>
      </c>
      <c r="E304" s="16" t="s">
        <v>68</v>
      </c>
      <c r="F304" s="31">
        <v>380</v>
      </c>
      <c r="G304" s="17" t="s">
        <v>21</v>
      </c>
      <c r="H304" s="17" t="s">
        <v>52</v>
      </c>
      <c r="I304" s="17" t="s">
        <v>17</v>
      </c>
      <c r="J304" s="27">
        <v>0.1</v>
      </c>
      <c r="K304" s="17" t="s">
        <v>934</v>
      </c>
      <c r="L304" s="32">
        <v>10</v>
      </c>
      <c r="M304" s="32">
        <f>_xlfn.XLOOKUP(Table2_1[[#This Row],[Product Code]],Product_Code,Unit_Price,0)</f>
        <v>45</v>
      </c>
      <c r="N304" s="31">
        <f>DATEDIF(Table2_1[[#This Row],[Buyer Date of Birth]],Table2_1[[#This Row],[Transaction  Date]],"Y")</f>
        <v>80</v>
      </c>
      <c r="O304" s="33">
        <v>3800</v>
      </c>
      <c r="P304" s="33">
        <f>Table2_1[[#This Row],[Quantity Purchased]]*Table2_1[[#This Row],[UnitPrice]]*(1-Table2_1[[#This Row],[Discount]])</f>
        <v>15390</v>
      </c>
      <c r="Q304" s="33">
        <f>Table2_1[[#This Row],[Revenue]]-Table2_1[[#This Row],[COGS]]</f>
        <v>11590</v>
      </c>
      <c r="R304" s="39">
        <f>WEEKDAY(Table2_1[[#This Row],[Transaction  Date]])</f>
        <v>5</v>
      </c>
      <c r="S304" s="17" t="str">
        <f>IF(WEEKDAY(Table2_1[[#This Row],[Transaction  Date]],2)&lt;=5,"Weekday","Weekend")</f>
        <v>Weekday</v>
      </c>
      <c r="T304" s="37" t="str">
        <f>FLOOR(Table2_1[[#This Row],[Age]],15)&amp; "-"&amp; FLOOR(Table2_1[[#This Row],[Age]],15)+14</f>
        <v>75-89</v>
      </c>
    </row>
    <row r="305" spans="1:20" x14ac:dyDescent="0.3">
      <c r="A305" s="18">
        <v>45351</v>
      </c>
      <c r="B305" s="17" t="s">
        <v>1215</v>
      </c>
      <c r="C305" s="17" t="s">
        <v>46</v>
      </c>
      <c r="D305" s="18">
        <v>31366</v>
      </c>
      <c r="E305" s="16" t="s">
        <v>14</v>
      </c>
      <c r="F305" s="31">
        <v>193</v>
      </c>
      <c r="G305" s="17" t="s">
        <v>21</v>
      </c>
      <c r="H305" s="17" t="s">
        <v>39</v>
      </c>
      <c r="I305" s="17" t="s">
        <v>17</v>
      </c>
      <c r="J305" s="27">
        <v>0.1</v>
      </c>
      <c r="K305" s="17" t="s">
        <v>934</v>
      </c>
      <c r="L305" s="32">
        <v>10</v>
      </c>
      <c r="M305" s="32">
        <f>_xlfn.XLOOKUP(Table2_1[[#This Row],[Product Code]],Product_Code,Unit_Price,0)</f>
        <v>45</v>
      </c>
      <c r="N305" s="31">
        <f>DATEDIF(Table2_1[[#This Row],[Buyer Date of Birth]],Table2_1[[#This Row],[Transaction  Date]],"Y")</f>
        <v>38</v>
      </c>
      <c r="O305" s="33">
        <v>1930</v>
      </c>
      <c r="P305" s="33">
        <f>Table2_1[[#This Row],[Quantity Purchased]]*Table2_1[[#This Row],[UnitPrice]]*(1-Table2_1[[#This Row],[Discount]])</f>
        <v>7816.5</v>
      </c>
      <c r="Q305" s="33">
        <f>Table2_1[[#This Row],[Revenue]]-Table2_1[[#This Row],[COGS]]</f>
        <v>5886.5</v>
      </c>
      <c r="R305" s="39">
        <f>WEEKDAY(Table2_1[[#This Row],[Transaction  Date]])</f>
        <v>5</v>
      </c>
      <c r="S305" s="17" t="str">
        <f>IF(WEEKDAY(Table2_1[[#This Row],[Transaction  Date]],2)&lt;=5,"Weekday","Weekend")</f>
        <v>Weekday</v>
      </c>
      <c r="T305" s="37" t="str">
        <f>FLOOR(Table2_1[[#This Row],[Age]],15)&amp; "-"&amp; FLOOR(Table2_1[[#This Row],[Age]],15)+14</f>
        <v>30-44</v>
      </c>
    </row>
    <row r="306" spans="1:20" x14ac:dyDescent="0.3">
      <c r="A306" s="18">
        <v>45352</v>
      </c>
      <c r="B306" s="17" t="s">
        <v>1216</v>
      </c>
      <c r="C306" s="17" t="s">
        <v>71</v>
      </c>
      <c r="D306" s="18">
        <v>16069</v>
      </c>
      <c r="E306" s="16" t="s">
        <v>20</v>
      </c>
      <c r="F306" s="31">
        <v>319</v>
      </c>
      <c r="G306" s="17" t="s">
        <v>42</v>
      </c>
      <c r="H306" s="17" t="s">
        <v>52</v>
      </c>
      <c r="I306" s="17" t="s">
        <v>17</v>
      </c>
      <c r="J306" s="27">
        <v>0.1</v>
      </c>
      <c r="K306" s="17" t="s">
        <v>926</v>
      </c>
      <c r="L306" s="32">
        <v>10</v>
      </c>
      <c r="M306" s="32">
        <f>_xlfn.XLOOKUP(Table2_1[[#This Row],[Product Code]],Product_Code,Unit_Price,0)</f>
        <v>11</v>
      </c>
      <c r="N306" s="31">
        <f>DATEDIF(Table2_1[[#This Row],[Buyer Date of Birth]],Table2_1[[#This Row],[Transaction  Date]],"Y")</f>
        <v>80</v>
      </c>
      <c r="O306" s="33">
        <v>3190</v>
      </c>
      <c r="P306" s="33">
        <f>Table2_1[[#This Row],[Quantity Purchased]]*Table2_1[[#This Row],[UnitPrice]]*(1-Table2_1[[#This Row],[Discount]])</f>
        <v>3158.1</v>
      </c>
      <c r="Q306" s="33">
        <f>Table2_1[[#This Row],[Revenue]]-Table2_1[[#This Row],[COGS]]</f>
        <v>-31.900000000000091</v>
      </c>
      <c r="R306" s="39">
        <f>WEEKDAY(Table2_1[[#This Row],[Transaction  Date]])</f>
        <v>6</v>
      </c>
      <c r="S306" s="17" t="str">
        <f>IF(WEEKDAY(Table2_1[[#This Row],[Transaction  Date]],2)&lt;=5,"Weekday","Weekend")</f>
        <v>Weekday</v>
      </c>
      <c r="T306" s="37" t="str">
        <f>FLOOR(Table2_1[[#This Row],[Age]],15)&amp; "-"&amp; FLOOR(Table2_1[[#This Row],[Age]],15)+14</f>
        <v>75-89</v>
      </c>
    </row>
    <row r="307" spans="1:20" x14ac:dyDescent="0.3">
      <c r="A307" s="18">
        <v>45352</v>
      </c>
      <c r="B307" s="17" t="s">
        <v>1217</v>
      </c>
      <c r="C307" s="17" t="s">
        <v>71</v>
      </c>
      <c r="D307" s="18">
        <v>33100</v>
      </c>
      <c r="E307" s="16" t="s">
        <v>33</v>
      </c>
      <c r="F307" s="31">
        <v>500</v>
      </c>
      <c r="G307" s="17" t="s">
        <v>27</v>
      </c>
      <c r="H307" s="17" t="s">
        <v>52</v>
      </c>
      <c r="I307" s="17" t="s">
        <v>17</v>
      </c>
      <c r="J307" s="27">
        <v>0.1</v>
      </c>
      <c r="K307" s="17" t="s">
        <v>927</v>
      </c>
      <c r="L307" s="32">
        <v>18</v>
      </c>
      <c r="M307" s="32">
        <f>_xlfn.XLOOKUP(Table2_1[[#This Row],[Product Code]],Product_Code,Unit_Price,0)</f>
        <v>22</v>
      </c>
      <c r="N307" s="31">
        <f>DATEDIF(Table2_1[[#This Row],[Buyer Date of Birth]],Table2_1[[#This Row],[Transaction  Date]],"Y")</f>
        <v>33</v>
      </c>
      <c r="O307" s="33">
        <v>9000</v>
      </c>
      <c r="P307" s="33">
        <f>Table2_1[[#This Row],[Quantity Purchased]]*Table2_1[[#This Row],[UnitPrice]]*(1-Table2_1[[#This Row],[Discount]])</f>
        <v>9900</v>
      </c>
      <c r="Q307" s="33">
        <f>Table2_1[[#This Row],[Revenue]]-Table2_1[[#This Row],[COGS]]</f>
        <v>900</v>
      </c>
      <c r="R307" s="39">
        <f>WEEKDAY(Table2_1[[#This Row],[Transaction  Date]])</f>
        <v>6</v>
      </c>
      <c r="S307" s="17" t="str">
        <f>IF(WEEKDAY(Table2_1[[#This Row],[Transaction  Date]],2)&lt;=5,"Weekday","Weekend")</f>
        <v>Weekday</v>
      </c>
      <c r="T307" s="37" t="str">
        <f>FLOOR(Table2_1[[#This Row],[Age]],15)&amp; "-"&amp; FLOOR(Table2_1[[#This Row],[Age]],15)+14</f>
        <v>30-44</v>
      </c>
    </row>
    <row r="308" spans="1:20" x14ac:dyDescent="0.3">
      <c r="A308" s="18">
        <v>45352</v>
      </c>
      <c r="B308" s="17" t="s">
        <v>1218</v>
      </c>
      <c r="C308" s="17" t="s">
        <v>94</v>
      </c>
      <c r="D308" s="18">
        <v>37802</v>
      </c>
      <c r="E308" s="16" t="s">
        <v>14</v>
      </c>
      <c r="F308" s="31">
        <v>103</v>
      </c>
      <c r="G308" s="17" t="s">
        <v>42</v>
      </c>
      <c r="H308" s="17" t="s">
        <v>52</v>
      </c>
      <c r="I308" s="17" t="s">
        <v>17</v>
      </c>
      <c r="J308" s="27">
        <v>0.1</v>
      </c>
      <c r="K308" s="17" t="s">
        <v>926</v>
      </c>
      <c r="L308" s="32">
        <v>10</v>
      </c>
      <c r="M308" s="32">
        <f>_xlfn.XLOOKUP(Table2_1[[#This Row],[Product Code]],Product_Code,Unit_Price,0)</f>
        <v>11</v>
      </c>
      <c r="N308" s="31">
        <f>DATEDIF(Table2_1[[#This Row],[Buyer Date of Birth]],Table2_1[[#This Row],[Transaction  Date]],"Y")</f>
        <v>20</v>
      </c>
      <c r="O308" s="33">
        <v>1030</v>
      </c>
      <c r="P308" s="33">
        <f>Table2_1[[#This Row],[Quantity Purchased]]*Table2_1[[#This Row],[UnitPrice]]*(1-Table2_1[[#This Row],[Discount]])</f>
        <v>1019.7</v>
      </c>
      <c r="Q308" s="33">
        <f>Table2_1[[#This Row],[Revenue]]-Table2_1[[#This Row],[COGS]]</f>
        <v>-10.299999999999955</v>
      </c>
      <c r="R308" s="39">
        <f>WEEKDAY(Table2_1[[#This Row],[Transaction  Date]])</f>
        <v>6</v>
      </c>
      <c r="S308" s="17" t="str">
        <f>IF(WEEKDAY(Table2_1[[#This Row],[Transaction  Date]],2)&lt;=5,"Weekday","Weekend")</f>
        <v>Weekday</v>
      </c>
      <c r="T308" s="37" t="str">
        <f>FLOOR(Table2_1[[#This Row],[Age]],15)&amp; "-"&amp; FLOOR(Table2_1[[#This Row],[Age]],15)+14</f>
        <v>15-29</v>
      </c>
    </row>
    <row r="309" spans="1:20" x14ac:dyDescent="0.3">
      <c r="A309" s="18">
        <v>45352</v>
      </c>
      <c r="B309" s="17" t="s">
        <v>1219</v>
      </c>
      <c r="C309" s="17" t="s">
        <v>55</v>
      </c>
      <c r="D309" s="18">
        <v>31222</v>
      </c>
      <c r="E309" s="16" t="s">
        <v>20</v>
      </c>
      <c r="F309" s="31">
        <v>229</v>
      </c>
      <c r="G309" s="17" t="s">
        <v>27</v>
      </c>
      <c r="H309" s="17" t="s">
        <v>28</v>
      </c>
      <c r="I309" s="17" t="s">
        <v>17</v>
      </c>
      <c r="J309" s="27">
        <v>0.1</v>
      </c>
      <c r="K309" s="17" t="s">
        <v>927</v>
      </c>
      <c r="L309" s="32">
        <v>18</v>
      </c>
      <c r="M309" s="32">
        <f>_xlfn.XLOOKUP(Table2_1[[#This Row],[Product Code]],Product_Code,Unit_Price,0)</f>
        <v>22</v>
      </c>
      <c r="N309" s="31">
        <f>DATEDIF(Table2_1[[#This Row],[Buyer Date of Birth]],Table2_1[[#This Row],[Transaction  Date]],"Y")</f>
        <v>38</v>
      </c>
      <c r="O309" s="33">
        <v>4122</v>
      </c>
      <c r="P309" s="33">
        <f>Table2_1[[#This Row],[Quantity Purchased]]*Table2_1[[#This Row],[UnitPrice]]*(1-Table2_1[[#This Row],[Discount]])</f>
        <v>4534.2</v>
      </c>
      <c r="Q309" s="33">
        <f>Table2_1[[#This Row],[Revenue]]-Table2_1[[#This Row],[COGS]]</f>
        <v>412.19999999999982</v>
      </c>
      <c r="R309" s="39">
        <f>WEEKDAY(Table2_1[[#This Row],[Transaction  Date]])</f>
        <v>6</v>
      </c>
      <c r="S309" s="17" t="str">
        <f>IF(WEEKDAY(Table2_1[[#This Row],[Transaction  Date]],2)&lt;=5,"Weekday","Weekend")</f>
        <v>Weekday</v>
      </c>
      <c r="T309" s="37" t="str">
        <f>FLOOR(Table2_1[[#This Row],[Age]],15)&amp; "-"&amp; FLOOR(Table2_1[[#This Row],[Age]],15)+14</f>
        <v>30-44</v>
      </c>
    </row>
    <row r="310" spans="1:20" x14ac:dyDescent="0.3">
      <c r="A310" s="18">
        <v>45352</v>
      </c>
      <c r="B310" s="17" t="s">
        <v>1220</v>
      </c>
      <c r="C310" s="17" t="s">
        <v>71</v>
      </c>
      <c r="D310" s="18">
        <v>38474</v>
      </c>
      <c r="E310" s="16" t="s">
        <v>20</v>
      </c>
      <c r="F310" s="31">
        <v>159</v>
      </c>
      <c r="G310" s="17" t="s">
        <v>65</v>
      </c>
      <c r="H310" s="17" t="s">
        <v>48</v>
      </c>
      <c r="I310" s="17" t="s">
        <v>17</v>
      </c>
      <c r="J310" s="27">
        <v>0.1</v>
      </c>
      <c r="K310" s="17" t="s">
        <v>928</v>
      </c>
      <c r="L310" s="32">
        <v>3</v>
      </c>
      <c r="M310" s="32">
        <f>_xlfn.XLOOKUP(Table2_1[[#This Row],[Product Code]],Product_Code,Unit_Price,0)</f>
        <v>5</v>
      </c>
      <c r="N310" s="31">
        <f>DATEDIF(Table2_1[[#This Row],[Buyer Date of Birth]],Table2_1[[#This Row],[Transaction  Date]],"Y")</f>
        <v>18</v>
      </c>
      <c r="O310" s="33">
        <v>477</v>
      </c>
      <c r="P310" s="33">
        <f>Table2_1[[#This Row],[Quantity Purchased]]*Table2_1[[#This Row],[UnitPrice]]*(1-Table2_1[[#This Row],[Discount]])</f>
        <v>715.5</v>
      </c>
      <c r="Q310" s="33">
        <f>Table2_1[[#This Row],[Revenue]]-Table2_1[[#This Row],[COGS]]</f>
        <v>238.5</v>
      </c>
      <c r="R310" s="39">
        <f>WEEKDAY(Table2_1[[#This Row],[Transaction  Date]])</f>
        <v>6</v>
      </c>
      <c r="S310" s="17" t="str">
        <f>IF(WEEKDAY(Table2_1[[#This Row],[Transaction  Date]],2)&lt;=5,"Weekday","Weekend")</f>
        <v>Weekday</v>
      </c>
      <c r="T310" s="37" t="str">
        <f>FLOOR(Table2_1[[#This Row],[Age]],15)&amp; "-"&amp; FLOOR(Table2_1[[#This Row],[Age]],15)+14</f>
        <v>15-29</v>
      </c>
    </row>
    <row r="311" spans="1:20" x14ac:dyDescent="0.3">
      <c r="A311" s="18">
        <v>45352</v>
      </c>
      <c r="B311" s="17" t="s">
        <v>1221</v>
      </c>
      <c r="C311" s="17" t="s">
        <v>55</v>
      </c>
      <c r="D311" s="18">
        <v>36952</v>
      </c>
      <c r="E311" s="16" t="s">
        <v>33</v>
      </c>
      <c r="F311" s="31">
        <v>184</v>
      </c>
      <c r="G311" s="17" t="s">
        <v>15</v>
      </c>
      <c r="H311" s="17" t="s">
        <v>52</v>
      </c>
      <c r="I311" s="17" t="s">
        <v>17</v>
      </c>
      <c r="J311" s="27">
        <v>0.1</v>
      </c>
      <c r="K311" s="17" t="s">
        <v>929</v>
      </c>
      <c r="L311" s="32">
        <v>10</v>
      </c>
      <c r="M311" s="32">
        <f>_xlfn.XLOOKUP(Table2_1[[#This Row],[Product Code]],Product_Code,Unit_Price,0)</f>
        <v>14</v>
      </c>
      <c r="N311" s="31">
        <f>DATEDIF(Table2_1[[#This Row],[Buyer Date of Birth]],Table2_1[[#This Row],[Transaction  Date]],"Y")</f>
        <v>22</v>
      </c>
      <c r="O311" s="33">
        <v>1840</v>
      </c>
      <c r="P311" s="33">
        <f>Table2_1[[#This Row],[Quantity Purchased]]*Table2_1[[#This Row],[UnitPrice]]*(1-Table2_1[[#This Row],[Discount]])</f>
        <v>2318.4</v>
      </c>
      <c r="Q311" s="33">
        <f>Table2_1[[#This Row],[Revenue]]-Table2_1[[#This Row],[COGS]]</f>
        <v>478.40000000000009</v>
      </c>
      <c r="R311" s="39">
        <f>WEEKDAY(Table2_1[[#This Row],[Transaction  Date]])</f>
        <v>6</v>
      </c>
      <c r="S311" s="17" t="str">
        <f>IF(WEEKDAY(Table2_1[[#This Row],[Transaction  Date]],2)&lt;=5,"Weekday","Weekend")</f>
        <v>Weekday</v>
      </c>
      <c r="T311" s="37" t="str">
        <f>FLOOR(Table2_1[[#This Row],[Age]],15)&amp; "-"&amp; FLOOR(Table2_1[[#This Row],[Age]],15)+14</f>
        <v>15-29</v>
      </c>
    </row>
    <row r="312" spans="1:20" x14ac:dyDescent="0.3">
      <c r="A312" s="18">
        <v>45353</v>
      </c>
      <c r="B312" s="17" t="s">
        <v>1222</v>
      </c>
      <c r="C312" s="17" t="s">
        <v>26</v>
      </c>
      <c r="D312" s="18">
        <v>28674</v>
      </c>
      <c r="E312" s="16" t="s">
        <v>33</v>
      </c>
      <c r="F312" s="31">
        <v>78</v>
      </c>
      <c r="G312" s="17" t="s">
        <v>21</v>
      </c>
      <c r="H312" s="17" t="s">
        <v>35</v>
      </c>
      <c r="I312" s="17" t="s">
        <v>17</v>
      </c>
      <c r="J312" s="27">
        <v>0.1</v>
      </c>
      <c r="K312" s="17" t="s">
        <v>934</v>
      </c>
      <c r="L312" s="32">
        <v>10</v>
      </c>
      <c r="M312" s="32">
        <f>_xlfn.XLOOKUP(Table2_1[[#This Row],[Product Code]],Product_Code,Unit_Price,0)</f>
        <v>45</v>
      </c>
      <c r="N312" s="31">
        <f>DATEDIF(Table2_1[[#This Row],[Buyer Date of Birth]],Table2_1[[#This Row],[Transaction  Date]],"Y")</f>
        <v>45</v>
      </c>
      <c r="O312" s="33">
        <v>780</v>
      </c>
      <c r="P312" s="33">
        <f>Table2_1[[#This Row],[Quantity Purchased]]*Table2_1[[#This Row],[UnitPrice]]*(1-Table2_1[[#This Row],[Discount]])</f>
        <v>3159</v>
      </c>
      <c r="Q312" s="33">
        <f>Table2_1[[#This Row],[Revenue]]-Table2_1[[#This Row],[COGS]]</f>
        <v>2379</v>
      </c>
      <c r="R312" s="39">
        <f>WEEKDAY(Table2_1[[#This Row],[Transaction  Date]])</f>
        <v>7</v>
      </c>
      <c r="S312" s="17" t="str">
        <f>IF(WEEKDAY(Table2_1[[#This Row],[Transaction  Date]],2)&lt;=5,"Weekday","Weekend")</f>
        <v>Weekend</v>
      </c>
      <c r="T312" s="37" t="str">
        <f>FLOOR(Table2_1[[#This Row],[Age]],15)&amp; "-"&amp; FLOOR(Table2_1[[#This Row],[Age]],15)+14</f>
        <v>45-59</v>
      </c>
    </row>
    <row r="313" spans="1:20" x14ac:dyDescent="0.3">
      <c r="A313" s="18">
        <v>45353</v>
      </c>
      <c r="B313" s="17" t="s">
        <v>1223</v>
      </c>
      <c r="C313" s="17" t="s">
        <v>32</v>
      </c>
      <c r="D313" s="18">
        <v>25705</v>
      </c>
      <c r="E313" s="16" t="s">
        <v>20</v>
      </c>
      <c r="F313" s="31">
        <v>349</v>
      </c>
      <c r="G313" s="17" t="s">
        <v>56</v>
      </c>
      <c r="H313" s="17" t="s">
        <v>52</v>
      </c>
      <c r="I313" s="17" t="s">
        <v>17</v>
      </c>
      <c r="J313" s="27">
        <v>0.1</v>
      </c>
      <c r="K313" s="17" t="s">
        <v>935</v>
      </c>
      <c r="L313" s="32">
        <v>18</v>
      </c>
      <c r="M313" s="32">
        <f>_xlfn.XLOOKUP(Table2_1[[#This Row],[Product Code]],Product_Code,Unit_Price,0)</f>
        <v>36</v>
      </c>
      <c r="N313" s="31">
        <f>DATEDIF(Table2_1[[#This Row],[Buyer Date of Birth]],Table2_1[[#This Row],[Transaction  Date]],"Y")</f>
        <v>53</v>
      </c>
      <c r="O313" s="33">
        <v>6282</v>
      </c>
      <c r="P313" s="33">
        <f>Table2_1[[#This Row],[Quantity Purchased]]*Table2_1[[#This Row],[UnitPrice]]*(1-Table2_1[[#This Row],[Discount]])</f>
        <v>11307.6</v>
      </c>
      <c r="Q313" s="33">
        <f>Table2_1[[#This Row],[Revenue]]-Table2_1[[#This Row],[COGS]]</f>
        <v>5025.6000000000004</v>
      </c>
      <c r="R313" s="39">
        <f>WEEKDAY(Table2_1[[#This Row],[Transaction  Date]])</f>
        <v>7</v>
      </c>
      <c r="S313" s="17" t="str">
        <f>IF(WEEKDAY(Table2_1[[#This Row],[Transaction  Date]],2)&lt;=5,"Weekday","Weekend")</f>
        <v>Weekend</v>
      </c>
      <c r="T313" s="37" t="str">
        <f>FLOOR(Table2_1[[#This Row],[Age]],15)&amp; "-"&amp; FLOOR(Table2_1[[#This Row],[Age]],15)+14</f>
        <v>45-59</v>
      </c>
    </row>
    <row r="314" spans="1:20" x14ac:dyDescent="0.3">
      <c r="A314" s="18">
        <v>45353</v>
      </c>
      <c r="B314" s="17" t="s">
        <v>1224</v>
      </c>
      <c r="C314" s="17" t="s">
        <v>94</v>
      </c>
      <c r="D314" s="18">
        <v>32610</v>
      </c>
      <c r="E314" s="16" t="s">
        <v>68</v>
      </c>
      <c r="F314" s="31">
        <v>244</v>
      </c>
      <c r="G314" s="17" t="s">
        <v>59</v>
      </c>
      <c r="H314" s="17" t="s">
        <v>52</v>
      </c>
      <c r="I314" s="17" t="s">
        <v>17</v>
      </c>
      <c r="J314" s="27">
        <v>0.1</v>
      </c>
      <c r="K314" s="17" t="s">
        <v>932</v>
      </c>
      <c r="L314" s="32">
        <v>19</v>
      </c>
      <c r="M314" s="32">
        <f>_xlfn.XLOOKUP(Table2_1[[#This Row],[Product Code]],Product_Code,Unit_Price,0)</f>
        <v>23</v>
      </c>
      <c r="N314" s="31">
        <f>DATEDIF(Table2_1[[#This Row],[Buyer Date of Birth]],Table2_1[[#This Row],[Transaction  Date]],"Y")</f>
        <v>34</v>
      </c>
      <c r="O314" s="33">
        <v>4636</v>
      </c>
      <c r="P314" s="33">
        <f>Table2_1[[#This Row],[Quantity Purchased]]*Table2_1[[#This Row],[UnitPrice]]*(1-Table2_1[[#This Row],[Discount]])</f>
        <v>5050.8</v>
      </c>
      <c r="Q314" s="33">
        <f>Table2_1[[#This Row],[Revenue]]-Table2_1[[#This Row],[COGS]]</f>
        <v>414.80000000000018</v>
      </c>
      <c r="R314" s="39">
        <f>WEEKDAY(Table2_1[[#This Row],[Transaction  Date]])</f>
        <v>7</v>
      </c>
      <c r="S314" s="17" t="str">
        <f>IF(WEEKDAY(Table2_1[[#This Row],[Transaction  Date]],2)&lt;=5,"Weekday","Weekend")</f>
        <v>Weekend</v>
      </c>
      <c r="T314" s="37" t="str">
        <f>FLOOR(Table2_1[[#This Row],[Age]],15)&amp; "-"&amp; FLOOR(Table2_1[[#This Row],[Age]],15)+14</f>
        <v>30-44</v>
      </c>
    </row>
    <row r="315" spans="1:20" x14ac:dyDescent="0.3">
      <c r="A315" s="18">
        <v>45354</v>
      </c>
      <c r="B315" s="17" t="s">
        <v>1225</v>
      </c>
      <c r="C315" s="17" t="s">
        <v>94</v>
      </c>
      <c r="D315" s="18">
        <v>24190</v>
      </c>
      <c r="E315" s="16" t="s">
        <v>33</v>
      </c>
      <c r="F315" s="31">
        <v>20</v>
      </c>
      <c r="G315" s="17" t="s">
        <v>56</v>
      </c>
      <c r="H315" s="17" t="s">
        <v>28</v>
      </c>
      <c r="I315" s="17" t="s">
        <v>17</v>
      </c>
      <c r="J315" s="27">
        <v>0.1</v>
      </c>
      <c r="K315" s="17" t="s">
        <v>935</v>
      </c>
      <c r="L315" s="32">
        <v>18</v>
      </c>
      <c r="M315" s="32">
        <f>_xlfn.XLOOKUP(Table2_1[[#This Row],[Product Code]],Product_Code,Unit_Price,0)</f>
        <v>36</v>
      </c>
      <c r="N315" s="31">
        <f>DATEDIF(Table2_1[[#This Row],[Buyer Date of Birth]],Table2_1[[#This Row],[Transaction  Date]],"Y")</f>
        <v>57</v>
      </c>
      <c r="O315" s="33">
        <v>360</v>
      </c>
      <c r="P315" s="33">
        <f>Table2_1[[#This Row],[Quantity Purchased]]*Table2_1[[#This Row],[UnitPrice]]*(1-Table2_1[[#This Row],[Discount]])</f>
        <v>648</v>
      </c>
      <c r="Q315" s="33">
        <f>Table2_1[[#This Row],[Revenue]]-Table2_1[[#This Row],[COGS]]</f>
        <v>288</v>
      </c>
      <c r="R315" s="39">
        <f>WEEKDAY(Table2_1[[#This Row],[Transaction  Date]])</f>
        <v>1</v>
      </c>
      <c r="S315" s="17" t="str">
        <f>IF(WEEKDAY(Table2_1[[#This Row],[Transaction  Date]],2)&lt;=5,"Weekday","Weekend")</f>
        <v>Weekend</v>
      </c>
      <c r="T315" s="37" t="str">
        <f>FLOOR(Table2_1[[#This Row],[Age]],15)&amp; "-"&amp; FLOOR(Table2_1[[#This Row],[Age]],15)+14</f>
        <v>45-59</v>
      </c>
    </row>
    <row r="316" spans="1:20" x14ac:dyDescent="0.3">
      <c r="A316" s="18">
        <v>45354</v>
      </c>
      <c r="B316" s="17" t="s">
        <v>1226</v>
      </c>
      <c r="C316" s="17" t="s">
        <v>46</v>
      </c>
      <c r="D316" s="18">
        <v>38461</v>
      </c>
      <c r="E316" s="16" t="s">
        <v>68</v>
      </c>
      <c r="F316" s="31">
        <v>284</v>
      </c>
      <c r="G316" s="17" t="s">
        <v>21</v>
      </c>
      <c r="H316" s="17" t="s">
        <v>43</v>
      </c>
      <c r="I316" s="17" t="s">
        <v>17</v>
      </c>
      <c r="J316" s="27">
        <v>0.1</v>
      </c>
      <c r="K316" s="17" t="s">
        <v>934</v>
      </c>
      <c r="L316" s="32">
        <v>10</v>
      </c>
      <c r="M316" s="32">
        <f>_xlfn.XLOOKUP(Table2_1[[#This Row],[Product Code]],Product_Code,Unit_Price,0)</f>
        <v>45</v>
      </c>
      <c r="N316" s="31">
        <f>DATEDIF(Table2_1[[#This Row],[Buyer Date of Birth]],Table2_1[[#This Row],[Transaction  Date]],"Y")</f>
        <v>18</v>
      </c>
      <c r="O316" s="33">
        <v>2840</v>
      </c>
      <c r="P316" s="33">
        <f>Table2_1[[#This Row],[Quantity Purchased]]*Table2_1[[#This Row],[UnitPrice]]*(1-Table2_1[[#This Row],[Discount]])</f>
        <v>11502</v>
      </c>
      <c r="Q316" s="33">
        <f>Table2_1[[#This Row],[Revenue]]-Table2_1[[#This Row],[COGS]]</f>
        <v>8662</v>
      </c>
      <c r="R316" s="39">
        <f>WEEKDAY(Table2_1[[#This Row],[Transaction  Date]])</f>
        <v>1</v>
      </c>
      <c r="S316" s="17" t="str">
        <f>IF(WEEKDAY(Table2_1[[#This Row],[Transaction  Date]],2)&lt;=5,"Weekday","Weekend")</f>
        <v>Weekend</v>
      </c>
      <c r="T316" s="37" t="str">
        <f>FLOOR(Table2_1[[#This Row],[Age]],15)&amp; "-"&amp; FLOOR(Table2_1[[#This Row],[Age]],15)+14</f>
        <v>15-29</v>
      </c>
    </row>
    <row r="317" spans="1:20" x14ac:dyDescent="0.3">
      <c r="A317" s="18">
        <v>45354</v>
      </c>
      <c r="B317" s="17" t="s">
        <v>1227</v>
      </c>
      <c r="C317" s="17" t="s">
        <v>51</v>
      </c>
      <c r="D317" s="18">
        <v>38101</v>
      </c>
      <c r="E317" s="16" t="s">
        <v>68</v>
      </c>
      <c r="F317" s="31">
        <v>351</v>
      </c>
      <c r="G317" s="17" t="s">
        <v>34</v>
      </c>
      <c r="H317" s="17" t="s">
        <v>52</v>
      </c>
      <c r="I317" s="17" t="s">
        <v>17</v>
      </c>
      <c r="J317" s="27">
        <v>0.1</v>
      </c>
      <c r="K317" s="17" t="s">
        <v>930</v>
      </c>
      <c r="L317" s="32">
        <v>14</v>
      </c>
      <c r="M317" s="32">
        <f>_xlfn.XLOOKUP(Table2_1[[#This Row],[Product Code]],Product_Code,Unit_Price,0)</f>
        <v>28</v>
      </c>
      <c r="N317" s="31">
        <f>DATEDIF(Table2_1[[#This Row],[Buyer Date of Birth]],Table2_1[[#This Row],[Transaction  Date]],"Y")</f>
        <v>19</v>
      </c>
      <c r="O317" s="33">
        <v>4914</v>
      </c>
      <c r="P317" s="33">
        <f>Table2_1[[#This Row],[Quantity Purchased]]*Table2_1[[#This Row],[UnitPrice]]*(1-Table2_1[[#This Row],[Discount]])</f>
        <v>8845.2000000000007</v>
      </c>
      <c r="Q317" s="33">
        <f>Table2_1[[#This Row],[Revenue]]-Table2_1[[#This Row],[COGS]]</f>
        <v>3931.2000000000007</v>
      </c>
      <c r="R317" s="39">
        <f>WEEKDAY(Table2_1[[#This Row],[Transaction  Date]])</f>
        <v>1</v>
      </c>
      <c r="S317" s="17" t="str">
        <f>IF(WEEKDAY(Table2_1[[#This Row],[Transaction  Date]],2)&lt;=5,"Weekday","Weekend")</f>
        <v>Weekend</v>
      </c>
      <c r="T317" s="37" t="str">
        <f>FLOOR(Table2_1[[#This Row],[Age]],15)&amp; "-"&amp; FLOOR(Table2_1[[#This Row],[Age]],15)+14</f>
        <v>15-29</v>
      </c>
    </row>
    <row r="318" spans="1:20" x14ac:dyDescent="0.3">
      <c r="A318" s="18">
        <v>45354</v>
      </c>
      <c r="B318" s="17" t="s">
        <v>1228</v>
      </c>
      <c r="C318" s="17" t="s">
        <v>51</v>
      </c>
      <c r="D318" s="18">
        <v>28735</v>
      </c>
      <c r="E318" s="16" t="s">
        <v>33</v>
      </c>
      <c r="F318" s="31">
        <v>207</v>
      </c>
      <c r="G318" s="17" t="s">
        <v>21</v>
      </c>
      <c r="H318" s="17" t="s">
        <v>39</v>
      </c>
      <c r="I318" s="17" t="s">
        <v>17</v>
      </c>
      <c r="J318" s="27">
        <v>0.1</v>
      </c>
      <c r="K318" s="17" t="s">
        <v>934</v>
      </c>
      <c r="L318" s="32">
        <v>10</v>
      </c>
      <c r="M318" s="32">
        <f>_xlfn.XLOOKUP(Table2_1[[#This Row],[Product Code]],Product_Code,Unit_Price,0)</f>
        <v>45</v>
      </c>
      <c r="N318" s="31">
        <f>DATEDIF(Table2_1[[#This Row],[Buyer Date of Birth]],Table2_1[[#This Row],[Transaction  Date]],"Y")</f>
        <v>45</v>
      </c>
      <c r="O318" s="33">
        <v>2070</v>
      </c>
      <c r="P318" s="33">
        <f>Table2_1[[#This Row],[Quantity Purchased]]*Table2_1[[#This Row],[UnitPrice]]*(1-Table2_1[[#This Row],[Discount]])</f>
        <v>8383.5</v>
      </c>
      <c r="Q318" s="33">
        <f>Table2_1[[#This Row],[Revenue]]-Table2_1[[#This Row],[COGS]]</f>
        <v>6313.5</v>
      </c>
      <c r="R318" s="39">
        <f>WEEKDAY(Table2_1[[#This Row],[Transaction  Date]])</f>
        <v>1</v>
      </c>
      <c r="S318" s="17" t="str">
        <f>IF(WEEKDAY(Table2_1[[#This Row],[Transaction  Date]],2)&lt;=5,"Weekday","Weekend")</f>
        <v>Weekend</v>
      </c>
      <c r="T318" s="37" t="str">
        <f>FLOOR(Table2_1[[#This Row],[Age]],15)&amp; "-"&amp; FLOOR(Table2_1[[#This Row],[Age]],15)+14</f>
        <v>45-59</v>
      </c>
    </row>
    <row r="319" spans="1:20" x14ac:dyDescent="0.3">
      <c r="A319" s="18">
        <v>45354</v>
      </c>
      <c r="B319" s="17" t="s">
        <v>1229</v>
      </c>
      <c r="C319" s="17" t="s">
        <v>78</v>
      </c>
      <c r="D319" s="18">
        <v>17440</v>
      </c>
      <c r="E319" s="16" t="s">
        <v>14</v>
      </c>
      <c r="F319" s="31">
        <v>319</v>
      </c>
      <c r="G319" s="17" t="s">
        <v>65</v>
      </c>
      <c r="H319" s="17" t="s">
        <v>52</v>
      </c>
      <c r="I319" s="17" t="s">
        <v>17</v>
      </c>
      <c r="J319" s="27">
        <v>0.1</v>
      </c>
      <c r="K319" s="17" t="s">
        <v>928</v>
      </c>
      <c r="L319" s="32">
        <v>3</v>
      </c>
      <c r="M319" s="32">
        <f>_xlfn.XLOOKUP(Table2_1[[#This Row],[Product Code]],Product_Code,Unit_Price,0)</f>
        <v>5</v>
      </c>
      <c r="N319" s="31">
        <f>DATEDIF(Table2_1[[#This Row],[Buyer Date of Birth]],Table2_1[[#This Row],[Transaction  Date]],"Y")</f>
        <v>76</v>
      </c>
      <c r="O319" s="33">
        <v>957</v>
      </c>
      <c r="P319" s="33">
        <f>Table2_1[[#This Row],[Quantity Purchased]]*Table2_1[[#This Row],[UnitPrice]]*(1-Table2_1[[#This Row],[Discount]])</f>
        <v>1435.5</v>
      </c>
      <c r="Q319" s="33">
        <f>Table2_1[[#This Row],[Revenue]]-Table2_1[[#This Row],[COGS]]</f>
        <v>478.5</v>
      </c>
      <c r="R319" s="39">
        <f>WEEKDAY(Table2_1[[#This Row],[Transaction  Date]])</f>
        <v>1</v>
      </c>
      <c r="S319" s="17" t="str">
        <f>IF(WEEKDAY(Table2_1[[#This Row],[Transaction  Date]],2)&lt;=5,"Weekday","Weekend")</f>
        <v>Weekend</v>
      </c>
      <c r="T319" s="37" t="str">
        <f>FLOOR(Table2_1[[#This Row],[Age]],15)&amp; "-"&amp; FLOOR(Table2_1[[#This Row],[Age]],15)+14</f>
        <v>75-89</v>
      </c>
    </row>
    <row r="320" spans="1:20" x14ac:dyDescent="0.3">
      <c r="A320" s="18">
        <v>45355</v>
      </c>
      <c r="B320" s="17" t="s">
        <v>1230</v>
      </c>
      <c r="C320" s="17" t="s">
        <v>26</v>
      </c>
      <c r="D320" s="18">
        <v>28558</v>
      </c>
      <c r="E320" s="16" t="s">
        <v>14</v>
      </c>
      <c r="F320" s="31">
        <v>440</v>
      </c>
      <c r="G320" s="17" t="s">
        <v>56</v>
      </c>
      <c r="H320" s="17" t="s">
        <v>52</v>
      </c>
      <c r="I320" s="17" t="s">
        <v>17</v>
      </c>
      <c r="J320" s="27">
        <v>0.1</v>
      </c>
      <c r="K320" s="17" t="s">
        <v>935</v>
      </c>
      <c r="L320" s="32">
        <v>18</v>
      </c>
      <c r="M320" s="32">
        <f>_xlfn.XLOOKUP(Table2_1[[#This Row],[Product Code]],Product_Code,Unit_Price,0)</f>
        <v>36</v>
      </c>
      <c r="N320" s="31">
        <f>DATEDIF(Table2_1[[#This Row],[Buyer Date of Birth]],Table2_1[[#This Row],[Transaction  Date]],"Y")</f>
        <v>45</v>
      </c>
      <c r="O320" s="33">
        <v>7920</v>
      </c>
      <c r="P320" s="33">
        <f>Table2_1[[#This Row],[Quantity Purchased]]*Table2_1[[#This Row],[UnitPrice]]*(1-Table2_1[[#This Row],[Discount]])</f>
        <v>14256</v>
      </c>
      <c r="Q320" s="33">
        <f>Table2_1[[#This Row],[Revenue]]-Table2_1[[#This Row],[COGS]]</f>
        <v>6336</v>
      </c>
      <c r="R320" s="39">
        <f>WEEKDAY(Table2_1[[#This Row],[Transaction  Date]])</f>
        <v>2</v>
      </c>
      <c r="S320" s="17" t="str">
        <f>IF(WEEKDAY(Table2_1[[#This Row],[Transaction  Date]],2)&lt;=5,"Weekday","Weekend")</f>
        <v>Weekday</v>
      </c>
      <c r="T320" s="37" t="str">
        <f>FLOOR(Table2_1[[#This Row],[Age]],15)&amp; "-"&amp; FLOOR(Table2_1[[#This Row],[Age]],15)+14</f>
        <v>45-59</v>
      </c>
    </row>
    <row r="321" spans="1:20" x14ac:dyDescent="0.3">
      <c r="A321" s="18">
        <v>45355</v>
      </c>
      <c r="B321" s="17" t="s">
        <v>1231</v>
      </c>
      <c r="C321" s="17" t="s">
        <v>94</v>
      </c>
      <c r="D321" s="18">
        <v>17663</v>
      </c>
      <c r="E321" s="16" t="s">
        <v>33</v>
      </c>
      <c r="F321" s="31">
        <v>492</v>
      </c>
      <c r="G321" s="17" t="s">
        <v>47</v>
      </c>
      <c r="H321" s="17" t="s">
        <v>52</v>
      </c>
      <c r="I321" s="17" t="s">
        <v>23</v>
      </c>
      <c r="J321" s="27">
        <v>0.1</v>
      </c>
      <c r="K321" s="17" t="s">
        <v>931</v>
      </c>
      <c r="L321" s="32">
        <v>7</v>
      </c>
      <c r="M321" s="32">
        <f>_xlfn.XLOOKUP(Table2_1[[#This Row],[Product Code]],Product_Code,Unit_Price,0)</f>
        <v>9</v>
      </c>
      <c r="N321" s="31">
        <f>DATEDIF(Table2_1[[#This Row],[Buyer Date of Birth]],Table2_1[[#This Row],[Transaction  Date]],"Y")</f>
        <v>75</v>
      </c>
      <c r="O321" s="33">
        <v>3444</v>
      </c>
      <c r="P321" s="33">
        <f>Table2_1[[#This Row],[Quantity Purchased]]*Table2_1[[#This Row],[UnitPrice]]*(1-Table2_1[[#This Row],[Discount]])</f>
        <v>3985.2000000000003</v>
      </c>
      <c r="Q321" s="33">
        <f>Table2_1[[#This Row],[Revenue]]-Table2_1[[#This Row],[COGS]]</f>
        <v>541.20000000000027</v>
      </c>
      <c r="R321" s="39">
        <f>WEEKDAY(Table2_1[[#This Row],[Transaction  Date]])</f>
        <v>2</v>
      </c>
      <c r="S321" s="17" t="str">
        <f>IF(WEEKDAY(Table2_1[[#This Row],[Transaction  Date]],2)&lt;=5,"Weekday","Weekend")</f>
        <v>Weekday</v>
      </c>
      <c r="T321" s="37" t="str">
        <f>FLOOR(Table2_1[[#This Row],[Age]],15)&amp; "-"&amp; FLOOR(Table2_1[[#This Row],[Age]],15)+14</f>
        <v>75-89</v>
      </c>
    </row>
    <row r="322" spans="1:20" x14ac:dyDescent="0.3">
      <c r="A322" s="18">
        <v>45355</v>
      </c>
      <c r="B322" s="17" t="s">
        <v>1232</v>
      </c>
      <c r="C322" s="17" t="s">
        <v>51</v>
      </c>
      <c r="D322" s="18">
        <v>29648</v>
      </c>
      <c r="E322" s="16" t="s">
        <v>33</v>
      </c>
      <c r="F322" s="31">
        <v>246</v>
      </c>
      <c r="G322" s="17" t="s">
        <v>47</v>
      </c>
      <c r="H322" s="17" t="s">
        <v>48</v>
      </c>
      <c r="I322" s="17" t="s">
        <v>17</v>
      </c>
      <c r="J322" s="27">
        <v>0.1</v>
      </c>
      <c r="K322" s="17" t="s">
        <v>931</v>
      </c>
      <c r="L322" s="32">
        <v>7</v>
      </c>
      <c r="M322" s="32">
        <f>_xlfn.XLOOKUP(Table2_1[[#This Row],[Product Code]],Product_Code,Unit_Price,0)</f>
        <v>9</v>
      </c>
      <c r="N322" s="31">
        <f>DATEDIF(Table2_1[[#This Row],[Buyer Date of Birth]],Table2_1[[#This Row],[Transaction  Date]],"Y")</f>
        <v>43</v>
      </c>
      <c r="O322" s="33">
        <v>1722</v>
      </c>
      <c r="P322" s="33">
        <f>Table2_1[[#This Row],[Quantity Purchased]]*Table2_1[[#This Row],[UnitPrice]]*(1-Table2_1[[#This Row],[Discount]])</f>
        <v>1992.6000000000001</v>
      </c>
      <c r="Q322" s="33">
        <f>Table2_1[[#This Row],[Revenue]]-Table2_1[[#This Row],[COGS]]</f>
        <v>270.60000000000014</v>
      </c>
      <c r="R322" s="39">
        <f>WEEKDAY(Table2_1[[#This Row],[Transaction  Date]])</f>
        <v>2</v>
      </c>
      <c r="S322" s="17" t="str">
        <f>IF(WEEKDAY(Table2_1[[#This Row],[Transaction  Date]],2)&lt;=5,"Weekday","Weekend")</f>
        <v>Weekday</v>
      </c>
      <c r="T322" s="37" t="str">
        <f>FLOOR(Table2_1[[#This Row],[Age]],15)&amp; "-"&amp; FLOOR(Table2_1[[#This Row],[Age]],15)+14</f>
        <v>30-44</v>
      </c>
    </row>
    <row r="323" spans="1:20" x14ac:dyDescent="0.3">
      <c r="A323" s="18">
        <v>45355</v>
      </c>
      <c r="B323" s="17" t="s">
        <v>1233</v>
      </c>
      <c r="C323" s="17" t="s">
        <v>83</v>
      </c>
      <c r="D323" s="18">
        <v>21176</v>
      </c>
      <c r="E323" s="16" t="s">
        <v>14</v>
      </c>
      <c r="F323" s="31">
        <v>475</v>
      </c>
      <c r="G323" s="17" t="s">
        <v>56</v>
      </c>
      <c r="H323" s="17" t="s">
        <v>52</v>
      </c>
      <c r="I323" s="17" t="s">
        <v>17</v>
      </c>
      <c r="J323" s="27">
        <v>0.1</v>
      </c>
      <c r="K323" s="17" t="s">
        <v>935</v>
      </c>
      <c r="L323" s="32">
        <v>18</v>
      </c>
      <c r="M323" s="32">
        <f>_xlfn.XLOOKUP(Table2_1[[#This Row],[Product Code]],Product_Code,Unit_Price,0)</f>
        <v>36</v>
      </c>
      <c r="N323" s="31">
        <f>DATEDIF(Table2_1[[#This Row],[Buyer Date of Birth]],Table2_1[[#This Row],[Transaction  Date]],"Y")</f>
        <v>66</v>
      </c>
      <c r="O323" s="33">
        <v>8550</v>
      </c>
      <c r="P323" s="33">
        <f>Table2_1[[#This Row],[Quantity Purchased]]*Table2_1[[#This Row],[UnitPrice]]*(1-Table2_1[[#This Row],[Discount]])</f>
        <v>15390</v>
      </c>
      <c r="Q323" s="33">
        <f>Table2_1[[#This Row],[Revenue]]-Table2_1[[#This Row],[COGS]]</f>
        <v>6840</v>
      </c>
      <c r="R323" s="39">
        <f>WEEKDAY(Table2_1[[#This Row],[Transaction  Date]])</f>
        <v>2</v>
      </c>
      <c r="S323" s="17" t="str">
        <f>IF(WEEKDAY(Table2_1[[#This Row],[Transaction  Date]],2)&lt;=5,"Weekday","Weekend")</f>
        <v>Weekday</v>
      </c>
      <c r="T323" s="37" t="str">
        <f>FLOOR(Table2_1[[#This Row],[Age]],15)&amp; "-"&amp; FLOOR(Table2_1[[#This Row],[Age]],15)+14</f>
        <v>60-74</v>
      </c>
    </row>
    <row r="324" spans="1:20" x14ac:dyDescent="0.3">
      <c r="A324" s="18">
        <v>45355</v>
      </c>
      <c r="B324" s="17" t="s">
        <v>1234</v>
      </c>
      <c r="C324" s="17" t="s">
        <v>78</v>
      </c>
      <c r="D324" s="18">
        <v>24395</v>
      </c>
      <c r="E324" s="16" t="s">
        <v>33</v>
      </c>
      <c r="F324" s="31">
        <v>252</v>
      </c>
      <c r="G324" s="17" t="s">
        <v>15</v>
      </c>
      <c r="H324" s="17" t="s">
        <v>43</v>
      </c>
      <c r="I324" s="17" t="s">
        <v>17</v>
      </c>
      <c r="J324" s="27">
        <v>0.1</v>
      </c>
      <c r="K324" s="17" t="s">
        <v>929</v>
      </c>
      <c r="L324" s="32">
        <v>10</v>
      </c>
      <c r="M324" s="32">
        <f>_xlfn.XLOOKUP(Table2_1[[#This Row],[Product Code]],Product_Code,Unit_Price,0)</f>
        <v>14</v>
      </c>
      <c r="N324" s="31">
        <f>DATEDIF(Table2_1[[#This Row],[Buyer Date of Birth]],Table2_1[[#This Row],[Transaction  Date]],"Y")</f>
        <v>57</v>
      </c>
      <c r="O324" s="33">
        <v>2520</v>
      </c>
      <c r="P324" s="33">
        <f>Table2_1[[#This Row],[Quantity Purchased]]*Table2_1[[#This Row],[UnitPrice]]*(1-Table2_1[[#This Row],[Discount]])</f>
        <v>3175.2000000000003</v>
      </c>
      <c r="Q324" s="33">
        <f>Table2_1[[#This Row],[Revenue]]-Table2_1[[#This Row],[COGS]]</f>
        <v>655.20000000000027</v>
      </c>
      <c r="R324" s="39">
        <f>WEEKDAY(Table2_1[[#This Row],[Transaction  Date]])</f>
        <v>2</v>
      </c>
      <c r="S324" s="17" t="str">
        <f>IF(WEEKDAY(Table2_1[[#This Row],[Transaction  Date]],2)&lt;=5,"Weekday","Weekend")</f>
        <v>Weekday</v>
      </c>
      <c r="T324" s="37" t="str">
        <f>FLOOR(Table2_1[[#This Row],[Age]],15)&amp; "-"&amp; FLOOR(Table2_1[[#This Row],[Age]],15)+14</f>
        <v>45-59</v>
      </c>
    </row>
    <row r="325" spans="1:20" x14ac:dyDescent="0.3">
      <c r="A325" s="18">
        <v>45356</v>
      </c>
      <c r="B325" s="17" t="s">
        <v>1848</v>
      </c>
      <c r="C325" s="17" t="s">
        <v>55</v>
      </c>
      <c r="D325" s="18">
        <v>23912</v>
      </c>
      <c r="E325" s="16" t="s">
        <v>20</v>
      </c>
      <c r="F325" s="31">
        <v>264</v>
      </c>
      <c r="G325" s="17" t="s">
        <v>34</v>
      </c>
      <c r="H325" s="17" t="s">
        <v>52</v>
      </c>
      <c r="I325" s="17" t="s">
        <v>17</v>
      </c>
      <c r="J325" s="27">
        <v>0.1</v>
      </c>
      <c r="K325" s="17" t="s">
        <v>930</v>
      </c>
      <c r="L325" s="32">
        <v>14</v>
      </c>
      <c r="M325" s="32">
        <f>_xlfn.XLOOKUP(Table2_1[[#This Row],[Product Code]],Product_Code,Unit_Price,0)</f>
        <v>28</v>
      </c>
      <c r="N325" s="31">
        <f>DATEDIF(Table2_1[[#This Row],[Buyer Date of Birth]],Table2_1[[#This Row],[Transaction  Date]],"Y")</f>
        <v>58</v>
      </c>
      <c r="O325" s="33">
        <v>3696</v>
      </c>
      <c r="P325" s="33">
        <f>Table2_1[[#This Row],[Quantity Purchased]]*Table2_1[[#This Row],[UnitPrice]]*(1-Table2_1[[#This Row],[Discount]])</f>
        <v>6652.8</v>
      </c>
      <c r="Q325" s="33">
        <f>Table2_1[[#This Row],[Revenue]]-Table2_1[[#This Row],[COGS]]</f>
        <v>2956.8</v>
      </c>
      <c r="R325" s="39">
        <f>WEEKDAY(Table2_1[[#This Row],[Transaction  Date]])</f>
        <v>3</v>
      </c>
      <c r="S325" s="17" t="str">
        <f>IF(WEEKDAY(Table2_1[[#This Row],[Transaction  Date]],2)&lt;=5,"Weekday","Weekend")</f>
        <v>Weekday</v>
      </c>
      <c r="T325" s="37" t="str">
        <f>FLOOR(Table2_1[[#This Row],[Age]],15)&amp; "-"&amp; FLOOR(Table2_1[[#This Row],[Age]],15)+14</f>
        <v>45-59</v>
      </c>
    </row>
    <row r="326" spans="1:20" x14ac:dyDescent="0.3">
      <c r="A326" s="18">
        <v>45356</v>
      </c>
      <c r="B326" s="17" t="s">
        <v>1849</v>
      </c>
      <c r="C326" s="17" t="s">
        <v>83</v>
      </c>
      <c r="D326" s="18">
        <v>32199</v>
      </c>
      <c r="E326" s="16" t="s">
        <v>20</v>
      </c>
      <c r="F326" s="31">
        <v>445</v>
      </c>
      <c r="G326" s="17" t="s">
        <v>32</v>
      </c>
      <c r="H326" s="17" t="s">
        <v>48</v>
      </c>
      <c r="I326" s="17" t="s">
        <v>17</v>
      </c>
      <c r="J326" s="27">
        <v>0.1</v>
      </c>
      <c r="K326" s="17" t="s">
        <v>32</v>
      </c>
      <c r="L326" s="32">
        <v>0</v>
      </c>
      <c r="M326" s="32">
        <f>_xlfn.XLOOKUP(Table2_1[[#This Row],[Product Code]],Product_Code,Unit_Price,0)</f>
        <v>0</v>
      </c>
      <c r="N326" s="31">
        <f>DATEDIF(Table2_1[[#This Row],[Buyer Date of Birth]],Table2_1[[#This Row],[Transaction  Date]],"Y")</f>
        <v>36</v>
      </c>
      <c r="O326" s="33">
        <v>0</v>
      </c>
      <c r="P326" s="33">
        <f>Table2_1[[#This Row],[Quantity Purchased]]*Table2_1[[#This Row],[UnitPrice]]*(1-Table2_1[[#This Row],[Discount]])</f>
        <v>0</v>
      </c>
      <c r="Q326" s="33">
        <f>Table2_1[[#This Row],[Revenue]]-Table2_1[[#This Row],[COGS]]</f>
        <v>0</v>
      </c>
      <c r="R326" s="39">
        <f>WEEKDAY(Table2_1[[#This Row],[Transaction  Date]])</f>
        <v>3</v>
      </c>
      <c r="S326" s="17" t="str">
        <f>IF(WEEKDAY(Table2_1[[#This Row],[Transaction  Date]],2)&lt;=5,"Weekday","Weekend")</f>
        <v>Weekday</v>
      </c>
      <c r="T326" s="37" t="str">
        <f>FLOOR(Table2_1[[#This Row],[Age]],15)&amp; "-"&amp; FLOOR(Table2_1[[#This Row],[Age]],15)+14</f>
        <v>30-44</v>
      </c>
    </row>
    <row r="327" spans="1:20" x14ac:dyDescent="0.3">
      <c r="A327" s="18">
        <v>45356</v>
      </c>
      <c r="B327" s="17" t="s">
        <v>224</v>
      </c>
      <c r="C327" s="17" t="s">
        <v>13</v>
      </c>
      <c r="D327" s="18" t="s">
        <v>32</v>
      </c>
      <c r="E327" s="16" t="s">
        <v>20</v>
      </c>
      <c r="F327" s="31">
        <v>158</v>
      </c>
      <c r="G327" s="17" t="s">
        <v>34</v>
      </c>
      <c r="H327" s="17" t="s">
        <v>48</v>
      </c>
      <c r="I327" s="17" t="s">
        <v>17</v>
      </c>
      <c r="J327" s="27">
        <v>0.1</v>
      </c>
      <c r="K327" s="17" t="s">
        <v>930</v>
      </c>
      <c r="L327" s="32">
        <v>14</v>
      </c>
      <c r="M327" s="32">
        <f>_xlfn.XLOOKUP(Table2_1[[#This Row],[Product Code]],Product_Code,Unit_Price,0)</f>
        <v>28</v>
      </c>
      <c r="N327" s="31" t="e">
        <f>DATEDIF(Table2_1[[#This Row],[Buyer Date of Birth]],Table2_1[[#This Row],[Transaction  Date]],"Y")</f>
        <v>#VALUE!</v>
      </c>
      <c r="O327" s="33">
        <v>2212</v>
      </c>
      <c r="P327" s="33">
        <f>Table2_1[[#This Row],[Quantity Purchased]]*Table2_1[[#This Row],[UnitPrice]]*(1-Table2_1[[#This Row],[Discount]])</f>
        <v>3981.6</v>
      </c>
      <c r="Q327" s="33">
        <f>Table2_1[[#This Row],[Revenue]]-Table2_1[[#This Row],[COGS]]</f>
        <v>1769.6</v>
      </c>
      <c r="R327" s="39">
        <f>WEEKDAY(Table2_1[[#This Row],[Transaction  Date]])</f>
        <v>3</v>
      </c>
      <c r="S327" s="17" t="str">
        <f>IF(WEEKDAY(Table2_1[[#This Row],[Transaction  Date]],2)&lt;=5,"Weekday","Weekend")</f>
        <v>Weekday</v>
      </c>
      <c r="T327" s="37" t="e">
        <f>FLOOR(Table2_1[[#This Row],[Age]],15)&amp; "-"&amp; FLOOR(Table2_1[[#This Row],[Age]],15)+14</f>
        <v>#VALUE!</v>
      </c>
    </row>
    <row r="328" spans="1:20" x14ac:dyDescent="0.3">
      <c r="A328" s="18">
        <v>45356</v>
      </c>
      <c r="B328" s="17" t="s">
        <v>1235</v>
      </c>
      <c r="C328" s="17" t="s">
        <v>78</v>
      </c>
      <c r="D328" s="18">
        <v>35848</v>
      </c>
      <c r="E328" s="16" t="s">
        <v>14</v>
      </c>
      <c r="F328" s="31">
        <v>73</v>
      </c>
      <c r="G328" s="17" t="s">
        <v>15</v>
      </c>
      <c r="H328" s="17" t="s">
        <v>48</v>
      </c>
      <c r="I328" s="17" t="s">
        <v>17</v>
      </c>
      <c r="J328" s="27">
        <v>0.1</v>
      </c>
      <c r="K328" s="17" t="s">
        <v>929</v>
      </c>
      <c r="L328" s="32">
        <v>10</v>
      </c>
      <c r="M328" s="32">
        <f>_xlfn.XLOOKUP(Table2_1[[#This Row],[Product Code]],Product_Code,Unit_Price,0)</f>
        <v>14</v>
      </c>
      <c r="N328" s="31">
        <f>DATEDIF(Table2_1[[#This Row],[Buyer Date of Birth]],Table2_1[[#This Row],[Transaction  Date]],"Y")</f>
        <v>26</v>
      </c>
      <c r="O328" s="33">
        <v>730</v>
      </c>
      <c r="P328" s="33">
        <f>Table2_1[[#This Row],[Quantity Purchased]]*Table2_1[[#This Row],[UnitPrice]]*(1-Table2_1[[#This Row],[Discount]])</f>
        <v>919.80000000000007</v>
      </c>
      <c r="Q328" s="33">
        <f>Table2_1[[#This Row],[Revenue]]-Table2_1[[#This Row],[COGS]]</f>
        <v>189.80000000000007</v>
      </c>
      <c r="R328" s="39">
        <f>WEEKDAY(Table2_1[[#This Row],[Transaction  Date]])</f>
        <v>3</v>
      </c>
      <c r="S328" s="17" t="str">
        <f>IF(WEEKDAY(Table2_1[[#This Row],[Transaction  Date]],2)&lt;=5,"Weekday","Weekend")</f>
        <v>Weekday</v>
      </c>
      <c r="T328" s="37" t="str">
        <f>FLOOR(Table2_1[[#This Row],[Age]],15)&amp; "-"&amp; FLOOR(Table2_1[[#This Row],[Age]],15)+14</f>
        <v>15-29</v>
      </c>
    </row>
    <row r="329" spans="1:20" x14ac:dyDescent="0.3">
      <c r="A329" s="18">
        <v>45357</v>
      </c>
      <c r="B329" s="17" t="s">
        <v>1236</v>
      </c>
      <c r="C329" s="17" t="s">
        <v>94</v>
      </c>
      <c r="D329" s="18">
        <v>37815</v>
      </c>
      <c r="E329" s="16" t="s">
        <v>68</v>
      </c>
      <c r="F329" s="31">
        <v>82</v>
      </c>
      <c r="G329" s="17" t="s">
        <v>65</v>
      </c>
      <c r="H329" s="17" t="s">
        <v>35</v>
      </c>
      <c r="I329" s="17" t="s">
        <v>29</v>
      </c>
      <c r="J329" s="27">
        <v>0.1</v>
      </c>
      <c r="K329" s="17" t="s">
        <v>928</v>
      </c>
      <c r="L329" s="32">
        <v>3</v>
      </c>
      <c r="M329" s="32">
        <f>_xlfn.XLOOKUP(Table2_1[[#This Row],[Product Code]],Product_Code,Unit_Price,0)</f>
        <v>5</v>
      </c>
      <c r="N329" s="31">
        <f>DATEDIF(Table2_1[[#This Row],[Buyer Date of Birth]],Table2_1[[#This Row],[Transaction  Date]],"Y")</f>
        <v>20</v>
      </c>
      <c r="O329" s="33">
        <v>246</v>
      </c>
      <c r="P329" s="33">
        <f>Table2_1[[#This Row],[Quantity Purchased]]*Table2_1[[#This Row],[UnitPrice]]*(1-Table2_1[[#This Row],[Discount]])</f>
        <v>369</v>
      </c>
      <c r="Q329" s="33">
        <f>Table2_1[[#This Row],[Revenue]]-Table2_1[[#This Row],[COGS]]</f>
        <v>123</v>
      </c>
      <c r="R329" s="39">
        <f>WEEKDAY(Table2_1[[#This Row],[Transaction  Date]])</f>
        <v>4</v>
      </c>
      <c r="S329" s="17" t="str">
        <f>IF(WEEKDAY(Table2_1[[#This Row],[Transaction  Date]],2)&lt;=5,"Weekday","Weekend")</f>
        <v>Weekday</v>
      </c>
      <c r="T329" s="37" t="str">
        <f>FLOOR(Table2_1[[#This Row],[Age]],15)&amp; "-"&amp; FLOOR(Table2_1[[#This Row],[Age]],15)+14</f>
        <v>15-29</v>
      </c>
    </row>
    <row r="330" spans="1:20" x14ac:dyDescent="0.3">
      <c r="A330" s="18">
        <v>45357</v>
      </c>
      <c r="B330" s="17" t="s">
        <v>1237</v>
      </c>
      <c r="C330" s="17" t="s">
        <v>94</v>
      </c>
      <c r="D330" s="18">
        <v>17824</v>
      </c>
      <c r="E330" s="16" t="s">
        <v>33</v>
      </c>
      <c r="F330" s="31">
        <v>385</v>
      </c>
      <c r="G330" s="17" t="s">
        <v>47</v>
      </c>
      <c r="H330" s="17" t="s">
        <v>48</v>
      </c>
      <c r="I330" s="17" t="s">
        <v>17</v>
      </c>
      <c r="J330" s="27">
        <v>0.1</v>
      </c>
      <c r="K330" s="17" t="s">
        <v>931</v>
      </c>
      <c r="L330" s="32">
        <v>7</v>
      </c>
      <c r="M330" s="32">
        <f>_xlfn.XLOOKUP(Table2_1[[#This Row],[Product Code]],Product_Code,Unit_Price,0)</f>
        <v>9</v>
      </c>
      <c r="N330" s="31">
        <f>DATEDIF(Table2_1[[#This Row],[Buyer Date of Birth]],Table2_1[[#This Row],[Transaction  Date]],"Y")</f>
        <v>75</v>
      </c>
      <c r="O330" s="33">
        <v>2695</v>
      </c>
      <c r="P330" s="33">
        <f>Table2_1[[#This Row],[Quantity Purchased]]*Table2_1[[#This Row],[UnitPrice]]*(1-Table2_1[[#This Row],[Discount]])</f>
        <v>3118.5</v>
      </c>
      <c r="Q330" s="33">
        <f>Table2_1[[#This Row],[Revenue]]-Table2_1[[#This Row],[COGS]]</f>
        <v>423.5</v>
      </c>
      <c r="R330" s="39">
        <f>WEEKDAY(Table2_1[[#This Row],[Transaction  Date]])</f>
        <v>4</v>
      </c>
      <c r="S330" s="17" t="str">
        <f>IF(WEEKDAY(Table2_1[[#This Row],[Transaction  Date]],2)&lt;=5,"Weekday","Weekend")</f>
        <v>Weekday</v>
      </c>
      <c r="T330" s="37" t="str">
        <f>FLOOR(Table2_1[[#This Row],[Age]],15)&amp; "-"&amp; FLOOR(Table2_1[[#This Row],[Age]],15)+14</f>
        <v>75-89</v>
      </c>
    </row>
    <row r="331" spans="1:20" x14ac:dyDescent="0.3">
      <c r="A331" s="18">
        <v>45358</v>
      </c>
      <c r="B331" s="17" t="s">
        <v>1850</v>
      </c>
      <c r="C331" s="17" t="s">
        <v>71</v>
      </c>
      <c r="D331" s="18">
        <v>26412</v>
      </c>
      <c r="E331" s="16" t="s">
        <v>33</v>
      </c>
      <c r="F331" s="31">
        <v>241</v>
      </c>
      <c r="G331" s="17" t="s">
        <v>34</v>
      </c>
      <c r="H331" s="17" t="s">
        <v>28</v>
      </c>
      <c r="I331" s="17" t="s">
        <v>17</v>
      </c>
      <c r="J331" s="27">
        <v>0.1</v>
      </c>
      <c r="K331" s="17" t="s">
        <v>930</v>
      </c>
      <c r="L331" s="32">
        <v>14</v>
      </c>
      <c r="M331" s="32">
        <f>_xlfn.XLOOKUP(Table2_1[[#This Row],[Product Code]],Product_Code,Unit_Price,0)</f>
        <v>28</v>
      </c>
      <c r="N331" s="31">
        <f>DATEDIF(Table2_1[[#This Row],[Buyer Date of Birth]],Table2_1[[#This Row],[Transaction  Date]],"Y")</f>
        <v>51</v>
      </c>
      <c r="O331" s="33">
        <v>3374</v>
      </c>
      <c r="P331" s="33">
        <f>Table2_1[[#This Row],[Quantity Purchased]]*Table2_1[[#This Row],[UnitPrice]]*(1-Table2_1[[#This Row],[Discount]])</f>
        <v>6073.2</v>
      </c>
      <c r="Q331" s="33">
        <f>Table2_1[[#This Row],[Revenue]]-Table2_1[[#This Row],[COGS]]</f>
        <v>2699.2</v>
      </c>
      <c r="R331" s="39">
        <f>WEEKDAY(Table2_1[[#This Row],[Transaction  Date]])</f>
        <v>5</v>
      </c>
      <c r="S331" s="17" t="str">
        <f>IF(WEEKDAY(Table2_1[[#This Row],[Transaction  Date]],2)&lt;=5,"Weekday","Weekend")</f>
        <v>Weekday</v>
      </c>
      <c r="T331" s="37" t="str">
        <f>FLOOR(Table2_1[[#This Row],[Age]],15)&amp; "-"&amp; FLOOR(Table2_1[[#This Row],[Age]],15)+14</f>
        <v>45-59</v>
      </c>
    </row>
    <row r="332" spans="1:20" x14ac:dyDescent="0.3">
      <c r="A332" s="18">
        <v>45358</v>
      </c>
      <c r="B332" s="17" t="s">
        <v>1238</v>
      </c>
      <c r="C332" s="17" t="s">
        <v>46</v>
      </c>
      <c r="D332" s="18">
        <v>19069</v>
      </c>
      <c r="E332" s="16" t="s">
        <v>14</v>
      </c>
      <c r="F332" s="31">
        <v>483</v>
      </c>
      <c r="G332" s="17" t="s">
        <v>15</v>
      </c>
      <c r="H332" s="17" t="s">
        <v>48</v>
      </c>
      <c r="I332" s="17" t="s">
        <v>17</v>
      </c>
      <c r="J332" s="27">
        <v>0.1</v>
      </c>
      <c r="K332" s="17" t="s">
        <v>929</v>
      </c>
      <c r="L332" s="32">
        <v>10</v>
      </c>
      <c r="M332" s="32">
        <f>_xlfn.XLOOKUP(Table2_1[[#This Row],[Product Code]],Product_Code,Unit_Price,0)</f>
        <v>14</v>
      </c>
      <c r="N332" s="31">
        <f>DATEDIF(Table2_1[[#This Row],[Buyer Date of Birth]],Table2_1[[#This Row],[Transaction  Date]],"Y")</f>
        <v>71</v>
      </c>
      <c r="O332" s="33">
        <v>4830</v>
      </c>
      <c r="P332" s="33">
        <f>Table2_1[[#This Row],[Quantity Purchased]]*Table2_1[[#This Row],[UnitPrice]]*(1-Table2_1[[#This Row],[Discount]])</f>
        <v>6085.8</v>
      </c>
      <c r="Q332" s="33">
        <f>Table2_1[[#This Row],[Revenue]]-Table2_1[[#This Row],[COGS]]</f>
        <v>1255.8000000000002</v>
      </c>
      <c r="R332" s="39">
        <f>WEEKDAY(Table2_1[[#This Row],[Transaction  Date]])</f>
        <v>5</v>
      </c>
      <c r="S332" s="17" t="str">
        <f>IF(WEEKDAY(Table2_1[[#This Row],[Transaction  Date]],2)&lt;=5,"Weekday","Weekend")</f>
        <v>Weekday</v>
      </c>
      <c r="T332" s="37" t="str">
        <f>FLOOR(Table2_1[[#This Row],[Age]],15)&amp; "-"&amp; FLOOR(Table2_1[[#This Row],[Age]],15)+14</f>
        <v>60-74</v>
      </c>
    </row>
    <row r="333" spans="1:20" x14ac:dyDescent="0.3">
      <c r="A333" s="18">
        <v>45358</v>
      </c>
      <c r="B333" s="17" t="s">
        <v>1239</v>
      </c>
      <c r="C333" s="17" t="s">
        <v>78</v>
      </c>
      <c r="D333" s="18">
        <v>31411</v>
      </c>
      <c r="E333" s="16" t="s">
        <v>68</v>
      </c>
      <c r="F333" s="31">
        <v>283</v>
      </c>
      <c r="G333" s="17" t="s">
        <v>65</v>
      </c>
      <c r="H333" s="17" t="s">
        <v>28</v>
      </c>
      <c r="I333" s="17" t="s">
        <v>23</v>
      </c>
      <c r="J333" s="27">
        <v>0.1</v>
      </c>
      <c r="K333" s="17" t="s">
        <v>928</v>
      </c>
      <c r="L333" s="32">
        <v>3</v>
      </c>
      <c r="M333" s="32">
        <f>_xlfn.XLOOKUP(Table2_1[[#This Row],[Product Code]],Product_Code,Unit_Price,0)</f>
        <v>5</v>
      </c>
      <c r="N333" s="31">
        <f>DATEDIF(Table2_1[[#This Row],[Buyer Date of Birth]],Table2_1[[#This Row],[Transaction  Date]],"Y")</f>
        <v>38</v>
      </c>
      <c r="O333" s="33">
        <v>849</v>
      </c>
      <c r="P333" s="33">
        <f>Table2_1[[#This Row],[Quantity Purchased]]*Table2_1[[#This Row],[UnitPrice]]*(1-Table2_1[[#This Row],[Discount]])</f>
        <v>1273.5</v>
      </c>
      <c r="Q333" s="33">
        <f>Table2_1[[#This Row],[Revenue]]-Table2_1[[#This Row],[COGS]]</f>
        <v>424.5</v>
      </c>
      <c r="R333" s="39">
        <f>WEEKDAY(Table2_1[[#This Row],[Transaction  Date]])</f>
        <v>5</v>
      </c>
      <c r="S333" s="17" t="str">
        <f>IF(WEEKDAY(Table2_1[[#This Row],[Transaction  Date]],2)&lt;=5,"Weekday","Weekend")</f>
        <v>Weekday</v>
      </c>
      <c r="T333" s="37" t="str">
        <f>FLOOR(Table2_1[[#This Row],[Age]],15)&amp; "-"&amp; FLOOR(Table2_1[[#This Row],[Age]],15)+14</f>
        <v>30-44</v>
      </c>
    </row>
    <row r="334" spans="1:20" x14ac:dyDescent="0.3">
      <c r="A334" s="18">
        <v>45359</v>
      </c>
      <c r="B334" s="17" t="s">
        <v>1240</v>
      </c>
      <c r="C334" s="17" t="s">
        <v>26</v>
      </c>
      <c r="D334" s="18">
        <v>26569</v>
      </c>
      <c r="E334" s="16" t="s">
        <v>68</v>
      </c>
      <c r="F334" s="31">
        <v>346</v>
      </c>
      <c r="G334" s="17" t="s">
        <v>15</v>
      </c>
      <c r="H334" s="17" t="s">
        <v>43</v>
      </c>
      <c r="I334" s="17" t="s">
        <v>29</v>
      </c>
      <c r="J334" s="27">
        <v>0.1</v>
      </c>
      <c r="K334" s="17" t="s">
        <v>929</v>
      </c>
      <c r="L334" s="32">
        <v>10</v>
      </c>
      <c r="M334" s="32">
        <f>_xlfn.XLOOKUP(Table2_1[[#This Row],[Product Code]],Product_Code,Unit_Price,0)</f>
        <v>14</v>
      </c>
      <c r="N334" s="31">
        <f>DATEDIF(Table2_1[[#This Row],[Buyer Date of Birth]],Table2_1[[#This Row],[Transaction  Date]],"Y")</f>
        <v>51</v>
      </c>
      <c r="O334" s="33">
        <v>3460</v>
      </c>
      <c r="P334" s="33">
        <f>Table2_1[[#This Row],[Quantity Purchased]]*Table2_1[[#This Row],[UnitPrice]]*(1-Table2_1[[#This Row],[Discount]])</f>
        <v>4359.6000000000004</v>
      </c>
      <c r="Q334" s="33">
        <f>Table2_1[[#This Row],[Revenue]]-Table2_1[[#This Row],[COGS]]</f>
        <v>899.60000000000036</v>
      </c>
      <c r="R334" s="39">
        <f>WEEKDAY(Table2_1[[#This Row],[Transaction  Date]])</f>
        <v>6</v>
      </c>
      <c r="S334" s="17" t="str">
        <f>IF(WEEKDAY(Table2_1[[#This Row],[Transaction  Date]],2)&lt;=5,"Weekday","Weekend")</f>
        <v>Weekday</v>
      </c>
      <c r="T334" s="37" t="str">
        <f>FLOOR(Table2_1[[#This Row],[Age]],15)&amp; "-"&amp; FLOOR(Table2_1[[#This Row],[Age]],15)+14</f>
        <v>45-59</v>
      </c>
    </row>
    <row r="335" spans="1:20" x14ac:dyDescent="0.3">
      <c r="A335" s="18">
        <v>45359</v>
      </c>
      <c r="B335" s="17" t="s">
        <v>1241</v>
      </c>
      <c r="C335" s="17" t="s">
        <v>32</v>
      </c>
      <c r="D335" s="18">
        <v>26865</v>
      </c>
      <c r="E335" s="16" t="s">
        <v>20</v>
      </c>
      <c r="F335" s="31">
        <v>455</v>
      </c>
      <c r="G335" s="17" t="s">
        <v>15</v>
      </c>
      <c r="H335" s="17" t="s">
        <v>48</v>
      </c>
      <c r="I335" s="17" t="s">
        <v>17</v>
      </c>
      <c r="J335" s="27">
        <v>0.1</v>
      </c>
      <c r="K335" s="17" t="s">
        <v>929</v>
      </c>
      <c r="L335" s="32">
        <v>10</v>
      </c>
      <c r="M335" s="32">
        <f>_xlfn.XLOOKUP(Table2_1[[#This Row],[Product Code]],Product_Code,Unit_Price,0)</f>
        <v>14</v>
      </c>
      <c r="N335" s="31">
        <f>DATEDIF(Table2_1[[#This Row],[Buyer Date of Birth]],Table2_1[[#This Row],[Transaction  Date]],"Y")</f>
        <v>50</v>
      </c>
      <c r="O335" s="33">
        <v>4550</v>
      </c>
      <c r="P335" s="33">
        <f>Table2_1[[#This Row],[Quantity Purchased]]*Table2_1[[#This Row],[UnitPrice]]*(1-Table2_1[[#This Row],[Discount]])</f>
        <v>5733</v>
      </c>
      <c r="Q335" s="33">
        <f>Table2_1[[#This Row],[Revenue]]-Table2_1[[#This Row],[COGS]]</f>
        <v>1183</v>
      </c>
      <c r="R335" s="39">
        <f>WEEKDAY(Table2_1[[#This Row],[Transaction  Date]])</f>
        <v>6</v>
      </c>
      <c r="S335" s="17" t="str">
        <f>IF(WEEKDAY(Table2_1[[#This Row],[Transaction  Date]],2)&lt;=5,"Weekday","Weekend")</f>
        <v>Weekday</v>
      </c>
      <c r="T335" s="37" t="str">
        <f>FLOOR(Table2_1[[#This Row],[Age]],15)&amp; "-"&amp; FLOOR(Table2_1[[#This Row],[Age]],15)+14</f>
        <v>45-59</v>
      </c>
    </row>
    <row r="336" spans="1:20" x14ac:dyDescent="0.3">
      <c r="A336" s="18">
        <v>45359</v>
      </c>
      <c r="B336" s="17" t="s">
        <v>1242</v>
      </c>
      <c r="C336" s="17" t="s">
        <v>46</v>
      </c>
      <c r="D336" s="18">
        <v>29689</v>
      </c>
      <c r="E336" s="16" t="s">
        <v>33</v>
      </c>
      <c r="F336" s="31">
        <v>361</v>
      </c>
      <c r="G336" s="17" t="s">
        <v>47</v>
      </c>
      <c r="H336" s="17" t="s">
        <v>48</v>
      </c>
      <c r="I336" s="17" t="s">
        <v>17</v>
      </c>
      <c r="J336" s="27">
        <v>0.1</v>
      </c>
      <c r="K336" s="17" t="s">
        <v>931</v>
      </c>
      <c r="L336" s="32">
        <v>7</v>
      </c>
      <c r="M336" s="32">
        <f>_xlfn.XLOOKUP(Table2_1[[#This Row],[Product Code]],Product_Code,Unit_Price,0)</f>
        <v>9</v>
      </c>
      <c r="N336" s="31">
        <f>DATEDIF(Table2_1[[#This Row],[Buyer Date of Birth]],Table2_1[[#This Row],[Transaction  Date]],"Y")</f>
        <v>42</v>
      </c>
      <c r="O336" s="33">
        <v>2527</v>
      </c>
      <c r="P336" s="33">
        <f>Table2_1[[#This Row],[Quantity Purchased]]*Table2_1[[#This Row],[UnitPrice]]*(1-Table2_1[[#This Row],[Discount]])</f>
        <v>2924.1</v>
      </c>
      <c r="Q336" s="33">
        <f>Table2_1[[#This Row],[Revenue]]-Table2_1[[#This Row],[COGS]]</f>
        <v>397.09999999999991</v>
      </c>
      <c r="R336" s="39">
        <f>WEEKDAY(Table2_1[[#This Row],[Transaction  Date]])</f>
        <v>6</v>
      </c>
      <c r="S336" s="17" t="str">
        <f>IF(WEEKDAY(Table2_1[[#This Row],[Transaction  Date]],2)&lt;=5,"Weekday","Weekend")</f>
        <v>Weekday</v>
      </c>
      <c r="T336" s="37" t="str">
        <f>FLOOR(Table2_1[[#This Row],[Age]],15)&amp; "-"&amp; FLOOR(Table2_1[[#This Row],[Age]],15)+14</f>
        <v>30-44</v>
      </c>
    </row>
    <row r="337" spans="1:20" x14ac:dyDescent="0.3">
      <c r="A337" s="18">
        <v>45359</v>
      </c>
      <c r="B337" s="17" t="s">
        <v>1851</v>
      </c>
      <c r="C337" s="17" t="s">
        <v>13</v>
      </c>
      <c r="D337" s="18">
        <v>36464</v>
      </c>
      <c r="E337" s="16" t="s">
        <v>68</v>
      </c>
      <c r="F337" s="31">
        <v>103</v>
      </c>
      <c r="G337" s="17" t="s">
        <v>27</v>
      </c>
      <c r="H337" s="17" t="s">
        <v>28</v>
      </c>
      <c r="I337" s="17" t="s">
        <v>17</v>
      </c>
      <c r="J337" s="27">
        <v>0.1</v>
      </c>
      <c r="K337" s="17" t="s">
        <v>927</v>
      </c>
      <c r="L337" s="32">
        <v>18</v>
      </c>
      <c r="M337" s="32">
        <f>_xlfn.XLOOKUP(Table2_1[[#This Row],[Product Code]],Product_Code,Unit_Price,0)</f>
        <v>22</v>
      </c>
      <c r="N337" s="31">
        <f>DATEDIF(Table2_1[[#This Row],[Buyer Date of Birth]],Table2_1[[#This Row],[Transaction  Date]],"Y")</f>
        <v>24</v>
      </c>
      <c r="O337" s="33">
        <v>1854</v>
      </c>
      <c r="P337" s="33">
        <f>Table2_1[[#This Row],[Quantity Purchased]]*Table2_1[[#This Row],[UnitPrice]]*(1-Table2_1[[#This Row],[Discount]])</f>
        <v>2039.4</v>
      </c>
      <c r="Q337" s="33">
        <f>Table2_1[[#This Row],[Revenue]]-Table2_1[[#This Row],[COGS]]</f>
        <v>185.40000000000009</v>
      </c>
      <c r="R337" s="39">
        <f>WEEKDAY(Table2_1[[#This Row],[Transaction  Date]])</f>
        <v>6</v>
      </c>
      <c r="S337" s="17" t="str">
        <f>IF(WEEKDAY(Table2_1[[#This Row],[Transaction  Date]],2)&lt;=5,"Weekday","Weekend")</f>
        <v>Weekday</v>
      </c>
      <c r="T337" s="37" t="str">
        <f>FLOOR(Table2_1[[#This Row],[Age]],15)&amp; "-"&amp; FLOOR(Table2_1[[#This Row],[Age]],15)+14</f>
        <v>15-29</v>
      </c>
    </row>
    <row r="338" spans="1:20" x14ac:dyDescent="0.3">
      <c r="A338" s="18">
        <v>45359</v>
      </c>
      <c r="B338" s="17" t="s">
        <v>1243</v>
      </c>
      <c r="C338" s="17" t="s">
        <v>32</v>
      </c>
      <c r="D338" s="18">
        <v>21607</v>
      </c>
      <c r="E338" s="16" t="s">
        <v>68</v>
      </c>
      <c r="F338" s="31">
        <v>210</v>
      </c>
      <c r="G338" s="17" t="s">
        <v>34</v>
      </c>
      <c r="H338" s="17" t="s">
        <v>52</v>
      </c>
      <c r="I338" s="17" t="s">
        <v>17</v>
      </c>
      <c r="J338" s="27">
        <v>0.1</v>
      </c>
      <c r="K338" s="17" t="s">
        <v>930</v>
      </c>
      <c r="L338" s="32">
        <v>14</v>
      </c>
      <c r="M338" s="32">
        <f>_xlfn.XLOOKUP(Table2_1[[#This Row],[Product Code]],Product_Code,Unit_Price,0)</f>
        <v>28</v>
      </c>
      <c r="N338" s="31">
        <f>DATEDIF(Table2_1[[#This Row],[Buyer Date of Birth]],Table2_1[[#This Row],[Transaction  Date]],"Y")</f>
        <v>65</v>
      </c>
      <c r="O338" s="33">
        <v>2940</v>
      </c>
      <c r="P338" s="33">
        <f>Table2_1[[#This Row],[Quantity Purchased]]*Table2_1[[#This Row],[UnitPrice]]*(1-Table2_1[[#This Row],[Discount]])</f>
        <v>5292</v>
      </c>
      <c r="Q338" s="33">
        <f>Table2_1[[#This Row],[Revenue]]-Table2_1[[#This Row],[COGS]]</f>
        <v>2352</v>
      </c>
      <c r="R338" s="39">
        <f>WEEKDAY(Table2_1[[#This Row],[Transaction  Date]])</f>
        <v>6</v>
      </c>
      <c r="S338" s="17" t="str">
        <f>IF(WEEKDAY(Table2_1[[#This Row],[Transaction  Date]],2)&lt;=5,"Weekday","Weekend")</f>
        <v>Weekday</v>
      </c>
      <c r="T338" s="37" t="str">
        <f>FLOOR(Table2_1[[#This Row],[Age]],15)&amp; "-"&amp; FLOOR(Table2_1[[#This Row],[Age]],15)+14</f>
        <v>60-74</v>
      </c>
    </row>
    <row r="339" spans="1:20" x14ac:dyDescent="0.3">
      <c r="A339" s="18">
        <v>45359</v>
      </c>
      <c r="B339" s="17" t="s">
        <v>1244</v>
      </c>
      <c r="C339" s="17" t="s">
        <v>51</v>
      </c>
      <c r="D339" s="18">
        <v>32210</v>
      </c>
      <c r="E339" s="16" t="s">
        <v>14</v>
      </c>
      <c r="F339" s="31">
        <v>355</v>
      </c>
      <c r="G339" s="17" t="s">
        <v>59</v>
      </c>
      <c r="H339" s="17" t="s">
        <v>28</v>
      </c>
      <c r="I339" s="17" t="s">
        <v>17</v>
      </c>
      <c r="J339" s="27">
        <v>0.1</v>
      </c>
      <c r="K339" s="17" t="s">
        <v>932</v>
      </c>
      <c r="L339" s="32">
        <v>19</v>
      </c>
      <c r="M339" s="32">
        <f>_xlfn.XLOOKUP(Table2_1[[#This Row],[Product Code]],Product_Code,Unit_Price,0)</f>
        <v>23</v>
      </c>
      <c r="N339" s="31">
        <f>DATEDIF(Table2_1[[#This Row],[Buyer Date of Birth]],Table2_1[[#This Row],[Transaction  Date]],"Y")</f>
        <v>36</v>
      </c>
      <c r="O339" s="33">
        <v>6745</v>
      </c>
      <c r="P339" s="33">
        <f>Table2_1[[#This Row],[Quantity Purchased]]*Table2_1[[#This Row],[UnitPrice]]*(1-Table2_1[[#This Row],[Discount]])</f>
        <v>7348.5</v>
      </c>
      <c r="Q339" s="33">
        <f>Table2_1[[#This Row],[Revenue]]-Table2_1[[#This Row],[COGS]]</f>
        <v>603.5</v>
      </c>
      <c r="R339" s="39">
        <f>WEEKDAY(Table2_1[[#This Row],[Transaction  Date]])</f>
        <v>6</v>
      </c>
      <c r="S339" s="17" t="str">
        <f>IF(WEEKDAY(Table2_1[[#This Row],[Transaction  Date]],2)&lt;=5,"Weekday","Weekend")</f>
        <v>Weekday</v>
      </c>
      <c r="T339" s="37" t="str">
        <f>FLOOR(Table2_1[[#This Row],[Age]],15)&amp; "-"&amp; FLOOR(Table2_1[[#This Row],[Age]],15)+14</f>
        <v>30-44</v>
      </c>
    </row>
    <row r="340" spans="1:20" x14ac:dyDescent="0.3">
      <c r="A340" s="18">
        <v>45359</v>
      </c>
      <c r="B340" s="17" t="s">
        <v>1245</v>
      </c>
      <c r="C340" s="17" t="s">
        <v>78</v>
      </c>
      <c r="D340" s="18">
        <v>33191</v>
      </c>
      <c r="E340" s="16" t="s">
        <v>33</v>
      </c>
      <c r="F340" s="31">
        <v>342</v>
      </c>
      <c r="G340" s="17" t="s">
        <v>56</v>
      </c>
      <c r="H340" s="17" t="s">
        <v>43</v>
      </c>
      <c r="I340" s="17" t="s">
        <v>17</v>
      </c>
      <c r="J340" s="27">
        <v>0.1</v>
      </c>
      <c r="K340" s="17" t="s">
        <v>935</v>
      </c>
      <c r="L340" s="32">
        <v>18</v>
      </c>
      <c r="M340" s="32">
        <f>_xlfn.XLOOKUP(Table2_1[[#This Row],[Product Code]],Product_Code,Unit_Price,0)</f>
        <v>36</v>
      </c>
      <c r="N340" s="31">
        <f>DATEDIF(Table2_1[[#This Row],[Buyer Date of Birth]],Table2_1[[#This Row],[Transaction  Date]],"Y")</f>
        <v>33</v>
      </c>
      <c r="O340" s="33">
        <v>6156</v>
      </c>
      <c r="P340" s="33">
        <f>Table2_1[[#This Row],[Quantity Purchased]]*Table2_1[[#This Row],[UnitPrice]]*(1-Table2_1[[#This Row],[Discount]])</f>
        <v>11080.800000000001</v>
      </c>
      <c r="Q340" s="33">
        <f>Table2_1[[#This Row],[Revenue]]-Table2_1[[#This Row],[COGS]]</f>
        <v>4924.8000000000011</v>
      </c>
      <c r="R340" s="39">
        <f>WEEKDAY(Table2_1[[#This Row],[Transaction  Date]])</f>
        <v>6</v>
      </c>
      <c r="S340" s="17" t="str">
        <f>IF(WEEKDAY(Table2_1[[#This Row],[Transaction  Date]],2)&lt;=5,"Weekday","Weekend")</f>
        <v>Weekday</v>
      </c>
      <c r="T340" s="37" t="str">
        <f>FLOOR(Table2_1[[#This Row],[Age]],15)&amp; "-"&amp; FLOOR(Table2_1[[#This Row],[Age]],15)+14</f>
        <v>30-44</v>
      </c>
    </row>
    <row r="341" spans="1:20" x14ac:dyDescent="0.3">
      <c r="A341" s="18">
        <v>45359</v>
      </c>
      <c r="B341" s="17" t="s">
        <v>1246</v>
      </c>
      <c r="C341" s="17" t="s">
        <v>94</v>
      </c>
      <c r="D341" s="18">
        <v>29041</v>
      </c>
      <c r="E341" s="16" t="s">
        <v>14</v>
      </c>
      <c r="F341" s="31">
        <v>319</v>
      </c>
      <c r="G341" s="17" t="s">
        <v>59</v>
      </c>
      <c r="H341" s="17" t="s">
        <v>52</v>
      </c>
      <c r="I341" s="17" t="s">
        <v>17</v>
      </c>
      <c r="J341" s="27">
        <v>0.1</v>
      </c>
      <c r="K341" s="17" t="s">
        <v>932</v>
      </c>
      <c r="L341" s="32">
        <v>19</v>
      </c>
      <c r="M341" s="32">
        <f>_xlfn.XLOOKUP(Table2_1[[#This Row],[Product Code]],Product_Code,Unit_Price,0)</f>
        <v>23</v>
      </c>
      <c r="N341" s="31">
        <f>DATEDIF(Table2_1[[#This Row],[Buyer Date of Birth]],Table2_1[[#This Row],[Transaction  Date]],"Y")</f>
        <v>44</v>
      </c>
      <c r="O341" s="33">
        <v>6061</v>
      </c>
      <c r="P341" s="33">
        <f>Table2_1[[#This Row],[Quantity Purchased]]*Table2_1[[#This Row],[UnitPrice]]*(1-Table2_1[[#This Row],[Discount]])</f>
        <v>6603.3</v>
      </c>
      <c r="Q341" s="33">
        <f>Table2_1[[#This Row],[Revenue]]-Table2_1[[#This Row],[COGS]]</f>
        <v>542.30000000000018</v>
      </c>
      <c r="R341" s="39">
        <f>WEEKDAY(Table2_1[[#This Row],[Transaction  Date]])</f>
        <v>6</v>
      </c>
      <c r="S341" s="17" t="str">
        <f>IF(WEEKDAY(Table2_1[[#This Row],[Transaction  Date]],2)&lt;=5,"Weekday","Weekend")</f>
        <v>Weekday</v>
      </c>
      <c r="T341" s="37" t="str">
        <f>FLOOR(Table2_1[[#This Row],[Age]],15)&amp; "-"&amp; FLOOR(Table2_1[[#This Row],[Age]],15)+14</f>
        <v>30-44</v>
      </c>
    </row>
    <row r="342" spans="1:20" x14ac:dyDescent="0.3">
      <c r="A342" s="18">
        <v>45359</v>
      </c>
      <c r="B342" s="17" t="s">
        <v>1247</v>
      </c>
      <c r="C342" s="17" t="s">
        <v>94</v>
      </c>
      <c r="D342" s="18">
        <v>18542</v>
      </c>
      <c r="E342" s="16" t="s">
        <v>33</v>
      </c>
      <c r="F342" s="31">
        <v>350</v>
      </c>
      <c r="G342" s="17" t="s">
        <v>15</v>
      </c>
      <c r="H342" s="17" t="s">
        <v>48</v>
      </c>
      <c r="I342" s="17" t="s">
        <v>17</v>
      </c>
      <c r="J342" s="27">
        <v>0.1</v>
      </c>
      <c r="K342" s="17" t="s">
        <v>929</v>
      </c>
      <c r="L342" s="32">
        <v>10</v>
      </c>
      <c r="M342" s="32">
        <f>_xlfn.XLOOKUP(Table2_1[[#This Row],[Product Code]],Product_Code,Unit_Price,0)</f>
        <v>14</v>
      </c>
      <c r="N342" s="31">
        <f>DATEDIF(Table2_1[[#This Row],[Buyer Date of Birth]],Table2_1[[#This Row],[Transaction  Date]],"Y")</f>
        <v>73</v>
      </c>
      <c r="O342" s="33">
        <v>3500</v>
      </c>
      <c r="P342" s="33">
        <f>Table2_1[[#This Row],[Quantity Purchased]]*Table2_1[[#This Row],[UnitPrice]]*(1-Table2_1[[#This Row],[Discount]])</f>
        <v>4410</v>
      </c>
      <c r="Q342" s="33">
        <f>Table2_1[[#This Row],[Revenue]]-Table2_1[[#This Row],[COGS]]</f>
        <v>910</v>
      </c>
      <c r="R342" s="39">
        <f>WEEKDAY(Table2_1[[#This Row],[Transaction  Date]])</f>
        <v>6</v>
      </c>
      <c r="S342" s="17" t="str">
        <f>IF(WEEKDAY(Table2_1[[#This Row],[Transaction  Date]],2)&lt;=5,"Weekday","Weekend")</f>
        <v>Weekday</v>
      </c>
      <c r="T342" s="37" t="str">
        <f>FLOOR(Table2_1[[#This Row],[Age]],15)&amp; "-"&amp; FLOOR(Table2_1[[#This Row],[Age]],15)+14</f>
        <v>60-74</v>
      </c>
    </row>
    <row r="343" spans="1:20" x14ac:dyDescent="0.3">
      <c r="A343" s="18">
        <v>45360</v>
      </c>
      <c r="B343" s="17" t="s">
        <v>1248</v>
      </c>
      <c r="C343" s="17" t="s">
        <v>78</v>
      </c>
      <c r="D343" s="18">
        <v>24468</v>
      </c>
      <c r="E343" s="16" t="s">
        <v>14</v>
      </c>
      <c r="F343" s="31">
        <v>181</v>
      </c>
      <c r="G343" s="17" t="s">
        <v>47</v>
      </c>
      <c r="H343" s="17" t="s">
        <v>35</v>
      </c>
      <c r="I343" s="17" t="s">
        <v>17</v>
      </c>
      <c r="J343" s="27">
        <v>0.1</v>
      </c>
      <c r="K343" s="17" t="s">
        <v>931</v>
      </c>
      <c r="L343" s="32">
        <v>7</v>
      </c>
      <c r="M343" s="32">
        <f>_xlfn.XLOOKUP(Table2_1[[#This Row],[Product Code]],Product_Code,Unit_Price,0)</f>
        <v>9</v>
      </c>
      <c r="N343" s="31">
        <f>DATEDIF(Table2_1[[#This Row],[Buyer Date of Birth]],Table2_1[[#This Row],[Transaction  Date]],"Y")</f>
        <v>57</v>
      </c>
      <c r="O343" s="33">
        <v>1267</v>
      </c>
      <c r="P343" s="33">
        <f>Table2_1[[#This Row],[Quantity Purchased]]*Table2_1[[#This Row],[UnitPrice]]*(1-Table2_1[[#This Row],[Discount]])</f>
        <v>1466.1000000000001</v>
      </c>
      <c r="Q343" s="33">
        <f>Table2_1[[#This Row],[Revenue]]-Table2_1[[#This Row],[COGS]]</f>
        <v>199.10000000000014</v>
      </c>
      <c r="R343" s="39">
        <f>WEEKDAY(Table2_1[[#This Row],[Transaction  Date]])</f>
        <v>7</v>
      </c>
      <c r="S343" s="17" t="str">
        <f>IF(WEEKDAY(Table2_1[[#This Row],[Transaction  Date]],2)&lt;=5,"Weekday","Weekend")</f>
        <v>Weekend</v>
      </c>
      <c r="T343" s="37" t="str">
        <f>FLOOR(Table2_1[[#This Row],[Age]],15)&amp; "-"&amp; FLOOR(Table2_1[[#This Row],[Age]],15)+14</f>
        <v>45-59</v>
      </c>
    </row>
    <row r="344" spans="1:20" x14ac:dyDescent="0.3">
      <c r="A344" s="18">
        <v>45360</v>
      </c>
      <c r="B344" s="17" t="s">
        <v>1852</v>
      </c>
      <c r="C344" s="17" t="s">
        <v>55</v>
      </c>
      <c r="D344" s="18">
        <v>33671</v>
      </c>
      <c r="E344" s="16" t="s">
        <v>33</v>
      </c>
      <c r="F344" s="31">
        <v>444</v>
      </c>
      <c r="G344" s="17" t="s">
        <v>47</v>
      </c>
      <c r="H344" s="17" t="s">
        <v>48</v>
      </c>
      <c r="I344" s="17" t="s">
        <v>17</v>
      </c>
      <c r="J344" s="27">
        <v>0.1</v>
      </c>
      <c r="K344" s="17" t="s">
        <v>931</v>
      </c>
      <c r="L344" s="32">
        <v>7</v>
      </c>
      <c r="M344" s="32">
        <f>_xlfn.XLOOKUP(Table2_1[[#This Row],[Product Code]],Product_Code,Unit_Price,0)</f>
        <v>9</v>
      </c>
      <c r="N344" s="31">
        <f>DATEDIF(Table2_1[[#This Row],[Buyer Date of Birth]],Table2_1[[#This Row],[Transaction  Date]],"Y")</f>
        <v>32</v>
      </c>
      <c r="O344" s="33">
        <v>3108</v>
      </c>
      <c r="P344" s="33">
        <f>Table2_1[[#This Row],[Quantity Purchased]]*Table2_1[[#This Row],[UnitPrice]]*(1-Table2_1[[#This Row],[Discount]])</f>
        <v>3596.4</v>
      </c>
      <c r="Q344" s="33">
        <f>Table2_1[[#This Row],[Revenue]]-Table2_1[[#This Row],[COGS]]</f>
        <v>488.40000000000009</v>
      </c>
      <c r="R344" s="39">
        <f>WEEKDAY(Table2_1[[#This Row],[Transaction  Date]])</f>
        <v>7</v>
      </c>
      <c r="S344" s="17" t="str">
        <f>IF(WEEKDAY(Table2_1[[#This Row],[Transaction  Date]],2)&lt;=5,"Weekday","Weekend")</f>
        <v>Weekend</v>
      </c>
      <c r="T344" s="37" t="str">
        <f>FLOOR(Table2_1[[#This Row],[Age]],15)&amp; "-"&amp; FLOOR(Table2_1[[#This Row],[Age]],15)+14</f>
        <v>30-44</v>
      </c>
    </row>
    <row r="345" spans="1:20" x14ac:dyDescent="0.3">
      <c r="A345" s="18">
        <v>45360</v>
      </c>
      <c r="B345" s="17" t="s">
        <v>1249</v>
      </c>
      <c r="C345" s="17" t="s">
        <v>32</v>
      </c>
      <c r="D345" s="18">
        <v>30710</v>
      </c>
      <c r="E345" s="16" t="s">
        <v>20</v>
      </c>
      <c r="F345" s="31">
        <v>143</v>
      </c>
      <c r="G345" s="17" t="s">
        <v>32</v>
      </c>
      <c r="H345" s="17" t="s">
        <v>39</v>
      </c>
      <c r="I345" s="17" t="s">
        <v>17</v>
      </c>
      <c r="J345" s="27">
        <v>0.1</v>
      </c>
      <c r="K345" s="17" t="s">
        <v>32</v>
      </c>
      <c r="L345" s="32">
        <v>0</v>
      </c>
      <c r="M345" s="32">
        <f>_xlfn.XLOOKUP(Table2_1[[#This Row],[Product Code]],Product_Code,Unit_Price,0)</f>
        <v>0</v>
      </c>
      <c r="N345" s="31">
        <f>DATEDIF(Table2_1[[#This Row],[Buyer Date of Birth]],Table2_1[[#This Row],[Transaction  Date]],"Y")</f>
        <v>40</v>
      </c>
      <c r="O345" s="33">
        <v>0</v>
      </c>
      <c r="P345" s="33">
        <f>Table2_1[[#This Row],[Quantity Purchased]]*Table2_1[[#This Row],[UnitPrice]]*(1-Table2_1[[#This Row],[Discount]])</f>
        <v>0</v>
      </c>
      <c r="Q345" s="33">
        <f>Table2_1[[#This Row],[Revenue]]-Table2_1[[#This Row],[COGS]]</f>
        <v>0</v>
      </c>
      <c r="R345" s="39">
        <f>WEEKDAY(Table2_1[[#This Row],[Transaction  Date]])</f>
        <v>7</v>
      </c>
      <c r="S345" s="17" t="str">
        <f>IF(WEEKDAY(Table2_1[[#This Row],[Transaction  Date]],2)&lt;=5,"Weekday","Weekend")</f>
        <v>Weekend</v>
      </c>
      <c r="T345" s="37" t="str">
        <f>FLOOR(Table2_1[[#This Row],[Age]],15)&amp; "-"&amp; FLOOR(Table2_1[[#This Row],[Age]],15)+14</f>
        <v>30-44</v>
      </c>
    </row>
    <row r="346" spans="1:20" x14ac:dyDescent="0.3">
      <c r="A346" s="18">
        <v>45360</v>
      </c>
      <c r="B346" s="17" t="s">
        <v>1250</v>
      </c>
      <c r="C346" s="17" t="s">
        <v>55</v>
      </c>
      <c r="D346" s="18">
        <v>30878</v>
      </c>
      <c r="E346" s="16" t="s">
        <v>20</v>
      </c>
      <c r="F346" s="31">
        <v>311</v>
      </c>
      <c r="G346" s="17" t="s">
        <v>56</v>
      </c>
      <c r="H346" s="17" t="s">
        <v>52</v>
      </c>
      <c r="I346" s="17" t="s">
        <v>17</v>
      </c>
      <c r="J346" s="27">
        <v>0.1</v>
      </c>
      <c r="K346" s="17" t="s">
        <v>935</v>
      </c>
      <c r="L346" s="32">
        <v>18</v>
      </c>
      <c r="M346" s="32">
        <f>_xlfn.XLOOKUP(Table2_1[[#This Row],[Product Code]],Product_Code,Unit_Price,0)</f>
        <v>36</v>
      </c>
      <c r="N346" s="31">
        <f>DATEDIF(Table2_1[[#This Row],[Buyer Date of Birth]],Table2_1[[#This Row],[Transaction  Date]],"Y")</f>
        <v>39</v>
      </c>
      <c r="O346" s="33">
        <v>5598</v>
      </c>
      <c r="P346" s="33">
        <f>Table2_1[[#This Row],[Quantity Purchased]]*Table2_1[[#This Row],[UnitPrice]]*(1-Table2_1[[#This Row],[Discount]])</f>
        <v>10076.4</v>
      </c>
      <c r="Q346" s="33">
        <f>Table2_1[[#This Row],[Revenue]]-Table2_1[[#This Row],[COGS]]</f>
        <v>4478.3999999999996</v>
      </c>
      <c r="R346" s="39">
        <f>WEEKDAY(Table2_1[[#This Row],[Transaction  Date]])</f>
        <v>7</v>
      </c>
      <c r="S346" s="17" t="str">
        <f>IF(WEEKDAY(Table2_1[[#This Row],[Transaction  Date]],2)&lt;=5,"Weekday","Weekend")</f>
        <v>Weekend</v>
      </c>
      <c r="T346" s="37" t="str">
        <f>FLOOR(Table2_1[[#This Row],[Age]],15)&amp; "-"&amp; FLOOR(Table2_1[[#This Row],[Age]],15)+14</f>
        <v>30-44</v>
      </c>
    </row>
    <row r="347" spans="1:20" x14ac:dyDescent="0.3">
      <c r="A347" s="18">
        <v>45360</v>
      </c>
      <c r="B347" s="17" t="s">
        <v>1251</v>
      </c>
      <c r="C347" s="17" t="s">
        <v>13</v>
      </c>
      <c r="D347" s="18">
        <v>20230</v>
      </c>
      <c r="E347" s="16" t="s">
        <v>68</v>
      </c>
      <c r="F347" s="31">
        <v>34</v>
      </c>
      <c r="G347" s="17" t="s">
        <v>42</v>
      </c>
      <c r="H347" s="17" t="s">
        <v>48</v>
      </c>
      <c r="I347" s="17" t="s">
        <v>17</v>
      </c>
      <c r="J347" s="27">
        <v>0.1</v>
      </c>
      <c r="K347" s="17" t="s">
        <v>926</v>
      </c>
      <c r="L347" s="32">
        <v>10</v>
      </c>
      <c r="M347" s="32">
        <f>_xlfn.XLOOKUP(Table2_1[[#This Row],[Product Code]],Product_Code,Unit_Price,0)</f>
        <v>11</v>
      </c>
      <c r="N347" s="31">
        <f>DATEDIF(Table2_1[[#This Row],[Buyer Date of Birth]],Table2_1[[#This Row],[Transaction  Date]],"Y")</f>
        <v>68</v>
      </c>
      <c r="O347" s="33">
        <v>340</v>
      </c>
      <c r="P347" s="33">
        <f>Table2_1[[#This Row],[Quantity Purchased]]*Table2_1[[#This Row],[UnitPrice]]*(1-Table2_1[[#This Row],[Discount]])</f>
        <v>336.6</v>
      </c>
      <c r="Q347" s="33">
        <f>Table2_1[[#This Row],[Revenue]]-Table2_1[[#This Row],[COGS]]</f>
        <v>-3.3999999999999773</v>
      </c>
      <c r="R347" s="39">
        <f>WEEKDAY(Table2_1[[#This Row],[Transaction  Date]])</f>
        <v>7</v>
      </c>
      <c r="S347" s="17" t="str">
        <f>IF(WEEKDAY(Table2_1[[#This Row],[Transaction  Date]],2)&lt;=5,"Weekday","Weekend")</f>
        <v>Weekend</v>
      </c>
      <c r="T347" s="37" t="str">
        <f>FLOOR(Table2_1[[#This Row],[Age]],15)&amp; "-"&amp; FLOOR(Table2_1[[#This Row],[Age]],15)+14</f>
        <v>60-74</v>
      </c>
    </row>
    <row r="348" spans="1:20" x14ac:dyDescent="0.3">
      <c r="A348" s="18">
        <v>45361</v>
      </c>
      <c r="B348" s="17" t="s">
        <v>1853</v>
      </c>
      <c r="C348" s="17" t="s">
        <v>71</v>
      </c>
      <c r="D348" s="18">
        <v>31440</v>
      </c>
      <c r="E348" s="16" t="s">
        <v>14</v>
      </c>
      <c r="F348" s="31">
        <v>500</v>
      </c>
      <c r="G348" s="17" t="s">
        <v>56</v>
      </c>
      <c r="H348" s="17" t="s">
        <v>48</v>
      </c>
      <c r="I348" s="17" t="s">
        <v>29</v>
      </c>
      <c r="J348" s="27">
        <v>0.1</v>
      </c>
      <c r="K348" s="17" t="s">
        <v>935</v>
      </c>
      <c r="L348" s="32">
        <v>18</v>
      </c>
      <c r="M348" s="32">
        <f>_xlfn.XLOOKUP(Table2_1[[#This Row],[Product Code]],Product_Code,Unit_Price,0)</f>
        <v>36</v>
      </c>
      <c r="N348" s="31">
        <f>DATEDIF(Table2_1[[#This Row],[Buyer Date of Birth]],Table2_1[[#This Row],[Transaction  Date]],"Y")</f>
        <v>38</v>
      </c>
      <c r="O348" s="33">
        <v>9000</v>
      </c>
      <c r="P348" s="33">
        <f>Table2_1[[#This Row],[Quantity Purchased]]*Table2_1[[#This Row],[UnitPrice]]*(1-Table2_1[[#This Row],[Discount]])</f>
        <v>16200</v>
      </c>
      <c r="Q348" s="33">
        <f>Table2_1[[#This Row],[Revenue]]-Table2_1[[#This Row],[COGS]]</f>
        <v>7200</v>
      </c>
      <c r="R348" s="39">
        <f>WEEKDAY(Table2_1[[#This Row],[Transaction  Date]])</f>
        <v>1</v>
      </c>
      <c r="S348" s="17" t="str">
        <f>IF(WEEKDAY(Table2_1[[#This Row],[Transaction  Date]],2)&lt;=5,"Weekday","Weekend")</f>
        <v>Weekend</v>
      </c>
      <c r="T348" s="37" t="str">
        <f>FLOOR(Table2_1[[#This Row],[Age]],15)&amp; "-"&amp; FLOOR(Table2_1[[#This Row],[Age]],15)+14</f>
        <v>30-44</v>
      </c>
    </row>
    <row r="349" spans="1:20" x14ac:dyDescent="0.3">
      <c r="A349" s="18">
        <v>45361</v>
      </c>
      <c r="B349" s="17" t="s">
        <v>1252</v>
      </c>
      <c r="C349" s="17" t="s">
        <v>32</v>
      </c>
      <c r="D349" s="18">
        <v>35063</v>
      </c>
      <c r="E349" s="16" t="s">
        <v>20</v>
      </c>
      <c r="F349" s="31">
        <v>150</v>
      </c>
      <c r="G349" s="17" t="s">
        <v>21</v>
      </c>
      <c r="H349" s="17" t="s">
        <v>52</v>
      </c>
      <c r="I349" s="17" t="s">
        <v>29</v>
      </c>
      <c r="J349" s="27">
        <v>0.1</v>
      </c>
      <c r="K349" s="17" t="s">
        <v>934</v>
      </c>
      <c r="L349" s="32">
        <v>10</v>
      </c>
      <c r="M349" s="32">
        <f>_xlfn.XLOOKUP(Table2_1[[#This Row],[Product Code]],Product_Code,Unit_Price,0)</f>
        <v>45</v>
      </c>
      <c r="N349" s="31">
        <f>DATEDIF(Table2_1[[#This Row],[Buyer Date of Birth]],Table2_1[[#This Row],[Transaction  Date]],"Y")</f>
        <v>28</v>
      </c>
      <c r="O349" s="33">
        <v>1500</v>
      </c>
      <c r="P349" s="33">
        <f>Table2_1[[#This Row],[Quantity Purchased]]*Table2_1[[#This Row],[UnitPrice]]*(1-Table2_1[[#This Row],[Discount]])</f>
        <v>6075</v>
      </c>
      <c r="Q349" s="33">
        <f>Table2_1[[#This Row],[Revenue]]-Table2_1[[#This Row],[COGS]]</f>
        <v>4575</v>
      </c>
      <c r="R349" s="39">
        <f>WEEKDAY(Table2_1[[#This Row],[Transaction  Date]])</f>
        <v>1</v>
      </c>
      <c r="S349" s="17" t="str">
        <f>IF(WEEKDAY(Table2_1[[#This Row],[Transaction  Date]],2)&lt;=5,"Weekday","Weekend")</f>
        <v>Weekend</v>
      </c>
      <c r="T349" s="37" t="str">
        <f>FLOOR(Table2_1[[#This Row],[Age]],15)&amp; "-"&amp; FLOOR(Table2_1[[#This Row],[Age]],15)+14</f>
        <v>15-29</v>
      </c>
    </row>
    <row r="350" spans="1:20" x14ac:dyDescent="0.3">
      <c r="A350" s="18">
        <v>45361</v>
      </c>
      <c r="B350" s="17" t="s">
        <v>1253</v>
      </c>
      <c r="C350" s="17" t="s">
        <v>51</v>
      </c>
      <c r="D350" s="18">
        <v>33559</v>
      </c>
      <c r="E350" s="16" t="s">
        <v>68</v>
      </c>
      <c r="F350" s="31">
        <v>77</v>
      </c>
      <c r="G350" s="17" t="s">
        <v>47</v>
      </c>
      <c r="H350" s="17" t="s">
        <v>43</v>
      </c>
      <c r="I350" s="17" t="s">
        <v>17</v>
      </c>
      <c r="J350" s="27">
        <v>0.1</v>
      </c>
      <c r="K350" s="17" t="s">
        <v>931</v>
      </c>
      <c r="L350" s="32">
        <v>7</v>
      </c>
      <c r="M350" s="32">
        <f>_xlfn.XLOOKUP(Table2_1[[#This Row],[Product Code]],Product_Code,Unit_Price,0)</f>
        <v>9</v>
      </c>
      <c r="N350" s="31">
        <f>DATEDIF(Table2_1[[#This Row],[Buyer Date of Birth]],Table2_1[[#This Row],[Transaction  Date]],"Y")</f>
        <v>32</v>
      </c>
      <c r="O350" s="33">
        <v>539</v>
      </c>
      <c r="P350" s="33">
        <f>Table2_1[[#This Row],[Quantity Purchased]]*Table2_1[[#This Row],[UnitPrice]]*(1-Table2_1[[#This Row],[Discount]])</f>
        <v>623.70000000000005</v>
      </c>
      <c r="Q350" s="33">
        <f>Table2_1[[#This Row],[Revenue]]-Table2_1[[#This Row],[COGS]]</f>
        <v>84.700000000000045</v>
      </c>
      <c r="R350" s="39">
        <f>WEEKDAY(Table2_1[[#This Row],[Transaction  Date]])</f>
        <v>1</v>
      </c>
      <c r="S350" s="17" t="str">
        <f>IF(WEEKDAY(Table2_1[[#This Row],[Transaction  Date]],2)&lt;=5,"Weekday","Weekend")</f>
        <v>Weekend</v>
      </c>
      <c r="T350" s="37" t="str">
        <f>FLOOR(Table2_1[[#This Row],[Age]],15)&amp; "-"&amp; FLOOR(Table2_1[[#This Row],[Age]],15)+14</f>
        <v>30-44</v>
      </c>
    </row>
    <row r="351" spans="1:20" x14ac:dyDescent="0.3">
      <c r="A351" s="18">
        <v>45361</v>
      </c>
      <c r="B351" s="17" t="s">
        <v>1254</v>
      </c>
      <c r="C351" s="17" t="s">
        <v>51</v>
      </c>
      <c r="D351" s="18">
        <v>28620</v>
      </c>
      <c r="E351" s="16" t="s">
        <v>20</v>
      </c>
      <c r="F351" s="31">
        <v>381</v>
      </c>
      <c r="G351" s="17" t="s">
        <v>27</v>
      </c>
      <c r="H351" s="17" t="s">
        <v>48</v>
      </c>
      <c r="I351" s="17" t="s">
        <v>17</v>
      </c>
      <c r="J351" s="27">
        <v>0.1</v>
      </c>
      <c r="K351" s="17" t="s">
        <v>927</v>
      </c>
      <c r="L351" s="32">
        <v>18</v>
      </c>
      <c r="M351" s="32">
        <f>_xlfn.XLOOKUP(Table2_1[[#This Row],[Product Code]],Product_Code,Unit_Price,0)</f>
        <v>22</v>
      </c>
      <c r="N351" s="31">
        <f>DATEDIF(Table2_1[[#This Row],[Buyer Date of Birth]],Table2_1[[#This Row],[Transaction  Date]],"Y")</f>
        <v>45</v>
      </c>
      <c r="O351" s="33">
        <v>6858</v>
      </c>
      <c r="P351" s="33">
        <f>Table2_1[[#This Row],[Quantity Purchased]]*Table2_1[[#This Row],[UnitPrice]]*(1-Table2_1[[#This Row],[Discount]])</f>
        <v>7543.8</v>
      </c>
      <c r="Q351" s="33">
        <f>Table2_1[[#This Row],[Revenue]]-Table2_1[[#This Row],[COGS]]</f>
        <v>685.80000000000018</v>
      </c>
      <c r="R351" s="39">
        <f>WEEKDAY(Table2_1[[#This Row],[Transaction  Date]])</f>
        <v>1</v>
      </c>
      <c r="S351" s="17" t="str">
        <f>IF(WEEKDAY(Table2_1[[#This Row],[Transaction  Date]],2)&lt;=5,"Weekday","Weekend")</f>
        <v>Weekend</v>
      </c>
      <c r="T351" s="37" t="str">
        <f>FLOOR(Table2_1[[#This Row],[Age]],15)&amp; "-"&amp; FLOOR(Table2_1[[#This Row],[Age]],15)+14</f>
        <v>45-59</v>
      </c>
    </row>
    <row r="352" spans="1:20" x14ac:dyDescent="0.3">
      <c r="A352" s="18">
        <v>45361</v>
      </c>
      <c r="B352" s="17" t="s">
        <v>1255</v>
      </c>
      <c r="C352" s="17" t="s">
        <v>38</v>
      </c>
      <c r="D352" s="18" t="s">
        <v>32</v>
      </c>
      <c r="E352" s="16" t="s">
        <v>68</v>
      </c>
      <c r="F352" s="31">
        <v>329</v>
      </c>
      <c r="G352" s="17" t="s">
        <v>42</v>
      </c>
      <c r="H352" s="17" t="s">
        <v>28</v>
      </c>
      <c r="I352" s="17" t="s">
        <v>23</v>
      </c>
      <c r="J352" s="27">
        <v>0.1</v>
      </c>
      <c r="K352" s="17" t="s">
        <v>926</v>
      </c>
      <c r="L352" s="32">
        <v>10</v>
      </c>
      <c r="M352" s="32">
        <f>_xlfn.XLOOKUP(Table2_1[[#This Row],[Product Code]],Product_Code,Unit_Price,0)</f>
        <v>11</v>
      </c>
      <c r="N352" s="31" t="e">
        <f>DATEDIF(Table2_1[[#This Row],[Buyer Date of Birth]],Table2_1[[#This Row],[Transaction  Date]],"Y")</f>
        <v>#VALUE!</v>
      </c>
      <c r="O352" s="33">
        <v>3290</v>
      </c>
      <c r="P352" s="33">
        <f>Table2_1[[#This Row],[Quantity Purchased]]*Table2_1[[#This Row],[UnitPrice]]*(1-Table2_1[[#This Row],[Discount]])</f>
        <v>3257.1</v>
      </c>
      <c r="Q352" s="33">
        <f>Table2_1[[#This Row],[Revenue]]-Table2_1[[#This Row],[COGS]]</f>
        <v>-32.900000000000091</v>
      </c>
      <c r="R352" s="39">
        <f>WEEKDAY(Table2_1[[#This Row],[Transaction  Date]])</f>
        <v>1</v>
      </c>
      <c r="S352" s="17" t="str">
        <f>IF(WEEKDAY(Table2_1[[#This Row],[Transaction  Date]],2)&lt;=5,"Weekday","Weekend")</f>
        <v>Weekend</v>
      </c>
      <c r="T352" s="37" t="e">
        <f>FLOOR(Table2_1[[#This Row],[Age]],15)&amp; "-"&amp; FLOOR(Table2_1[[#This Row],[Age]],15)+14</f>
        <v>#VALUE!</v>
      </c>
    </row>
    <row r="353" spans="1:20" x14ac:dyDescent="0.3">
      <c r="A353" s="18">
        <v>45362</v>
      </c>
      <c r="B353" s="17" t="s">
        <v>1854</v>
      </c>
      <c r="C353" s="17" t="s">
        <v>26</v>
      </c>
      <c r="D353" s="18">
        <v>29672</v>
      </c>
      <c r="E353" s="16" t="s">
        <v>20</v>
      </c>
      <c r="F353" s="31">
        <v>117</v>
      </c>
      <c r="G353" s="17" t="s">
        <v>65</v>
      </c>
      <c r="H353" s="17" t="s">
        <v>43</v>
      </c>
      <c r="I353" s="17" t="s">
        <v>17</v>
      </c>
      <c r="J353" s="27">
        <v>0.1</v>
      </c>
      <c r="K353" s="17" t="s">
        <v>928</v>
      </c>
      <c r="L353" s="32">
        <v>3</v>
      </c>
      <c r="M353" s="32">
        <f>_xlfn.XLOOKUP(Table2_1[[#This Row],[Product Code]],Product_Code,Unit_Price,0)</f>
        <v>5</v>
      </c>
      <c r="N353" s="31">
        <f>DATEDIF(Table2_1[[#This Row],[Buyer Date of Birth]],Table2_1[[#This Row],[Transaction  Date]],"Y")</f>
        <v>42</v>
      </c>
      <c r="O353" s="33">
        <v>351</v>
      </c>
      <c r="P353" s="33">
        <f>Table2_1[[#This Row],[Quantity Purchased]]*Table2_1[[#This Row],[UnitPrice]]*(1-Table2_1[[#This Row],[Discount]])</f>
        <v>526.5</v>
      </c>
      <c r="Q353" s="33">
        <f>Table2_1[[#This Row],[Revenue]]-Table2_1[[#This Row],[COGS]]</f>
        <v>175.5</v>
      </c>
      <c r="R353" s="39">
        <f>WEEKDAY(Table2_1[[#This Row],[Transaction  Date]])</f>
        <v>2</v>
      </c>
      <c r="S353" s="17" t="str">
        <f>IF(WEEKDAY(Table2_1[[#This Row],[Transaction  Date]],2)&lt;=5,"Weekday","Weekend")</f>
        <v>Weekday</v>
      </c>
      <c r="T353" s="37" t="str">
        <f>FLOOR(Table2_1[[#This Row],[Age]],15)&amp; "-"&amp; FLOOR(Table2_1[[#This Row],[Age]],15)+14</f>
        <v>30-44</v>
      </c>
    </row>
    <row r="354" spans="1:20" x14ac:dyDescent="0.3">
      <c r="A354" s="18">
        <v>45362</v>
      </c>
      <c r="B354" s="17" t="s">
        <v>1256</v>
      </c>
      <c r="C354" s="17" t="s">
        <v>83</v>
      </c>
      <c r="D354" s="18">
        <v>33269</v>
      </c>
      <c r="E354" s="16" t="s">
        <v>68</v>
      </c>
      <c r="F354" s="31">
        <v>107</v>
      </c>
      <c r="G354" s="17" t="s">
        <v>34</v>
      </c>
      <c r="H354" s="17" t="s">
        <v>28</v>
      </c>
      <c r="I354" s="17" t="s">
        <v>17</v>
      </c>
      <c r="J354" s="27">
        <v>0.1</v>
      </c>
      <c r="K354" s="17" t="s">
        <v>930</v>
      </c>
      <c r="L354" s="32">
        <v>14</v>
      </c>
      <c r="M354" s="32">
        <f>_xlfn.XLOOKUP(Table2_1[[#This Row],[Product Code]],Product_Code,Unit_Price,0)</f>
        <v>28</v>
      </c>
      <c r="N354" s="31">
        <f>DATEDIF(Table2_1[[#This Row],[Buyer Date of Birth]],Table2_1[[#This Row],[Transaction  Date]],"Y")</f>
        <v>33</v>
      </c>
      <c r="O354" s="33">
        <v>1498</v>
      </c>
      <c r="P354" s="33">
        <f>Table2_1[[#This Row],[Quantity Purchased]]*Table2_1[[#This Row],[UnitPrice]]*(1-Table2_1[[#This Row],[Discount]])</f>
        <v>2696.4</v>
      </c>
      <c r="Q354" s="33">
        <f>Table2_1[[#This Row],[Revenue]]-Table2_1[[#This Row],[COGS]]</f>
        <v>1198.4000000000001</v>
      </c>
      <c r="R354" s="39">
        <f>WEEKDAY(Table2_1[[#This Row],[Transaction  Date]])</f>
        <v>2</v>
      </c>
      <c r="S354" s="17" t="str">
        <f>IF(WEEKDAY(Table2_1[[#This Row],[Transaction  Date]],2)&lt;=5,"Weekday","Weekend")</f>
        <v>Weekday</v>
      </c>
      <c r="T354" s="37" t="str">
        <f>FLOOR(Table2_1[[#This Row],[Age]],15)&amp; "-"&amp; FLOOR(Table2_1[[#This Row],[Age]],15)+14</f>
        <v>30-44</v>
      </c>
    </row>
    <row r="355" spans="1:20" x14ac:dyDescent="0.3">
      <c r="A355" s="18">
        <v>45362</v>
      </c>
      <c r="B355" s="17" t="s">
        <v>1257</v>
      </c>
      <c r="C355" s="17" t="s">
        <v>83</v>
      </c>
      <c r="D355" s="18">
        <v>32535</v>
      </c>
      <c r="E355" s="16" t="s">
        <v>20</v>
      </c>
      <c r="F355" s="31">
        <v>479</v>
      </c>
      <c r="G355" s="17" t="s">
        <v>34</v>
      </c>
      <c r="H355" s="17" t="s">
        <v>48</v>
      </c>
      <c r="I355" s="17" t="s">
        <v>17</v>
      </c>
      <c r="J355" s="27">
        <v>0.1</v>
      </c>
      <c r="K355" s="17" t="s">
        <v>930</v>
      </c>
      <c r="L355" s="32">
        <v>14</v>
      </c>
      <c r="M355" s="32">
        <f>_xlfn.XLOOKUP(Table2_1[[#This Row],[Product Code]],Product_Code,Unit_Price,0)</f>
        <v>28</v>
      </c>
      <c r="N355" s="31">
        <f>DATEDIF(Table2_1[[#This Row],[Buyer Date of Birth]],Table2_1[[#This Row],[Transaction  Date]],"Y")</f>
        <v>35</v>
      </c>
      <c r="O355" s="33">
        <v>6706</v>
      </c>
      <c r="P355" s="33">
        <f>Table2_1[[#This Row],[Quantity Purchased]]*Table2_1[[#This Row],[UnitPrice]]*(1-Table2_1[[#This Row],[Discount]])</f>
        <v>12070.800000000001</v>
      </c>
      <c r="Q355" s="33">
        <f>Table2_1[[#This Row],[Revenue]]-Table2_1[[#This Row],[COGS]]</f>
        <v>5364.8000000000011</v>
      </c>
      <c r="R355" s="39">
        <f>WEEKDAY(Table2_1[[#This Row],[Transaction  Date]])</f>
        <v>2</v>
      </c>
      <c r="S355" s="17" t="str">
        <f>IF(WEEKDAY(Table2_1[[#This Row],[Transaction  Date]],2)&lt;=5,"Weekday","Weekend")</f>
        <v>Weekday</v>
      </c>
      <c r="T355" s="37" t="str">
        <f>FLOOR(Table2_1[[#This Row],[Age]],15)&amp; "-"&amp; FLOOR(Table2_1[[#This Row],[Age]],15)+14</f>
        <v>30-44</v>
      </c>
    </row>
    <row r="356" spans="1:20" x14ac:dyDescent="0.3">
      <c r="A356" s="18">
        <v>45363</v>
      </c>
      <c r="B356" s="17" t="s">
        <v>1258</v>
      </c>
      <c r="C356" s="17" t="s">
        <v>78</v>
      </c>
      <c r="D356" s="18">
        <v>17143</v>
      </c>
      <c r="E356" s="16" t="s">
        <v>20</v>
      </c>
      <c r="F356" s="31">
        <v>122</v>
      </c>
      <c r="G356" s="17" t="s">
        <v>27</v>
      </c>
      <c r="H356" s="17" t="s">
        <v>48</v>
      </c>
      <c r="I356" s="17" t="s">
        <v>29</v>
      </c>
      <c r="J356" s="27">
        <v>0.1</v>
      </c>
      <c r="K356" s="17" t="s">
        <v>927</v>
      </c>
      <c r="L356" s="32">
        <v>18</v>
      </c>
      <c r="M356" s="32">
        <f>_xlfn.XLOOKUP(Table2_1[[#This Row],[Product Code]],Product_Code,Unit_Price,0)</f>
        <v>22</v>
      </c>
      <c r="N356" s="31">
        <f>DATEDIF(Table2_1[[#This Row],[Buyer Date of Birth]],Table2_1[[#This Row],[Transaction  Date]],"Y")</f>
        <v>77</v>
      </c>
      <c r="O356" s="33">
        <v>2196</v>
      </c>
      <c r="P356" s="33">
        <f>Table2_1[[#This Row],[Quantity Purchased]]*Table2_1[[#This Row],[UnitPrice]]*(1-Table2_1[[#This Row],[Discount]])</f>
        <v>2415.6</v>
      </c>
      <c r="Q356" s="33">
        <f>Table2_1[[#This Row],[Revenue]]-Table2_1[[#This Row],[COGS]]</f>
        <v>219.59999999999991</v>
      </c>
      <c r="R356" s="39">
        <f>WEEKDAY(Table2_1[[#This Row],[Transaction  Date]])</f>
        <v>3</v>
      </c>
      <c r="S356" s="17" t="str">
        <f>IF(WEEKDAY(Table2_1[[#This Row],[Transaction  Date]],2)&lt;=5,"Weekday","Weekend")</f>
        <v>Weekday</v>
      </c>
      <c r="T356" s="37" t="str">
        <f>FLOOR(Table2_1[[#This Row],[Age]],15)&amp; "-"&amp; FLOOR(Table2_1[[#This Row],[Age]],15)+14</f>
        <v>75-89</v>
      </c>
    </row>
    <row r="357" spans="1:20" x14ac:dyDescent="0.3">
      <c r="A357" s="18">
        <v>45363</v>
      </c>
      <c r="B357" s="17" t="s">
        <v>1259</v>
      </c>
      <c r="C357" s="17" t="s">
        <v>94</v>
      </c>
      <c r="D357" s="18">
        <v>20686</v>
      </c>
      <c r="E357" s="16" t="s">
        <v>20</v>
      </c>
      <c r="F357" s="31">
        <v>115</v>
      </c>
      <c r="G357" s="17" t="s">
        <v>59</v>
      </c>
      <c r="H357" s="17" t="s">
        <v>52</v>
      </c>
      <c r="I357" s="17" t="s">
        <v>17</v>
      </c>
      <c r="J357" s="27">
        <v>0.1</v>
      </c>
      <c r="K357" s="17" t="s">
        <v>932</v>
      </c>
      <c r="L357" s="32">
        <v>19</v>
      </c>
      <c r="M357" s="32">
        <f>_xlfn.XLOOKUP(Table2_1[[#This Row],[Product Code]],Product_Code,Unit_Price,0)</f>
        <v>23</v>
      </c>
      <c r="N357" s="31">
        <f>DATEDIF(Table2_1[[#This Row],[Buyer Date of Birth]],Table2_1[[#This Row],[Transaction  Date]],"Y")</f>
        <v>67</v>
      </c>
      <c r="O357" s="33">
        <v>2185</v>
      </c>
      <c r="P357" s="33">
        <f>Table2_1[[#This Row],[Quantity Purchased]]*Table2_1[[#This Row],[UnitPrice]]*(1-Table2_1[[#This Row],[Discount]])</f>
        <v>2380.5</v>
      </c>
      <c r="Q357" s="33">
        <f>Table2_1[[#This Row],[Revenue]]-Table2_1[[#This Row],[COGS]]</f>
        <v>195.5</v>
      </c>
      <c r="R357" s="39">
        <f>WEEKDAY(Table2_1[[#This Row],[Transaction  Date]])</f>
        <v>3</v>
      </c>
      <c r="S357" s="17" t="str">
        <f>IF(WEEKDAY(Table2_1[[#This Row],[Transaction  Date]],2)&lt;=5,"Weekday","Weekend")</f>
        <v>Weekday</v>
      </c>
      <c r="T357" s="37" t="str">
        <f>FLOOR(Table2_1[[#This Row],[Age]],15)&amp; "-"&amp; FLOOR(Table2_1[[#This Row],[Age]],15)+14</f>
        <v>60-74</v>
      </c>
    </row>
    <row r="358" spans="1:20" x14ac:dyDescent="0.3">
      <c r="A358" s="18">
        <v>45363</v>
      </c>
      <c r="B358" s="17" t="s">
        <v>1260</v>
      </c>
      <c r="C358" s="17" t="s">
        <v>26</v>
      </c>
      <c r="D358" s="18">
        <v>29444</v>
      </c>
      <c r="E358" s="16" t="s">
        <v>14</v>
      </c>
      <c r="F358" s="31">
        <v>331</v>
      </c>
      <c r="G358" s="17" t="s">
        <v>65</v>
      </c>
      <c r="H358" s="17" t="s">
        <v>52</v>
      </c>
      <c r="I358" s="17" t="s">
        <v>17</v>
      </c>
      <c r="J358" s="27">
        <v>0.1</v>
      </c>
      <c r="K358" s="17" t="s">
        <v>928</v>
      </c>
      <c r="L358" s="32">
        <v>3</v>
      </c>
      <c r="M358" s="32">
        <f>_xlfn.XLOOKUP(Table2_1[[#This Row],[Product Code]],Product_Code,Unit_Price,0)</f>
        <v>5</v>
      </c>
      <c r="N358" s="31">
        <f>DATEDIF(Table2_1[[#This Row],[Buyer Date of Birth]],Table2_1[[#This Row],[Transaction  Date]],"Y")</f>
        <v>43</v>
      </c>
      <c r="O358" s="33">
        <v>993</v>
      </c>
      <c r="P358" s="33">
        <f>Table2_1[[#This Row],[Quantity Purchased]]*Table2_1[[#This Row],[UnitPrice]]*(1-Table2_1[[#This Row],[Discount]])</f>
        <v>1489.5</v>
      </c>
      <c r="Q358" s="33">
        <f>Table2_1[[#This Row],[Revenue]]-Table2_1[[#This Row],[COGS]]</f>
        <v>496.5</v>
      </c>
      <c r="R358" s="39">
        <f>WEEKDAY(Table2_1[[#This Row],[Transaction  Date]])</f>
        <v>3</v>
      </c>
      <c r="S358" s="17" t="str">
        <f>IF(WEEKDAY(Table2_1[[#This Row],[Transaction  Date]],2)&lt;=5,"Weekday","Weekend")</f>
        <v>Weekday</v>
      </c>
      <c r="T358" s="37" t="str">
        <f>FLOOR(Table2_1[[#This Row],[Age]],15)&amp; "-"&amp; FLOOR(Table2_1[[#This Row],[Age]],15)+14</f>
        <v>30-44</v>
      </c>
    </row>
    <row r="359" spans="1:20" x14ac:dyDescent="0.3">
      <c r="A359" s="18">
        <v>45363</v>
      </c>
      <c r="B359" s="17" t="s">
        <v>1261</v>
      </c>
      <c r="C359" s="17" t="s">
        <v>51</v>
      </c>
      <c r="D359" s="18">
        <v>36089</v>
      </c>
      <c r="E359" s="16" t="s">
        <v>20</v>
      </c>
      <c r="F359" s="31">
        <v>430</v>
      </c>
      <c r="G359" s="17" t="s">
        <v>64</v>
      </c>
      <c r="H359" s="17" t="s">
        <v>52</v>
      </c>
      <c r="I359" s="17" t="s">
        <v>17</v>
      </c>
      <c r="J359" s="27">
        <v>0.1</v>
      </c>
      <c r="K359" s="17" t="s">
        <v>933</v>
      </c>
      <c r="L359" s="32">
        <v>5</v>
      </c>
      <c r="M359" s="32">
        <f>_xlfn.XLOOKUP(Table2_1[[#This Row],[Product Code]],Product_Code,Unit_Price,0)</f>
        <v>7</v>
      </c>
      <c r="N359" s="31">
        <f>DATEDIF(Table2_1[[#This Row],[Buyer Date of Birth]],Table2_1[[#This Row],[Transaction  Date]],"Y")</f>
        <v>25</v>
      </c>
      <c r="O359" s="33">
        <v>2150</v>
      </c>
      <c r="P359" s="33">
        <f>Table2_1[[#This Row],[Quantity Purchased]]*Table2_1[[#This Row],[UnitPrice]]*(1-Table2_1[[#This Row],[Discount]])</f>
        <v>2709</v>
      </c>
      <c r="Q359" s="33">
        <f>Table2_1[[#This Row],[Revenue]]-Table2_1[[#This Row],[COGS]]</f>
        <v>559</v>
      </c>
      <c r="R359" s="39">
        <f>WEEKDAY(Table2_1[[#This Row],[Transaction  Date]])</f>
        <v>3</v>
      </c>
      <c r="S359" s="17" t="str">
        <f>IF(WEEKDAY(Table2_1[[#This Row],[Transaction  Date]],2)&lt;=5,"Weekday","Weekend")</f>
        <v>Weekday</v>
      </c>
      <c r="T359" s="37" t="str">
        <f>FLOOR(Table2_1[[#This Row],[Age]],15)&amp; "-"&amp; FLOOR(Table2_1[[#This Row],[Age]],15)+14</f>
        <v>15-29</v>
      </c>
    </row>
    <row r="360" spans="1:20" x14ac:dyDescent="0.3">
      <c r="A360" s="18">
        <v>45363</v>
      </c>
      <c r="B360" s="17" t="s">
        <v>1262</v>
      </c>
      <c r="C360" s="17" t="s">
        <v>78</v>
      </c>
      <c r="D360" s="18">
        <v>31905</v>
      </c>
      <c r="E360" s="16" t="s">
        <v>33</v>
      </c>
      <c r="F360" s="31">
        <v>471</v>
      </c>
      <c r="G360" s="17" t="s">
        <v>56</v>
      </c>
      <c r="H360" s="17" t="s">
        <v>43</v>
      </c>
      <c r="I360" s="17" t="s">
        <v>17</v>
      </c>
      <c r="J360" s="27">
        <v>0.1</v>
      </c>
      <c r="K360" s="17" t="s">
        <v>935</v>
      </c>
      <c r="L360" s="32">
        <v>18</v>
      </c>
      <c r="M360" s="32">
        <f>_xlfn.XLOOKUP(Table2_1[[#This Row],[Product Code]],Product_Code,Unit_Price,0)</f>
        <v>36</v>
      </c>
      <c r="N360" s="31">
        <f>DATEDIF(Table2_1[[#This Row],[Buyer Date of Birth]],Table2_1[[#This Row],[Transaction  Date]],"Y")</f>
        <v>36</v>
      </c>
      <c r="O360" s="33">
        <v>8478</v>
      </c>
      <c r="P360" s="33">
        <f>Table2_1[[#This Row],[Quantity Purchased]]*Table2_1[[#This Row],[UnitPrice]]*(1-Table2_1[[#This Row],[Discount]])</f>
        <v>15260.4</v>
      </c>
      <c r="Q360" s="33">
        <f>Table2_1[[#This Row],[Revenue]]-Table2_1[[#This Row],[COGS]]</f>
        <v>6782.4</v>
      </c>
      <c r="R360" s="39">
        <f>WEEKDAY(Table2_1[[#This Row],[Transaction  Date]])</f>
        <v>3</v>
      </c>
      <c r="S360" s="17" t="str">
        <f>IF(WEEKDAY(Table2_1[[#This Row],[Transaction  Date]],2)&lt;=5,"Weekday","Weekend")</f>
        <v>Weekday</v>
      </c>
      <c r="T360" s="37" t="str">
        <f>FLOOR(Table2_1[[#This Row],[Age]],15)&amp; "-"&amp; FLOOR(Table2_1[[#This Row],[Age]],15)+14</f>
        <v>30-44</v>
      </c>
    </row>
    <row r="361" spans="1:20" x14ac:dyDescent="0.3">
      <c r="A361" s="18">
        <v>45363</v>
      </c>
      <c r="B361" s="17" t="s">
        <v>1263</v>
      </c>
      <c r="C361" s="17" t="s">
        <v>26</v>
      </c>
      <c r="D361" s="18">
        <v>16740</v>
      </c>
      <c r="E361" s="16" t="s">
        <v>20</v>
      </c>
      <c r="F361" s="31">
        <v>490</v>
      </c>
      <c r="G361" s="17" t="s">
        <v>42</v>
      </c>
      <c r="H361" s="17" t="s">
        <v>48</v>
      </c>
      <c r="I361" s="17" t="s">
        <v>17</v>
      </c>
      <c r="J361" s="27">
        <v>0.1</v>
      </c>
      <c r="K361" s="17" t="s">
        <v>926</v>
      </c>
      <c r="L361" s="32">
        <v>10</v>
      </c>
      <c r="M361" s="32">
        <f>_xlfn.XLOOKUP(Table2_1[[#This Row],[Product Code]],Product_Code,Unit_Price,0)</f>
        <v>11</v>
      </c>
      <c r="N361" s="31">
        <f>DATEDIF(Table2_1[[#This Row],[Buyer Date of Birth]],Table2_1[[#This Row],[Transaction  Date]],"Y")</f>
        <v>78</v>
      </c>
      <c r="O361" s="33">
        <v>4900</v>
      </c>
      <c r="P361" s="33">
        <f>Table2_1[[#This Row],[Quantity Purchased]]*Table2_1[[#This Row],[UnitPrice]]*(1-Table2_1[[#This Row],[Discount]])</f>
        <v>4851</v>
      </c>
      <c r="Q361" s="33">
        <f>Table2_1[[#This Row],[Revenue]]-Table2_1[[#This Row],[COGS]]</f>
        <v>-49</v>
      </c>
      <c r="R361" s="39">
        <f>WEEKDAY(Table2_1[[#This Row],[Transaction  Date]])</f>
        <v>3</v>
      </c>
      <c r="S361" s="17" t="str">
        <f>IF(WEEKDAY(Table2_1[[#This Row],[Transaction  Date]],2)&lt;=5,"Weekday","Weekend")</f>
        <v>Weekday</v>
      </c>
      <c r="T361" s="37" t="str">
        <f>FLOOR(Table2_1[[#This Row],[Age]],15)&amp; "-"&amp; FLOOR(Table2_1[[#This Row],[Age]],15)+14</f>
        <v>75-89</v>
      </c>
    </row>
    <row r="362" spans="1:20" x14ac:dyDescent="0.3">
      <c r="A362" s="18">
        <v>45364</v>
      </c>
      <c r="B362" s="17" t="s">
        <v>1264</v>
      </c>
      <c r="C362" s="17" t="s">
        <v>13</v>
      </c>
      <c r="D362" s="18">
        <v>20802</v>
      </c>
      <c r="E362" s="16" t="s">
        <v>20</v>
      </c>
      <c r="F362" s="31">
        <v>195</v>
      </c>
      <c r="G362" s="17" t="s">
        <v>47</v>
      </c>
      <c r="H362" s="17" t="s">
        <v>48</v>
      </c>
      <c r="I362" s="17" t="s">
        <v>17</v>
      </c>
      <c r="J362" s="27">
        <v>0.1</v>
      </c>
      <c r="K362" s="17" t="s">
        <v>931</v>
      </c>
      <c r="L362" s="32">
        <v>7</v>
      </c>
      <c r="M362" s="32">
        <f>_xlfn.XLOOKUP(Table2_1[[#This Row],[Product Code]],Product_Code,Unit_Price,0)</f>
        <v>9</v>
      </c>
      <c r="N362" s="31">
        <f>DATEDIF(Table2_1[[#This Row],[Buyer Date of Birth]],Table2_1[[#This Row],[Transaction  Date]],"Y")</f>
        <v>67</v>
      </c>
      <c r="O362" s="33">
        <v>1365</v>
      </c>
      <c r="P362" s="33">
        <f>Table2_1[[#This Row],[Quantity Purchased]]*Table2_1[[#This Row],[UnitPrice]]*(1-Table2_1[[#This Row],[Discount]])</f>
        <v>1579.5</v>
      </c>
      <c r="Q362" s="33">
        <f>Table2_1[[#This Row],[Revenue]]-Table2_1[[#This Row],[COGS]]</f>
        <v>214.5</v>
      </c>
      <c r="R362" s="39">
        <f>WEEKDAY(Table2_1[[#This Row],[Transaction  Date]])</f>
        <v>4</v>
      </c>
      <c r="S362" s="17" t="str">
        <f>IF(WEEKDAY(Table2_1[[#This Row],[Transaction  Date]],2)&lt;=5,"Weekday","Weekend")</f>
        <v>Weekday</v>
      </c>
      <c r="T362" s="37" t="str">
        <f>FLOOR(Table2_1[[#This Row],[Age]],15)&amp; "-"&amp; FLOOR(Table2_1[[#This Row],[Age]],15)+14</f>
        <v>60-74</v>
      </c>
    </row>
    <row r="363" spans="1:20" x14ac:dyDescent="0.3">
      <c r="A363" s="18">
        <v>45364</v>
      </c>
      <c r="B363" s="17" t="s">
        <v>1855</v>
      </c>
      <c r="C363" s="17" t="s">
        <v>26</v>
      </c>
      <c r="D363" s="18">
        <v>37347</v>
      </c>
      <c r="E363" s="16" t="s">
        <v>20</v>
      </c>
      <c r="F363" s="31">
        <v>458</v>
      </c>
      <c r="G363" s="17" t="s">
        <v>56</v>
      </c>
      <c r="H363" s="17" t="s">
        <v>48</v>
      </c>
      <c r="I363" s="17" t="s">
        <v>17</v>
      </c>
      <c r="J363" s="27">
        <v>0.1</v>
      </c>
      <c r="K363" s="17" t="s">
        <v>935</v>
      </c>
      <c r="L363" s="32">
        <v>18</v>
      </c>
      <c r="M363" s="32">
        <f>_xlfn.XLOOKUP(Table2_1[[#This Row],[Product Code]],Product_Code,Unit_Price,0)</f>
        <v>36</v>
      </c>
      <c r="N363" s="31">
        <f>DATEDIF(Table2_1[[#This Row],[Buyer Date of Birth]],Table2_1[[#This Row],[Transaction  Date]],"Y")</f>
        <v>21</v>
      </c>
      <c r="O363" s="33">
        <v>8244</v>
      </c>
      <c r="P363" s="33">
        <f>Table2_1[[#This Row],[Quantity Purchased]]*Table2_1[[#This Row],[UnitPrice]]*(1-Table2_1[[#This Row],[Discount]])</f>
        <v>14839.2</v>
      </c>
      <c r="Q363" s="33">
        <f>Table2_1[[#This Row],[Revenue]]-Table2_1[[#This Row],[COGS]]</f>
        <v>6595.2000000000007</v>
      </c>
      <c r="R363" s="39">
        <f>WEEKDAY(Table2_1[[#This Row],[Transaction  Date]])</f>
        <v>4</v>
      </c>
      <c r="S363" s="17" t="str">
        <f>IF(WEEKDAY(Table2_1[[#This Row],[Transaction  Date]],2)&lt;=5,"Weekday","Weekend")</f>
        <v>Weekday</v>
      </c>
      <c r="T363" s="37" t="str">
        <f>FLOOR(Table2_1[[#This Row],[Age]],15)&amp; "-"&amp; FLOOR(Table2_1[[#This Row],[Age]],15)+14</f>
        <v>15-29</v>
      </c>
    </row>
    <row r="364" spans="1:20" x14ac:dyDescent="0.3">
      <c r="A364" s="18">
        <v>45364</v>
      </c>
      <c r="B364" s="17" t="s">
        <v>1265</v>
      </c>
      <c r="C364" s="17" t="s">
        <v>55</v>
      </c>
      <c r="D364" s="18">
        <v>36820</v>
      </c>
      <c r="E364" s="16" t="s">
        <v>20</v>
      </c>
      <c r="F364" s="31">
        <v>53</v>
      </c>
      <c r="G364" s="17" t="s">
        <v>34</v>
      </c>
      <c r="H364" s="17" t="s">
        <v>48</v>
      </c>
      <c r="I364" s="17" t="s">
        <v>23</v>
      </c>
      <c r="J364" s="27">
        <v>0.1</v>
      </c>
      <c r="K364" s="17" t="s">
        <v>930</v>
      </c>
      <c r="L364" s="32">
        <v>14</v>
      </c>
      <c r="M364" s="32">
        <f>_xlfn.XLOOKUP(Table2_1[[#This Row],[Product Code]],Product_Code,Unit_Price,0)</f>
        <v>28</v>
      </c>
      <c r="N364" s="31">
        <f>DATEDIF(Table2_1[[#This Row],[Buyer Date of Birth]],Table2_1[[#This Row],[Transaction  Date]],"Y")</f>
        <v>23</v>
      </c>
      <c r="O364" s="33">
        <v>742</v>
      </c>
      <c r="P364" s="33">
        <f>Table2_1[[#This Row],[Quantity Purchased]]*Table2_1[[#This Row],[UnitPrice]]*(1-Table2_1[[#This Row],[Discount]])</f>
        <v>1335.6000000000001</v>
      </c>
      <c r="Q364" s="33">
        <f>Table2_1[[#This Row],[Revenue]]-Table2_1[[#This Row],[COGS]]</f>
        <v>593.60000000000014</v>
      </c>
      <c r="R364" s="39">
        <f>WEEKDAY(Table2_1[[#This Row],[Transaction  Date]])</f>
        <v>4</v>
      </c>
      <c r="S364" s="17" t="str">
        <f>IF(WEEKDAY(Table2_1[[#This Row],[Transaction  Date]],2)&lt;=5,"Weekday","Weekend")</f>
        <v>Weekday</v>
      </c>
      <c r="T364" s="37" t="str">
        <f>FLOOR(Table2_1[[#This Row],[Age]],15)&amp; "-"&amp; FLOOR(Table2_1[[#This Row],[Age]],15)+14</f>
        <v>15-29</v>
      </c>
    </row>
    <row r="365" spans="1:20" x14ac:dyDescent="0.3">
      <c r="A365" s="18">
        <v>45364</v>
      </c>
      <c r="B365" s="17" t="s">
        <v>1266</v>
      </c>
      <c r="C365" s="17" t="s">
        <v>51</v>
      </c>
      <c r="D365" s="18">
        <v>18910</v>
      </c>
      <c r="E365" s="16" t="s">
        <v>68</v>
      </c>
      <c r="F365" s="31">
        <v>391</v>
      </c>
      <c r="G365" s="17" t="s">
        <v>59</v>
      </c>
      <c r="H365" s="17" t="s">
        <v>52</v>
      </c>
      <c r="I365" s="17" t="s">
        <v>17</v>
      </c>
      <c r="J365" s="27">
        <v>0.1</v>
      </c>
      <c r="K365" s="17" t="s">
        <v>932</v>
      </c>
      <c r="L365" s="32">
        <v>19</v>
      </c>
      <c r="M365" s="32">
        <f>_xlfn.XLOOKUP(Table2_1[[#This Row],[Product Code]],Product_Code,Unit_Price,0)</f>
        <v>23</v>
      </c>
      <c r="N365" s="31">
        <f>DATEDIF(Table2_1[[#This Row],[Buyer Date of Birth]],Table2_1[[#This Row],[Transaction  Date]],"Y")</f>
        <v>72</v>
      </c>
      <c r="O365" s="33">
        <v>7429</v>
      </c>
      <c r="P365" s="33">
        <f>Table2_1[[#This Row],[Quantity Purchased]]*Table2_1[[#This Row],[UnitPrice]]*(1-Table2_1[[#This Row],[Discount]])</f>
        <v>8093.7</v>
      </c>
      <c r="Q365" s="33">
        <f>Table2_1[[#This Row],[Revenue]]-Table2_1[[#This Row],[COGS]]</f>
        <v>664.69999999999982</v>
      </c>
      <c r="R365" s="39">
        <f>WEEKDAY(Table2_1[[#This Row],[Transaction  Date]])</f>
        <v>4</v>
      </c>
      <c r="S365" s="17" t="str">
        <f>IF(WEEKDAY(Table2_1[[#This Row],[Transaction  Date]],2)&lt;=5,"Weekday","Weekend")</f>
        <v>Weekday</v>
      </c>
      <c r="T365" s="37" t="str">
        <f>FLOOR(Table2_1[[#This Row],[Age]],15)&amp; "-"&amp; FLOOR(Table2_1[[#This Row],[Age]],15)+14</f>
        <v>60-74</v>
      </c>
    </row>
    <row r="366" spans="1:20" x14ac:dyDescent="0.3">
      <c r="A366" s="18">
        <v>45365</v>
      </c>
      <c r="B366" s="17" t="s">
        <v>1267</v>
      </c>
      <c r="C366" s="17" t="s">
        <v>46</v>
      </c>
      <c r="D366" s="18">
        <v>26823</v>
      </c>
      <c r="E366" s="16" t="s">
        <v>20</v>
      </c>
      <c r="F366" s="31">
        <v>200</v>
      </c>
      <c r="G366" s="17" t="s">
        <v>47</v>
      </c>
      <c r="H366" s="17" t="s">
        <v>28</v>
      </c>
      <c r="I366" s="17" t="s">
        <v>17</v>
      </c>
      <c r="J366" s="27">
        <v>0.1</v>
      </c>
      <c r="K366" s="17" t="s">
        <v>931</v>
      </c>
      <c r="L366" s="32">
        <v>7</v>
      </c>
      <c r="M366" s="32">
        <f>_xlfn.XLOOKUP(Table2_1[[#This Row],[Product Code]],Product_Code,Unit_Price,0)</f>
        <v>9</v>
      </c>
      <c r="N366" s="31">
        <f>DATEDIF(Table2_1[[#This Row],[Buyer Date of Birth]],Table2_1[[#This Row],[Transaction  Date]],"Y")</f>
        <v>50</v>
      </c>
      <c r="O366" s="33">
        <v>1400</v>
      </c>
      <c r="P366" s="33">
        <f>Table2_1[[#This Row],[Quantity Purchased]]*Table2_1[[#This Row],[UnitPrice]]*(1-Table2_1[[#This Row],[Discount]])</f>
        <v>1620</v>
      </c>
      <c r="Q366" s="33">
        <f>Table2_1[[#This Row],[Revenue]]-Table2_1[[#This Row],[COGS]]</f>
        <v>220</v>
      </c>
      <c r="R366" s="39">
        <f>WEEKDAY(Table2_1[[#This Row],[Transaction  Date]])</f>
        <v>5</v>
      </c>
      <c r="S366" s="17" t="str">
        <f>IF(WEEKDAY(Table2_1[[#This Row],[Transaction  Date]],2)&lt;=5,"Weekday","Weekend")</f>
        <v>Weekday</v>
      </c>
      <c r="T366" s="37" t="str">
        <f>FLOOR(Table2_1[[#This Row],[Age]],15)&amp; "-"&amp; FLOOR(Table2_1[[#This Row],[Age]],15)+14</f>
        <v>45-59</v>
      </c>
    </row>
    <row r="367" spans="1:20" x14ac:dyDescent="0.3">
      <c r="A367" s="18">
        <v>45365</v>
      </c>
      <c r="B367" s="17" t="s">
        <v>1268</v>
      </c>
      <c r="C367" s="17" t="s">
        <v>46</v>
      </c>
      <c r="D367" s="18">
        <v>29154</v>
      </c>
      <c r="E367" s="16" t="s">
        <v>68</v>
      </c>
      <c r="F367" s="31">
        <v>203</v>
      </c>
      <c r="G367" s="17" t="s">
        <v>27</v>
      </c>
      <c r="H367" s="17" t="s">
        <v>28</v>
      </c>
      <c r="I367" s="17" t="s">
        <v>17</v>
      </c>
      <c r="J367" s="27">
        <v>0.1</v>
      </c>
      <c r="K367" s="17" t="s">
        <v>927</v>
      </c>
      <c r="L367" s="32">
        <v>18</v>
      </c>
      <c r="M367" s="32">
        <f>_xlfn.XLOOKUP(Table2_1[[#This Row],[Product Code]],Product_Code,Unit_Price,0)</f>
        <v>22</v>
      </c>
      <c r="N367" s="31">
        <f>DATEDIF(Table2_1[[#This Row],[Buyer Date of Birth]],Table2_1[[#This Row],[Transaction  Date]],"Y")</f>
        <v>44</v>
      </c>
      <c r="O367" s="33">
        <v>3654</v>
      </c>
      <c r="P367" s="33">
        <f>Table2_1[[#This Row],[Quantity Purchased]]*Table2_1[[#This Row],[UnitPrice]]*(1-Table2_1[[#This Row],[Discount]])</f>
        <v>4019.4</v>
      </c>
      <c r="Q367" s="33">
        <f>Table2_1[[#This Row],[Revenue]]-Table2_1[[#This Row],[COGS]]</f>
        <v>365.40000000000009</v>
      </c>
      <c r="R367" s="39">
        <f>WEEKDAY(Table2_1[[#This Row],[Transaction  Date]])</f>
        <v>5</v>
      </c>
      <c r="S367" s="17" t="str">
        <f>IF(WEEKDAY(Table2_1[[#This Row],[Transaction  Date]],2)&lt;=5,"Weekday","Weekend")</f>
        <v>Weekday</v>
      </c>
      <c r="T367" s="37" t="str">
        <f>FLOOR(Table2_1[[#This Row],[Age]],15)&amp; "-"&amp; FLOOR(Table2_1[[#This Row],[Age]],15)+14</f>
        <v>30-44</v>
      </c>
    </row>
    <row r="368" spans="1:20" x14ac:dyDescent="0.3">
      <c r="A368" s="18">
        <v>45365</v>
      </c>
      <c r="B368" s="17" t="s">
        <v>1269</v>
      </c>
      <c r="C368" s="17" t="s">
        <v>78</v>
      </c>
      <c r="D368" s="18">
        <v>33494</v>
      </c>
      <c r="E368" s="16" t="s">
        <v>20</v>
      </c>
      <c r="F368" s="31">
        <v>446</v>
      </c>
      <c r="G368" s="17" t="s">
        <v>34</v>
      </c>
      <c r="H368" s="17" t="s">
        <v>48</v>
      </c>
      <c r="I368" s="17" t="s">
        <v>17</v>
      </c>
      <c r="J368" s="27">
        <v>0.1</v>
      </c>
      <c r="K368" s="17" t="s">
        <v>930</v>
      </c>
      <c r="L368" s="32">
        <v>14</v>
      </c>
      <c r="M368" s="32">
        <f>_xlfn.XLOOKUP(Table2_1[[#This Row],[Product Code]],Product_Code,Unit_Price,0)</f>
        <v>28</v>
      </c>
      <c r="N368" s="31">
        <f>DATEDIF(Table2_1[[#This Row],[Buyer Date of Birth]],Table2_1[[#This Row],[Transaction  Date]],"Y")</f>
        <v>32</v>
      </c>
      <c r="O368" s="33">
        <v>6244</v>
      </c>
      <c r="P368" s="33">
        <f>Table2_1[[#This Row],[Quantity Purchased]]*Table2_1[[#This Row],[UnitPrice]]*(1-Table2_1[[#This Row],[Discount]])</f>
        <v>11239.2</v>
      </c>
      <c r="Q368" s="33">
        <f>Table2_1[[#This Row],[Revenue]]-Table2_1[[#This Row],[COGS]]</f>
        <v>4995.2000000000007</v>
      </c>
      <c r="R368" s="39">
        <f>WEEKDAY(Table2_1[[#This Row],[Transaction  Date]])</f>
        <v>5</v>
      </c>
      <c r="S368" s="17" t="str">
        <f>IF(WEEKDAY(Table2_1[[#This Row],[Transaction  Date]],2)&lt;=5,"Weekday","Weekend")</f>
        <v>Weekday</v>
      </c>
      <c r="T368" s="37" t="str">
        <f>FLOOR(Table2_1[[#This Row],[Age]],15)&amp; "-"&amp; FLOOR(Table2_1[[#This Row],[Age]],15)+14</f>
        <v>30-44</v>
      </c>
    </row>
    <row r="369" spans="1:20" x14ac:dyDescent="0.3">
      <c r="A369" s="18">
        <v>45366</v>
      </c>
      <c r="B369" s="17" t="s">
        <v>1270</v>
      </c>
      <c r="C369" s="17" t="s">
        <v>13</v>
      </c>
      <c r="D369" s="18">
        <v>29346</v>
      </c>
      <c r="E369" s="16" t="s">
        <v>20</v>
      </c>
      <c r="F369" s="31">
        <v>370</v>
      </c>
      <c r="G369" s="17" t="s">
        <v>21</v>
      </c>
      <c r="H369" s="17" t="s">
        <v>22</v>
      </c>
      <c r="I369" s="17" t="s">
        <v>23</v>
      </c>
      <c r="J369" s="27">
        <v>0.1</v>
      </c>
      <c r="K369" s="17" t="s">
        <v>934</v>
      </c>
      <c r="L369" s="32">
        <v>10</v>
      </c>
      <c r="M369" s="32">
        <f>_xlfn.XLOOKUP(Table2_1[[#This Row],[Product Code]],Product_Code,Unit_Price,0)</f>
        <v>45</v>
      </c>
      <c r="N369" s="31">
        <f>DATEDIF(Table2_1[[#This Row],[Buyer Date of Birth]],Table2_1[[#This Row],[Transaction  Date]],"Y")</f>
        <v>43</v>
      </c>
      <c r="O369" s="33">
        <v>3700</v>
      </c>
      <c r="P369" s="33">
        <f>Table2_1[[#This Row],[Quantity Purchased]]*Table2_1[[#This Row],[UnitPrice]]*(1-Table2_1[[#This Row],[Discount]])</f>
        <v>14985</v>
      </c>
      <c r="Q369" s="33">
        <f>Table2_1[[#This Row],[Revenue]]-Table2_1[[#This Row],[COGS]]</f>
        <v>11285</v>
      </c>
      <c r="R369" s="39">
        <f>WEEKDAY(Table2_1[[#This Row],[Transaction  Date]])</f>
        <v>6</v>
      </c>
      <c r="S369" s="17" t="str">
        <f>IF(WEEKDAY(Table2_1[[#This Row],[Transaction  Date]],2)&lt;=5,"Weekday","Weekend")</f>
        <v>Weekday</v>
      </c>
      <c r="T369" s="37" t="str">
        <f>FLOOR(Table2_1[[#This Row],[Age]],15)&amp; "-"&amp; FLOOR(Table2_1[[#This Row],[Age]],15)+14</f>
        <v>30-44</v>
      </c>
    </row>
    <row r="370" spans="1:20" x14ac:dyDescent="0.3">
      <c r="A370" s="18">
        <v>45366</v>
      </c>
      <c r="B370" s="17" t="s">
        <v>1271</v>
      </c>
      <c r="C370" s="17" t="s">
        <v>46</v>
      </c>
      <c r="D370" s="18">
        <v>17200</v>
      </c>
      <c r="E370" s="16" t="s">
        <v>20</v>
      </c>
      <c r="F370" s="31">
        <v>218</v>
      </c>
      <c r="G370" s="17" t="s">
        <v>59</v>
      </c>
      <c r="H370" s="17" t="s">
        <v>52</v>
      </c>
      <c r="I370" s="17" t="s">
        <v>17</v>
      </c>
      <c r="J370" s="27">
        <v>0.1</v>
      </c>
      <c r="K370" s="17" t="s">
        <v>932</v>
      </c>
      <c r="L370" s="32">
        <v>19</v>
      </c>
      <c r="M370" s="32">
        <f>_xlfn.XLOOKUP(Table2_1[[#This Row],[Product Code]],Product_Code,Unit_Price,0)</f>
        <v>23</v>
      </c>
      <c r="N370" s="31">
        <f>DATEDIF(Table2_1[[#This Row],[Buyer Date of Birth]],Table2_1[[#This Row],[Transaction  Date]],"Y")</f>
        <v>77</v>
      </c>
      <c r="O370" s="33">
        <v>4142</v>
      </c>
      <c r="P370" s="33">
        <f>Table2_1[[#This Row],[Quantity Purchased]]*Table2_1[[#This Row],[UnitPrice]]*(1-Table2_1[[#This Row],[Discount]])</f>
        <v>4512.6000000000004</v>
      </c>
      <c r="Q370" s="33">
        <f>Table2_1[[#This Row],[Revenue]]-Table2_1[[#This Row],[COGS]]</f>
        <v>370.60000000000036</v>
      </c>
      <c r="R370" s="39">
        <f>WEEKDAY(Table2_1[[#This Row],[Transaction  Date]])</f>
        <v>6</v>
      </c>
      <c r="S370" s="17" t="str">
        <f>IF(WEEKDAY(Table2_1[[#This Row],[Transaction  Date]],2)&lt;=5,"Weekday","Weekend")</f>
        <v>Weekday</v>
      </c>
      <c r="T370" s="37" t="str">
        <f>FLOOR(Table2_1[[#This Row],[Age]],15)&amp; "-"&amp; FLOOR(Table2_1[[#This Row],[Age]],15)+14</f>
        <v>75-89</v>
      </c>
    </row>
    <row r="371" spans="1:20" x14ac:dyDescent="0.3">
      <c r="A371" s="18">
        <v>45366</v>
      </c>
      <c r="B371" s="17" t="s">
        <v>1272</v>
      </c>
      <c r="C371" s="17" t="s">
        <v>26</v>
      </c>
      <c r="D371" s="18">
        <v>16074</v>
      </c>
      <c r="E371" s="16" t="s">
        <v>14</v>
      </c>
      <c r="F371" s="31">
        <v>31</v>
      </c>
      <c r="G371" s="17" t="s">
        <v>42</v>
      </c>
      <c r="H371" s="17" t="s">
        <v>52</v>
      </c>
      <c r="I371" s="17" t="s">
        <v>17</v>
      </c>
      <c r="J371" s="27">
        <v>0.1</v>
      </c>
      <c r="K371" s="17" t="s">
        <v>926</v>
      </c>
      <c r="L371" s="32">
        <v>10</v>
      </c>
      <c r="M371" s="32">
        <f>_xlfn.XLOOKUP(Table2_1[[#This Row],[Product Code]],Product_Code,Unit_Price,0)</f>
        <v>11</v>
      </c>
      <c r="N371" s="31">
        <f>DATEDIF(Table2_1[[#This Row],[Buyer Date of Birth]],Table2_1[[#This Row],[Transaction  Date]],"Y")</f>
        <v>80</v>
      </c>
      <c r="O371" s="33">
        <v>310</v>
      </c>
      <c r="P371" s="33">
        <f>Table2_1[[#This Row],[Quantity Purchased]]*Table2_1[[#This Row],[UnitPrice]]*(1-Table2_1[[#This Row],[Discount]])</f>
        <v>306.90000000000003</v>
      </c>
      <c r="Q371" s="33">
        <f>Table2_1[[#This Row],[Revenue]]-Table2_1[[#This Row],[COGS]]</f>
        <v>-3.0999999999999659</v>
      </c>
      <c r="R371" s="39">
        <f>WEEKDAY(Table2_1[[#This Row],[Transaction  Date]])</f>
        <v>6</v>
      </c>
      <c r="S371" s="17" t="str">
        <f>IF(WEEKDAY(Table2_1[[#This Row],[Transaction  Date]],2)&lt;=5,"Weekday","Weekend")</f>
        <v>Weekday</v>
      </c>
      <c r="T371" s="37" t="str">
        <f>FLOOR(Table2_1[[#This Row],[Age]],15)&amp; "-"&amp; FLOOR(Table2_1[[#This Row],[Age]],15)+14</f>
        <v>75-89</v>
      </c>
    </row>
    <row r="372" spans="1:20" x14ac:dyDescent="0.3">
      <c r="A372" s="18">
        <v>45367</v>
      </c>
      <c r="B372" s="17" t="s">
        <v>1273</v>
      </c>
      <c r="C372" s="17" t="s">
        <v>32</v>
      </c>
      <c r="D372" s="18">
        <v>25996</v>
      </c>
      <c r="E372" s="16" t="s">
        <v>14</v>
      </c>
      <c r="F372" s="31">
        <v>99</v>
      </c>
      <c r="G372" s="17" t="s">
        <v>47</v>
      </c>
      <c r="H372" s="17" t="s">
        <v>52</v>
      </c>
      <c r="I372" s="17" t="s">
        <v>17</v>
      </c>
      <c r="J372" s="27">
        <v>0.1</v>
      </c>
      <c r="K372" s="17" t="s">
        <v>931</v>
      </c>
      <c r="L372" s="32">
        <v>7</v>
      </c>
      <c r="M372" s="32">
        <f>_xlfn.XLOOKUP(Table2_1[[#This Row],[Product Code]],Product_Code,Unit_Price,0)</f>
        <v>9</v>
      </c>
      <c r="N372" s="31">
        <f>DATEDIF(Table2_1[[#This Row],[Buyer Date of Birth]],Table2_1[[#This Row],[Transaction  Date]],"Y")</f>
        <v>53</v>
      </c>
      <c r="O372" s="33">
        <v>693</v>
      </c>
      <c r="P372" s="33">
        <f>Table2_1[[#This Row],[Quantity Purchased]]*Table2_1[[#This Row],[UnitPrice]]*(1-Table2_1[[#This Row],[Discount]])</f>
        <v>801.9</v>
      </c>
      <c r="Q372" s="33">
        <f>Table2_1[[#This Row],[Revenue]]-Table2_1[[#This Row],[COGS]]</f>
        <v>108.89999999999998</v>
      </c>
      <c r="R372" s="39">
        <f>WEEKDAY(Table2_1[[#This Row],[Transaction  Date]])</f>
        <v>7</v>
      </c>
      <c r="S372" s="17" t="str">
        <f>IF(WEEKDAY(Table2_1[[#This Row],[Transaction  Date]],2)&lt;=5,"Weekday","Weekend")</f>
        <v>Weekend</v>
      </c>
      <c r="T372" s="37" t="str">
        <f>FLOOR(Table2_1[[#This Row],[Age]],15)&amp; "-"&amp; FLOOR(Table2_1[[#This Row],[Age]],15)+14</f>
        <v>45-59</v>
      </c>
    </row>
    <row r="373" spans="1:20" x14ac:dyDescent="0.3">
      <c r="A373" s="18">
        <v>45367</v>
      </c>
      <c r="B373" s="17" t="s">
        <v>1274</v>
      </c>
      <c r="C373" s="17" t="s">
        <v>26</v>
      </c>
      <c r="D373" s="18">
        <v>25315</v>
      </c>
      <c r="E373" s="16" t="s">
        <v>68</v>
      </c>
      <c r="F373" s="31">
        <v>162</v>
      </c>
      <c r="G373" s="17" t="s">
        <v>65</v>
      </c>
      <c r="H373" s="17" t="s">
        <v>32</v>
      </c>
      <c r="I373" s="17" t="s">
        <v>17</v>
      </c>
      <c r="J373" s="27">
        <v>0.1</v>
      </c>
      <c r="K373" s="17" t="s">
        <v>928</v>
      </c>
      <c r="L373" s="32">
        <v>3</v>
      </c>
      <c r="M373" s="32">
        <f>_xlfn.XLOOKUP(Table2_1[[#This Row],[Product Code]],Product_Code,Unit_Price,0)</f>
        <v>5</v>
      </c>
      <c r="N373" s="31">
        <f>DATEDIF(Table2_1[[#This Row],[Buyer Date of Birth]],Table2_1[[#This Row],[Transaction  Date]],"Y")</f>
        <v>54</v>
      </c>
      <c r="O373" s="33">
        <v>486</v>
      </c>
      <c r="P373" s="33">
        <f>Table2_1[[#This Row],[Quantity Purchased]]*Table2_1[[#This Row],[UnitPrice]]*(1-Table2_1[[#This Row],[Discount]])</f>
        <v>729</v>
      </c>
      <c r="Q373" s="33">
        <f>Table2_1[[#This Row],[Revenue]]-Table2_1[[#This Row],[COGS]]</f>
        <v>243</v>
      </c>
      <c r="R373" s="39">
        <f>WEEKDAY(Table2_1[[#This Row],[Transaction  Date]])</f>
        <v>7</v>
      </c>
      <c r="S373" s="17" t="str">
        <f>IF(WEEKDAY(Table2_1[[#This Row],[Transaction  Date]],2)&lt;=5,"Weekday","Weekend")</f>
        <v>Weekend</v>
      </c>
      <c r="T373" s="37" t="str">
        <f>FLOOR(Table2_1[[#This Row],[Age]],15)&amp; "-"&amp; FLOOR(Table2_1[[#This Row],[Age]],15)+14</f>
        <v>45-59</v>
      </c>
    </row>
    <row r="374" spans="1:20" x14ac:dyDescent="0.3">
      <c r="A374" s="18">
        <v>45367</v>
      </c>
      <c r="B374" s="17" t="s">
        <v>1275</v>
      </c>
      <c r="C374" s="17" t="s">
        <v>13</v>
      </c>
      <c r="D374" s="18">
        <v>25279</v>
      </c>
      <c r="E374" s="16" t="s">
        <v>14</v>
      </c>
      <c r="F374" s="31">
        <v>214</v>
      </c>
      <c r="G374" s="17" t="s">
        <v>21</v>
      </c>
      <c r="H374" s="17" t="s">
        <v>35</v>
      </c>
      <c r="I374" s="17" t="s">
        <v>17</v>
      </c>
      <c r="J374" s="27">
        <v>0.1</v>
      </c>
      <c r="K374" s="17" t="s">
        <v>934</v>
      </c>
      <c r="L374" s="32">
        <v>10</v>
      </c>
      <c r="M374" s="32">
        <f>_xlfn.XLOOKUP(Table2_1[[#This Row],[Product Code]],Product_Code,Unit_Price,0)</f>
        <v>45</v>
      </c>
      <c r="N374" s="31">
        <f>DATEDIF(Table2_1[[#This Row],[Buyer Date of Birth]],Table2_1[[#This Row],[Transaction  Date]],"Y")</f>
        <v>54</v>
      </c>
      <c r="O374" s="33">
        <v>2140</v>
      </c>
      <c r="P374" s="33">
        <f>Table2_1[[#This Row],[Quantity Purchased]]*Table2_1[[#This Row],[UnitPrice]]*(1-Table2_1[[#This Row],[Discount]])</f>
        <v>8667</v>
      </c>
      <c r="Q374" s="33">
        <f>Table2_1[[#This Row],[Revenue]]-Table2_1[[#This Row],[COGS]]</f>
        <v>6527</v>
      </c>
      <c r="R374" s="39">
        <f>WEEKDAY(Table2_1[[#This Row],[Transaction  Date]])</f>
        <v>7</v>
      </c>
      <c r="S374" s="17" t="str">
        <f>IF(WEEKDAY(Table2_1[[#This Row],[Transaction  Date]],2)&lt;=5,"Weekday","Weekend")</f>
        <v>Weekend</v>
      </c>
      <c r="T374" s="37" t="str">
        <f>FLOOR(Table2_1[[#This Row],[Age]],15)&amp; "-"&amp; FLOOR(Table2_1[[#This Row],[Age]],15)+14</f>
        <v>45-59</v>
      </c>
    </row>
    <row r="375" spans="1:20" x14ac:dyDescent="0.3">
      <c r="A375" s="18">
        <v>45368</v>
      </c>
      <c r="B375" s="17" t="s">
        <v>1276</v>
      </c>
      <c r="C375" s="17" t="s">
        <v>26</v>
      </c>
      <c r="D375" s="18">
        <v>36953</v>
      </c>
      <c r="E375" s="16" t="s">
        <v>20</v>
      </c>
      <c r="F375" s="31">
        <v>346</v>
      </c>
      <c r="G375" s="17" t="s">
        <v>42</v>
      </c>
      <c r="H375" s="17" t="s">
        <v>43</v>
      </c>
      <c r="I375" s="17" t="s">
        <v>17</v>
      </c>
      <c r="J375" s="27">
        <v>0.1</v>
      </c>
      <c r="K375" s="17" t="s">
        <v>926</v>
      </c>
      <c r="L375" s="32">
        <v>10</v>
      </c>
      <c r="M375" s="32">
        <f>_xlfn.XLOOKUP(Table2_1[[#This Row],[Product Code]],Product_Code,Unit_Price,0)</f>
        <v>11</v>
      </c>
      <c r="N375" s="31">
        <f>DATEDIF(Table2_1[[#This Row],[Buyer Date of Birth]],Table2_1[[#This Row],[Transaction  Date]],"Y")</f>
        <v>23</v>
      </c>
      <c r="O375" s="33">
        <v>3460</v>
      </c>
      <c r="P375" s="33">
        <f>Table2_1[[#This Row],[Quantity Purchased]]*Table2_1[[#This Row],[UnitPrice]]*(1-Table2_1[[#This Row],[Discount]])</f>
        <v>3425.4</v>
      </c>
      <c r="Q375" s="33">
        <f>Table2_1[[#This Row],[Revenue]]-Table2_1[[#This Row],[COGS]]</f>
        <v>-34.599999999999909</v>
      </c>
      <c r="R375" s="39">
        <f>WEEKDAY(Table2_1[[#This Row],[Transaction  Date]])</f>
        <v>1</v>
      </c>
      <c r="S375" s="17" t="str">
        <f>IF(WEEKDAY(Table2_1[[#This Row],[Transaction  Date]],2)&lt;=5,"Weekday","Weekend")</f>
        <v>Weekend</v>
      </c>
      <c r="T375" s="37" t="str">
        <f>FLOOR(Table2_1[[#This Row],[Age]],15)&amp; "-"&amp; FLOOR(Table2_1[[#This Row],[Age]],15)+14</f>
        <v>15-29</v>
      </c>
    </row>
    <row r="376" spans="1:20" x14ac:dyDescent="0.3">
      <c r="A376" s="18">
        <v>45368</v>
      </c>
      <c r="B376" s="17" t="s">
        <v>1277</v>
      </c>
      <c r="C376" s="17" t="s">
        <v>83</v>
      </c>
      <c r="D376" s="18">
        <v>32988</v>
      </c>
      <c r="E376" s="16" t="s">
        <v>33</v>
      </c>
      <c r="F376" s="31">
        <v>473</v>
      </c>
      <c r="G376" s="17" t="s">
        <v>59</v>
      </c>
      <c r="H376" s="17" t="s">
        <v>28</v>
      </c>
      <c r="I376" s="17" t="s">
        <v>17</v>
      </c>
      <c r="J376" s="27">
        <v>0.1</v>
      </c>
      <c r="K376" s="17" t="s">
        <v>932</v>
      </c>
      <c r="L376" s="32">
        <v>19</v>
      </c>
      <c r="M376" s="32">
        <f>_xlfn.XLOOKUP(Table2_1[[#This Row],[Product Code]],Product_Code,Unit_Price,0)</f>
        <v>23</v>
      </c>
      <c r="N376" s="31">
        <f>DATEDIF(Table2_1[[#This Row],[Buyer Date of Birth]],Table2_1[[#This Row],[Transaction  Date]],"Y")</f>
        <v>33</v>
      </c>
      <c r="O376" s="33">
        <v>8987</v>
      </c>
      <c r="P376" s="33">
        <f>Table2_1[[#This Row],[Quantity Purchased]]*Table2_1[[#This Row],[UnitPrice]]*(1-Table2_1[[#This Row],[Discount]])</f>
        <v>9791.1</v>
      </c>
      <c r="Q376" s="33">
        <f>Table2_1[[#This Row],[Revenue]]-Table2_1[[#This Row],[COGS]]</f>
        <v>804.10000000000036</v>
      </c>
      <c r="R376" s="39">
        <f>WEEKDAY(Table2_1[[#This Row],[Transaction  Date]])</f>
        <v>1</v>
      </c>
      <c r="S376" s="17" t="str">
        <f>IF(WEEKDAY(Table2_1[[#This Row],[Transaction  Date]],2)&lt;=5,"Weekday","Weekend")</f>
        <v>Weekend</v>
      </c>
      <c r="T376" s="37" t="str">
        <f>FLOOR(Table2_1[[#This Row],[Age]],15)&amp; "-"&amp; FLOOR(Table2_1[[#This Row],[Age]],15)+14</f>
        <v>30-44</v>
      </c>
    </row>
    <row r="377" spans="1:20" x14ac:dyDescent="0.3">
      <c r="A377" s="18">
        <v>45368</v>
      </c>
      <c r="B377" s="17" t="s">
        <v>1278</v>
      </c>
      <c r="C377" s="17" t="s">
        <v>13</v>
      </c>
      <c r="D377" s="18">
        <v>20544</v>
      </c>
      <c r="E377" s="16" t="s">
        <v>33</v>
      </c>
      <c r="F377" s="31">
        <v>447</v>
      </c>
      <c r="G377" s="17" t="s">
        <v>27</v>
      </c>
      <c r="H377" s="17" t="s">
        <v>35</v>
      </c>
      <c r="I377" s="17" t="s">
        <v>17</v>
      </c>
      <c r="J377" s="27">
        <v>0.1</v>
      </c>
      <c r="K377" s="17" t="s">
        <v>927</v>
      </c>
      <c r="L377" s="32">
        <v>18</v>
      </c>
      <c r="M377" s="32">
        <f>_xlfn.XLOOKUP(Table2_1[[#This Row],[Product Code]],Product_Code,Unit_Price,0)</f>
        <v>22</v>
      </c>
      <c r="N377" s="31">
        <f>DATEDIF(Table2_1[[#This Row],[Buyer Date of Birth]],Table2_1[[#This Row],[Transaction  Date]],"Y")</f>
        <v>67</v>
      </c>
      <c r="O377" s="33">
        <v>8046</v>
      </c>
      <c r="P377" s="33">
        <f>Table2_1[[#This Row],[Quantity Purchased]]*Table2_1[[#This Row],[UnitPrice]]*(1-Table2_1[[#This Row],[Discount]])</f>
        <v>8850.6</v>
      </c>
      <c r="Q377" s="33">
        <f>Table2_1[[#This Row],[Revenue]]-Table2_1[[#This Row],[COGS]]</f>
        <v>804.60000000000036</v>
      </c>
      <c r="R377" s="39">
        <f>WEEKDAY(Table2_1[[#This Row],[Transaction  Date]])</f>
        <v>1</v>
      </c>
      <c r="S377" s="17" t="str">
        <f>IF(WEEKDAY(Table2_1[[#This Row],[Transaction  Date]],2)&lt;=5,"Weekday","Weekend")</f>
        <v>Weekend</v>
      </c>
      <c r="T377" s="37" t="str">
        <f>FLOOR(Table2_1[[#This Row],[Age]],15)&amp; "-"&amp; FLOOR(Table2_1[[#This Row],[Age]],15)+14</f>
        <v>60-74</v>
      </c>
    </row>
    <row r="378" spans="1:20" x14ac:dyDescent="0.3">
      <c r="A378" s="18">
        <v>45369</v>
      </c>
      <c r="B378" s="17" t="s">
        <v>1279</v>
      </c>
      <c r="C378" s="17" t="s">
        <v>51</v>
      </c>
      <c r="D378" s="18">
        <v>19536</v>
      </c>
      <c r="E378" s="16" t="s">
        <v>33</v>
      </c>
      <c r="F378" s="31">
        <v>28</v>
      </c>
      <c r="G378" s="17" t="s">
        <v>34</v>
      </c>
      <c r="H378" s="17" t="s">
        <v>28</v>
      </c>
      <c r="I378" s="17" t="s">
        <v>17</v>
      </c>
      <c r="J378" s="27">
        <v>0.1</v>
      </c>
      <c r="K378" s="17" t="s">
        <v>930</v>
      </c>
      <c r="L378" s="32">
        <v>14</v>
      </c>
      <c r="M378" s="32">
        <f>_xlfn.XLOOKUP(Table2_1[[#This Row],[Product Code]],Product_Code,Unit_Price,0)</f>
        <v>28</v>
      </c>
      <c r="N378" s="31">
        <f>DATEDIF(Table2_1[[#This Row],[Buyer Date of Birth]],Table2_1[[#This Row],[Transaction  Date]],"Y")</f>
        <v>70</v>
      </c>
      <c r="O378" s="33">
        <v>392</v>
      </c>
      <c r="P378" s="33">
        <f>Table2_1[[#This Row],[Quantity Purchased]]*Table2_1[[#This Row],[UnitPrice]]*(1-Table2_1[[#This Row],[Discount]])</f>
        <v>705.6</v>
      </c>
      <c r="Q378" s="33">
        <f>Table2_1[[#This Row],[Revenue]]-Table2_1[[#This Row],[COGS]]</f>
        <v>313.60000000000002</v>
      </c>
      <c r="R378" s="39">
        <f>WEEKDAY(Table2_1[[#This Row],[Transaction  Date]])</f>
        <v>2</v>
      </c>
      <c r="S378" s="17" t="str">
        <f>IF(WEEKDAY(Table2_1[[#This Row],[Transaction  Date]],2)&lt;=5,"Weekday","Weekend")</f>
        <v>Weekday</v>
      </c>
      <c r="T378" s="37" t="str">
        <f>FLOOR(Table2_1[[#This Row],[Age]],15)&amp; "-"&amp; FLOOR(Table2_1[[#This Row],[Age]],15)+14</f>
        <v>60-74</v>
      </c>
    </row>
    <row r="379" spans="1:20" x14ac:dyDescent="0.3">
      <c r="A379" s="18">
        <v>45369</v>
      </c>
      <c r="B379" s="17" t="s">
        <v>1280</v>
      </c>
      <c r="C379" s="17" t="s">
        <v>83</v>
      </c>
      <c r="D379" s="18">
        <v>25188</v>
      </c>
      <c r="E379" s="16" t="s">
        <v>14</v>
      </c>
      <c r="F379" s="31">
        <v>182</v>
      </c>
      <c r="G379" s="17" t="s">
        <v>59</v>
      </c>
      <c r="H379" s="17" t="s">
        <v>43</v>
      </c>
      <c r="I379" s="17" t="s">
        <v>17</v>
      </c>
      <c r="J379" s="27">
        <v>0.1</v>
      </c>
      <c r="K379" s="17" t="s">
        <v>932</v>
      </c>
      <c r="L379" s="32">
        <v>19</v>
      </c>
      <c r="M379" s="32">
        <f>_xlfn.XLOOKUP(Table2_1[[#This Row],[Product Code]],Product_Code,Unit_Price,0)</f>
        <v>23</v>
      </c>
      <c r="N379" s="31">
        <f>DATEDIF(Table2_1[[#This Row],[Buyer Date of Birth]],Table2_1[[#This Row],[Transaction  Date]],"Y")</f>
        <v>55</v>
      </c>
      <c r="O379" s="33">
        <v>3458</v>
      </c>
      <c r="P379" s="33">
        <f>Table2_1[[#This Row],[Quantity Purchased]]*Table2_1[[#This Row],[UnitPrice]]*(1-Table2_1[[#This Row],[Discount]])</f>
        <v>3767.4</v>
      </c>
      <c r="Q379" s="33">
        <f>Table2_1[[#This Row],[Revenue]]-Table2_1[[#This Row],[COGS]]</f>
        <v>309.40000000000009</v>
      </c>
      <c r="R379" s="39">
        <f>WEEKDAY(Table2_1[[#This Row],[Transaction  Date]])</f>
        <v>2</v>
      </c>
      <c r="S379" s="17" t="str">
        <f>IF(WEEKDAY(Table2_1[[#This Row],[Transaction  Date]],2)&lt;=5,"Weekday","Weekend")</f>
        <v>Weekday</v>
      </c>
      <c r="T379" s="37" t="str">
        <f>FLOOR(Table2_1[[#This Row],[Age]],15)&amp; "-"&amp; FLOOR(Table2_1[[#This Row],[Age]],15)+14</f>
        <v>45-59</v>
      </c>
    </row>
    <row r="380" spans="1:20" x14ac:dyDescent="0.3">
      <c r="A380" s="18">
        <v>45370</v>
      </c>
      <c r="B380" s="17" t="s">
        <v>1281</v>
      </c>
      <c r="C380" s="17" t="s">
        <v>13</v>
      </c>
      <c r="D380" s="18">
        <v>21114</v>
      </c>
      <c r="E380" s="16" t="s">
        <v>33</v>
      </c>
      <c r="F380" s="31">
        <v>323</v>
      </c>
      <c r="G380" s="17" t="s">
        <v>47</v>
      </c>
      <c r="H380" s="17" t="s">
        <v>52</v>
      </c>
      <c r="I380" s="17" t="s">
        <v>17</v>
      </c>
      <c r="J380" s="27">
        <v>0.1</v>
      </c>
      <c r="K380" s="17" t="s">
        <v>931</v>
      </c>
      <c r="L380" s="32">
        <v>7</v>
      </c>
      <c r="M380" s="32">
        <f>_xlfn.XLOOKUP(Table2_1[[#This Row],[Product Code]],Product_Code,Unit_Price,0)</f>
        <v>9</v>
      </c>
      <c r="N380" s="31">
        <f>DATEDIF(Table2_1[[#This Row],[Buyer Date of Birth]],Table2_1[[#This Row],[Transaction  Date]],"Y")</f>
        <v>66</v>
      </c>
      <c r="O380" s="33">
        <v>2261</v>
      </c>
      <c r="P380" s="33">
        <f>Table2_1[[#This Row],[Quantity Purchased]]*Table2_1[[#This Row],[UnitPrice]]*(1-Table2_1[[#This Row],[Discount]])</f>
        <v>2616.3000000000002</v>
      </c>
      <c r="Q380" s="33">
        <f>Table2_1[[#This Row],[Revenue]]-Table2_1[[#This Row],[COGS]]</f>
        <v>355.30000000000018</v>
      </c>
      <c r="R380" s="39">
        <f>WEEKDAY(Table2_1[[#This Row],[Transaction  Date]])</f>
        <v>3</v>
      </c>
      <c r="S380" s="17" t="str">
        <f>IF(WEEKDAY(Table2_1[[#This Row],[Transaction  Date]],2)&lt;=5,"Weekday","Weekend")</f>
        <v>Weekday</v>
      </c>
      <c r="T380" s="37" t="str">
        <f>FLOOR(Table2_1[[#This Row],[Age]],15)&amp; "-"&amp; FLOOR(Table2_1[[#This Row],[Age]],15)+14</f>
        <v>60-74</v>
      </c>
    </row>
    <row r="381" spans="1:20" x14ac:dyDescent="0.3">
      <c r="A381" s="18">
        <v>45370</v>
      </c>
      <c r="B381" s="17" t="s">
        <v>1282</v>
      </c>
      <c r="C381" s="17" t="s">
        <v>55</v>
      </c>
      <c r="D381" s="18">
        <v>17788</v>
      </c>
      <c r="E381" s="16" t="s">
        <v>14</v>
      </c>
      <c r="F381" s="31">
        <v>308</v>
      </c>
      <c r="G381" s="17" t="s">
        <v>56</v>
      </c>
      <c r="H381" s="17" t="s">
        <v>52</v>
      </c>
      <c r="I381" s="17" t="s">
        <v>17</v>
      </c>
      <c r="J381" s="27">
        <v>0.1</v>
      </c>
      <c r="K381" s="17" t="s">
        <v>935</v>
      </c>
      <c r="L381" s="32">
        <v>18</v>
      </c>
      <c r="M381" s="32">
        <f>_xlfn.XLOOKUP(Table2_1[[#This Row],[Product Code]],Product_Code,Unit_Price,0)</f>
        <v>36</v>
      </c>
      <c r="N381" s="31">
        <f>DATEDIF(Table2_1[[#This Row],[Buyer Date of Birth]],Table2_1[[#This Row],[Transaction  Date]],"Y")</f>
        <v>75</v>
      </c>
      <c r="O381" s="33">
        <v>5544</v>
      </c>
      <c r="P381" s="33">
        <f>Table2_1[[#This Row],[Quantity Purchased]]*Table2_1[[#This Row],[UnitPrice]]*(1-Table2_1[[#This Row],[Discount]])</f>
        <v>9979.2000000000007</v>
      </c>
      <c r="Q381" s="33">
        <f>Table2_1[[#This Row],[Revenue]]-Table2_1[[#This Row],[COGS]]</f>
        <v>4435.2000000000007</v>
      </c>
      <c r="R381" s="39">
        <f>WEEKDAY(Table2_1[[#This Row],[Transaction  Date]])</f>
        <v>3</v>
      </c>
      <c r="S381" s="17" t="str">
        <f>IF(WEEKDAY(Table2_1[[#This Row],[Transaction  Date]],2)&lt;=5,"Weekday","Weekend")</f>
        <v>Weekday</v>
      </c>
      <c r="T381" s="37" t="str">
        <f>FLOOR(Table2_1[[#This Row],[Age]],15)&amp; "-"&amp; FLOOR(Table2_1[[#This Row],[Age]],15)+14</f>
        <v>75-89</v>
      </c>
    </row>
    <row r="382" spans="1:20" x14ac:dyDescent="0.3">
      <c r="A382" s="18">
        <v>45370</v>
      </c>
      <c r="B382" s="17" t="s">
        <v>1283</v>
      </c>
      <c r="C382" s="17" t="s">
        <v>26</v>
      </c>
      <c r="D382" s="18">
        <v>26807</v>
      </c>
      <c r="E382" s="16" t="s">
        <v>68</v>
      </c>
      <c r="F382" s="31">
        <v>360</v>
      </c>
      <c r="G382" s="17" t="s">
        <v>42</v>
      </c>
      <c r="H382" s="17" t="s">
        <v>48</v>
      </c>
      <c r="I382" s="17" t="s">
        <v>17</v>
      </c>
      <c r="J382" s="27">
        <v>0.1</v>
      </c>
      <c r="K382" s="17" t="s">
        <v>926</v>
      </c>
      <c r="L382" s="32">
        <v>10</v>
      </c>
      <c r="M382" s="32">
        <f>_xlfn.XLOOKUP(Table2_1[[#This Row],[Product Code]],Product_Code,Unit_Price,0)</f>
        <v>11</v>
      </c>
      <c r="N382" s="31">
        <f>DATEDIF(Table2_1[[#This Row],[Buyer Date of Birth]],Table2_1[[#This Row],[Transaction  Date]],"Y")</f>
        <v>50</v>
      </c>
      <c r="O382" s="33">
        <v>3600</v>
      </c>
      <c r="P382" s="33">
        <f>Table2_1[[#This Row],[Quantity Purchased]]*Table2_1[[#This Row],[UnitPrice]]*(1-Table2_1[[#This Row],[Discount]])</f>
        <v>3564</v>
      </c>
      <c r="Q382" s="33">
        <f>Table2_1[[#This Row],[Revenue]]-Table2_1[[#This Row],[COGS]]</f>
        <v>-36</v>
      </c>
      <c r="R382" s="39">
        <f>WEEKDAY(Table2_1[[#This Row],[Transaction  Date]])</f>
        <v>3</v>
      </c>
      <c r="S382" s="17" t="str">
        <f>IF(WEEKDAY(Table2_1[[#This Row],[Transaction  Date]],2)&lt;=5,"Weekday","Weekend")</f>
        <v>Weekday</v>
      </c>
      <c r="T382" s="37" t="str">
        <f>FLOOR(Table2_1[[#This Row],[Age]],15)&amp; "-"&amp; FLOOR(Table2_1[[#This Row],[Age]],15)+14</f>
        <v>45-59</v>
      </c>
    </row>
    <row r="383" spans="1:20" x14ac:dyDescent="0.3">
      <c r="A383" s="18">
        <v>45370</v>
      </c>
      <c r="B383" s="17" t="s">
        <v>1284</v>
      </c>
      <c r="C383" s="17" t="s">
        <v>83</v>
      </c>
      <c r="D383" s="18">
        <v>21926</v>
      </c>
      <c r="E383" s="16" t="s">
        <v>33</v>
      </c>
      <c r="F383" s="31">
        <v>313</v>
      </c>
      <c r="G383" s="17" t="s">
        <v>21</v>
      </c>
      <c r="H383" s="17" t="s">
        <v>39</v>
      </c>
      <c r="I383" s="17" t="s">
        <v>17</v>
      </c>
      <c r="J383" s="27">
        <v>0.1</v>
      </c>
      <c r="K383" s="17" t="s">
        <v>934</v>
      </c>
      <c r="L383" s="32">
        <v>10</v>
      </c>
      <c r="M383" s="32">
        <f>_xlfn.XLOOKUP(Table2_1[[#This Row],[Product Code]],Product_Code,Unit_Price,0)</f>
        <v>45</v>
      </c>
      <c r="N383" s="31">
        <f>DATEDIF(Table2_1[[#This Row],[Buyer Date of Birth]],Table2_1[[#This Row],[Transaction  Date]],"Y")</f>
        <v>64</v>
      </c>
      <c r="O383" s="33">
        <v>3130</v>
      </c>
      <c r="P383" s="33">
        <f>Table2_1[[#This Row],[Quantity Purchased]]*Table2_1[[#This Row],[UnitPrice]]*(1-Table2_1[[#This Row],[Discount]])</f>
        <v>12676.5</v>
      </c>
      <c r="Q383" s="33">
        <f>Table2_1[[#This Row],[Revenue]]-Table2_1[[#This Row],[COGS]]</f>
        <v>9546.5</v>
      </c>
      <c r="R383" s="39">
        <f>WEEKDAY(Table2_1[[#This Row],[Transaction  Date]])</f>
        <v>3</v>
      </c>
      <c r="S383" s="17" t="str">
        <f>IF(WEEKDAY(Table2_1[[#This Row],[Transaction  Date]],2)&lt;=5,"Weekday","Weekend")</f>
        <v>Weekday</v>
      </c>
      <c r="T383" s="37" t="str">
        <f>FLOOR(Table2_1[[#This Row],[Age]],15)&amp; "-"&amp; FLOOR(Table2_1[[#This Row],[Age]],15)+14</f>
        <v>60-74</v>
      </c>
    </row>
    <row r="384" spans="1:20" x14ac:dyDescent="0.3">
      <c r="A384" s="18">
        <v>45370</v>
      </c>
      <c r="B384" s="17" t="s">
        <v>1285</v>
      </c>
      <c r="C384" s="17" t="s">
        <v>51</v>
      </c>
      <c r="D384" s="18">
        <v>20040</v>
      </c>
      <c r="E384" s="16" t="s">
        <v>14</v>
      </c>
      <c r="F384" s="31">
        <v>114</v>
      </c>
      <c r="G384" s="17" t="s">
        <v>34</v>
      </c>
      <c r="H384" s="17" t="s">
        <v>48</v>
      </c>
      <c r="I384" s="17" t="s">
        <v>17</v>
      </c>
      <c r="J384" s="27">
        <v>0.1</v>
      </c>
      <c r="K384" s="17" t="s">
        <v>930</v>
      </c>
      <c r="L384" s="32">
        <v>14</v>
      </c>
      <c r="M384" s="32">
        <f>_xlfn.XLOOKUP(Table2_1[[#This Row],[Product Code]],Product_Code,Unit_Price,0)</f>
        <v>28</v>
      </c>
      <c r="N384" s="31">
        <f>DATEDIF(Table2_1[[#This Row],[Buyer Date of Birth]],Table2_1[[#This Row],[Transaction  Date]],"Y")</f>
        <v>69</v>
      </c>
      <c r="O384" s="33">
        <v>1596</v>
      </c>
      <c r="P384" s="33">
        <f>Table2_1[[#This Row],[Quantity Purchased]]*Table2_1[[#This Row],[UnitPrice]]*(1-Table2_1[[#This Row],[Discount]])</f>
        <v>2872.8</v>
      </c>
      <c r="Q384" s="33">
        <f>Table2_1[[#This Row],[Revenue]]-Table2_1[[#This Row],[COGS]]</f>
        <v>1276.8000000000002</v>
      </c>
      <c r="R384" s="39">
        <f>WEEKDAY(Table2_1[[#This Row],[Transaction  Date]])</f>
        <v>3</v>
      </c>
      <c r="S384" s="17" t="str">
        <f>IF(WEEKDAY(Table2_1[[#This Row],[Transaction  Date]],2)&lt;=5,"Weekday","Weekend")</f>
        <v>Weekday</v>
      </c>
      <c r="T384" s="37" t="str">
        <f>FLOOR(Table2_1[[#This Row],[Age]],15)&amp; "-"&amp; FLOOR(Table2_1[[#This Row],[Age]],15)+14</f>
        <v>60-74</v>
      </c>
    </row>
    <row r="385" spans="1:20" x14ac:dyDescent="0.3">
      <c r="A385" s="18">
        <v>45371</v>
      </c>
      <c r="B385" s="17" t="s">
        <v>1286</v>
      </c>
      <c r="C385" s="17" t="s">
        <v>13</v>
      </c>
      <c r="D385" s="18">
        <v>36056</v>
      </c>
      <c r="E385" s="16" t="s">
        <v>33</v>
      </c>
      <c r="F385" s="31">
        <v>385</v>
      </c>
      <c r="G385" s="17" t="s">
        <v>15</v>
      </c>
      <c r="H385" s="17" t="s">
        <v>48</v>
      </c>
      <c r="I385" s="17" t="s">
        <v>29</v>
      </c>
      <c r="J385" s="27">
        <v>0.1</v>
      </c>
      <c r="K385" s="17" t="s">
        <v>929</v>
      </c>
      <c r="L385" s="32">
        <v>10</v>
      </c>
      <c r="M385" s="32">
        <f>_xlfn.XLOOKUP(Table2_1[[#This Row],[Product Code]],Product_Code,Unit_Price,0)</f>
        <v>14</v>
      </c>
      <c r="N385" s="31">
        <f>DATEDIF(Table2_1[[#This Row],[Buyer Date of Birth]],Table2_1[[#This Row],[Transaction  Date]],"Y")</f>
        <v>25</v>
      </c>
      <c r="O385" s="33">
        <v>3850</v>
      </c>
      <c r="P385" s="33">
        <f>Table2_1[[#This Row],[Quantity Purchased]]*Table2_1[[#This Row],[UnitPrice]]*(1-Table2_1[[#This Row],[Discount]])</f>
        <v>4851</v>
      </c>
      <c r="Q385" s="33">
        <f>Table2_1[[#This Row],[Revenue]]-Table2_1[[#This Row],[COGS]]</f>
        <v>1001</v>
      </c>
      <c r="R385" s="39">
        <f>WEEKDAY(Table2_1[[#This Row],[Transaction  Date]])</f>
        <v>4</v>
      </c>
      <c r="S385" s="17" t="str">
        <f>IF(WEEKDAY(Table2_1[[#This Row],[Transaction  Date]],2)&lt;=5,"Weekday","Weekend")</f>
        <v>Weekday</v>
      </c>
      <c r="T385" s="37" t="str">
        <f>FLOOR(Table2_1[[#This Row],[Age]],15)&amp; "-"&amp; FLOOR(Table2_1[[#This Row],[Age]],15)+14</f>
        <v>15-29</v>
      </c>
    </row>
    <row r="386" spans="1:20" x14ac:dyDescent="0.3">
      <c r="A386" s="18">
        <v>45371</v>
      </c>
      <c r="B386" s="17" t="s">
        <v>1287</v>
      </c>
      <c r="C386" s="17" t="s">
        <v>46</v>
      </c>
      <c r="D386" s="18">
        <v>24373</v>
      </c>
      <c r="E386" s="16" t="s">
        <v>14</v>
      </c>
      <c r="F386" s="31">
        <v>66</v>
      </c>
      <c r="G386" s="17" t="s">
        <v>64</v>
      </c>
      <c r="H386" s="17" t="s">
        <v>52</v>
      </c>
      <c r="I386" s="17" t="s">
        <v>17</v>
      </c>
      <c r="J386" s="27">
        <v>0.1</v>
      </c>
      <c r="K386" s="17" t="s">
        <v>933</v>
      </c>
      <c r="L386" s="32">
        <v>5</v>
      </c>
      <c r="M386" s="32">
        <f>_xlfn.XLOOKUP(Table2_1[[#This Row],[Product Code]],Product_Code,Unit_Price,0)</f>
        <v>7</v>
      </c>
      <c r="N386" s="31">
        <f>DATEDIF(Table2_1[[#This Row],[Buyer Date of Birth]],Table2_1[[#This Row],[Transaction  Date]],"Y")</f>
        <v>57</v>
      </c>
      <c r="O386" s="33">
        <v>330</v>
      </c>
      <c r="P386" s="33">
        <f>Table2_1[[#This Row],[Quantity Purchased]]*Table2_1[[#This Row],[UnitPrice]]*(1-Table2_1[[#This Row],[Discount]])</f>
        <v>415.8</v>
      </c>
      <c r="Q386" s="33">
        <f>Table2_1[[#This Row],[Revenue]]-Table2_1[[#This Row],[COGS]]</f>
        <v>85.800000000000011</v>
      </c>
      <c r="R386" s="39">
        <f>WEEKDAY(Table2_1[[#This Row],[Transaction  Date]])</f>
        <v>4</v>
      </c>
      <c r="S386" s="17" t="str">
        <f>IF(WEEKDAY(Table2_1[[#This Row],[Transaction  Date]],2)&lt;=5,"Weekday","Weekend")</f>
        <v>Weekday</v>
      </c>
      <c r="T386" s="37" t="str">
        <f>FLOOR(Table2_1[[#This Row],[Age]],15)&amp; "-"&amp; FLOOR(Table2_1[[#This Row],[Age]],15)+14</f>
        <v>45-59</v>
      </c>
    </row>
    <row r="387" spans="1:20" x14ac:dyDescent="0.3">
      <c r="A387" s="18">
        <v>45371</v>
      </c>
      <c r="B387" s="17" t="s">
        <v>1288</v>
      </c>
      <c r="C387" s="17" t="s">
        <v>71</v>
      </c>
      <c r="D387" s="18">
        <v>26472</v>
      </c>
      <c r="E387" s="16" t="s">
        <v>20</v>
      </c>
      <c r="F387" s="31">
        <v>405</v>
      </c>
      <c r="G387" s="17" t="s">
        <v>56</v>
      </c>
      <c r="H387" s="17" t="s">
        <v>48</v>
      </c>
      <c r="I387" s="17" t="s">
        <v>17</v>
      </c>
      <c r="J387" s="27">
        <v>0.1</v>
      </c>
      <c r="K387" s="17" t="s">
        <v>935</v>
      </c>
      <c r="L387" s="32">
        <v>18</v>
      </c>
      <c r="M387" s="32">
        <f>_xlfn.XLOOKUP(Table2_1[[#This Row],[Product Code]],Product_Code,Unit_Price,0)</f>
        <v>36</v>
      </c>
      <c r="N387" s="31">
        <f>DATEDIF(Table2_1[[#This Row],[Buyer Date of Birth]],Table2_1[[#This Row],[Transaction  Date]],"Y")</f>
        <v>51</v>
      </c>
      <c r="O387" s="33">
        <v>7290</v>
      </c>
      <c r="P387" s="33">
        <f>Table2_1[[#This Row],[Quantity Purchased]]*Table2_1[[#This Row],[UnitPrice]]*(1-Table2_1[[#This Row],[Discount]])</f>
        <v>13122</v>
      </c>
      <c r="Q387" s="33">
        <f>Table2_1[[#This Row],[Revenue]]-Table2_1[[#This Row],[COGS]]</f>
        <v>5832</v>
      </c>
      <c r="R387" s="39">
        <f>WEEKDAY(Table2_1[[#This Row],[Transaction  Date]])</f>
        <v>4</v>
      </c>
      <c r="S387" s="17" t="str">
        <f>IF(WEEKDAY(Table2_1[[#This Row],[Transaction  Date]],2)&lt;=5,"Weekday","Weekend")</f>
        <v>Weekday</v>
      </c>
      <c r="T387" s="37" t="str">
        <f>FLOOR(Table2_1[[#This Row],[Age]],15)&amp; "-"&amp; FLOOR(Table2_1[[#This Row],[Age]],15)+14</f>
        <v>45-59</v>
      </c>
    </row>
    <row r="388" spans="1:20" x14ac:dyDescent="0.3">
      <c r="A388" s="18">
        <v>45371</v>
      </c>
      <c r="B388" s="17" t="s">
        <v>1289</v>
      </c>
      <c r="C388" s="17" t="s">
        <v>26</v>
      </c>
      <c r="D388" s="18">
        <v>33588</v>
      </c>
      <c r="E388" s="16" t="s">
        <v>33</v>
      </c>
      <c r="F388" s="31">
        <v>306</v>
      </c>
      <c r="G388" s="17" t="s">
        <v>42</v>
      </c>
      <c r="H388" s="17" t="s">
        <v>43</v>
      </c>
      <c r="I388" s="17" t="s">
        <v>17</v>
      </c>
      <c r="J388" s="27">
        <v>0.1</v>
      </c>
      <c r="K388" s="17" t="s">
        <v>926</v>
      </c>
      <c r="L388" s="32">
        <v>10</v>
      </c>
      <c r="M388" s="32">
        <f>_xlfn.XLOOKUP(Table2_1[[#This Row],[Product Code]],Product_Code,Unit_Price,0)</f>
        <v>11</v>
      </c>
      <c r="N388" s="31">
        <f>DATEDIF(Table2_1[[#This Row],[Buyer Date of Birth]],Table2_1[[#This Row],[Transaction  Date]],"Y")</f>
        <v>32</v>
      </c>
      <c r="O388" s="33">
        <v>3060</v>
      </c>
      <c r="P388" s="33">
        <f>Table2_1[[#This Row],[Quantity Purchased]]*Table2_1[[#This Row],[UnitPrice]]*(1-Table2_1[[#This Row],[Discount]])</f>
        <v>3029.4</v>
      </c>
      <c r="Q388" s="33">
        <f>Table2_1[[#This Row],[Revenue]]-Table2_1[[#This Row],[COGS]]</f>
        <v>-30.599999999999909</v>
      </c>
      <c r="R388" s="39">
        <f>WEEKDAY(Table2_1[[#This Row],[Transaction  Date]])</f>
        <v>4</v>
      </c>
      <c r="S388" s="17" t="str">
        <f>IF(WEEKDAY(Table2_1[[#This Row],[Transaction  Date]],2)&lt;=5,"Weekday","Weekend")</f>
        <v>Weekday</v>
      </c>
      <c r="T388" s="37" t="str">
        <f>FLOOR(Table2_1[[#This Row],[Age]],15)&amp; "-"&amp; FLOOR(Table2_1[[#This Row],[Age]],15)+14</f>
        <v>30-44</v>
      </c>
    </row>
    <row r="389" spans="1:20" x14ac:dyDescent="0.3">
      <c r="A389" s="18">
        <v>45371</v>
      </c>
      <c r="B389" s="17" t="s">
        <v>1290</v>
      </c>
      <c r="C389" s="17" t="s">
        <v>94</v>
      </c>
      <c r="D389" s="18">
        <v>26730</v>
      </c>
      <c r="E389" s="16" t="s">
        <v>33</v>
      </c>
      <c r="F389" s="31">
        <v>472</v>
      </c>
      <c r="G389" s="17" t="s">
        <v>47</v>
      </c>
      <c r="H389" s="17" t="s">
        <v>28</v>
      </c>
      <c r="I389" s="17" t="s">
        <v>17</v>
      </c>
      <c r="J389" s="27">
        <v>0.1</v>
      </c>
      <c r="K389" s="17" t="s">
        <v>931</v>
      </c>
      <c r="L389" s="32">
        <v>7</v>
      </c>
      <c r="M389" s="32">
        <f>_xlfn.XLOOKUP(Table2_1[[#This Row],[Product Code]],Product_Code,Unit_Price,0)</f>
        <v>9</v>
      </c>
      <c r="N389" s="31">
        <f>DATEDIF(Table2_1[[#This Row],[Buyer Date of Birth]],Table2_1[[#This Row],[Transaction  Date]],"Y")</f>
        <v>51</v>
      </c>
      <c r="O389" s="33">
        <v>3304</v>
      </c>
      <c r="P389" s="33">
        <f>Table2_1[[#This Row],[Quantity Purchased]]*Table2_1[[#This Row],[UnitPrice]]*(1-Table2_1[[#This Row],[Discount]])</f>
        <v>3823.2000000000003</v>
      </c>
      <c r="Q389" s="33">
        <f>Table2_1[[#This Row],[Revenue]]-Table2_1[[#This Row],[COGS]]</f>
        <v>519.20000000000027</v>
      </c>
      <c r="R389" s="39">
        <f>WEEKDAY(Table2_1[[#This Row],[Transaction  Date]])</f>
        <v>4</v>
      </c>
      <c r="S389" s="17" t="str">
        <f>IF(WEEKDAY(Table2_1[[#This Row],[Transaction  Date]],2)&lt;=5,"Weekday","Weekend")</f>
        <v>Weekday</v>
      </c>
      <c r="T389" s="37" t="str">
        <f>FLOOR(Table2_1[[#This Row],[Age]],15)&amp; "-"&amp; FLOOR(Table2_1[[#This Row],[Age]],15)+14</f>
        <v>45-59</v>
      </c>
    </row>
    <row r="390" spans="1:20" x14ac:dyDescent="0.3">
      <c r="A390" s="18">
        <v>45372</v>
      </c>
      <c r="B390" s="17" t="s">
        <v>1291</v>
      </c>
      <c r="C390" s="17" t="s">
        <v>38</v>
      </c>
      <c r="D390" s="18">
        <v>38278</v>
      </c>
      <c r="E390" s="16" t="s">
        <v>68</v>
      </c>
      <c r="F390" s="31">
        <v>209</v>
      </c>
      <c r="G390" s="17" t="s">
        <v>27</v>
      </c>
      <c r="H390" s="17" t="s">
        <v>43</v>
      </c>
      <c r="I390" s="17" t="s">
        <v>17</v>
      </c>
      <c r="J390" s="27">
        <v>0.1</v>
      </c>
      <c r="K390" s="17" t="s">
        <v>927</v>
      </c>
      <c r="L390" s="32">
        <v>18</v>
      </c>
      <c r="M390" s="32">
        <f>_xlfn.XLOOKUP(Table2_1[[#This Row],[Product Code]],Product_Code,Unit_Price,0)</f>
        <v>22</v>
      </c>
      <c r="N390" s="31">
        <f>DATEDIF(Table2_1[[#This Row],[Buyer Date of Birth]],Table2_1[[#This Row],[Transaction  Date]],"Y")</f>
        <v>19</v>
      </c>
      <c r="O390" s="33">
        <v>3762</v>
      </c>
      <c r="P390" s="33">
        <f>Table2_1[[#This Row],[Quantity Purchased]]*Table2_1[[#This Row],[UnitPrice]]*(1-Table2_1[[#This Row],[Discount]])</f>
        <v>4138.2</v>
      </c>
      <c r="Q390" s="33">
        <f>Table2_1[[#This Row],[Revenue]]-Table2_1[[#This Row],[COGS]]</f>
        <v>376.19999999999982</v>
      </c>
      <c r="R390" s="39">
        <f>WEEKDAY(Table2_1[[#This Row],[Transaction  Date]])</f>
        <v>5</v>
      </c>
      <c r="S390" s="17" t="str">
        <f>IF(WEEKDAY(Table2_1[[#This Row],[Transaction  Date]],2)&lt;=5,"Weekday","Weekend")</f>
        <v>Weekday</v>
      </c>
      <c r="T390" s="37" t="str">
        <f>FLOOR(Table2_1[[#This Row],[Age]],15)&amp; "-"&amp; FLOOR(Table2_1[[#This Row],[Age]],15)+14</f>
        <v>15-29</v>
      </c>
    </row>
    <row r="391" spans="1:20" x14ac:dyDescent="0.3">
      <c r="A391" s="18">
        <v>45372</v>
      </c>
      <c r="B391" s="17" t="s">
        <v>1292</v>
      </c>
      <c r="C391" s="17" t="s">
        <v>51</v>
      </c>
      <c r="D391" s="18">
        <v>30210</v>
      </c>
      <c r="E391" s="16" t="s">
        <v>68</v>
      </c>
      <c r="F391" s="31">
        <v>205</v>
      </c>
      <c r="G391" s="17" t="s">
        <v>56</v>
      </c>
      <c r="H391" s="17" t="s">
        <v>52</v>
      </c>
      <c r="I391" s="17" t="s">
        <v>17</v>
      </c>
      <c r="J391" s="27">
        <v>0.1</v>
      </c>
      <c r="K391" s="17" t="s">
        <v>935</v>
      </c>
      <c r="L391" s="32">
        <v>18</v>
      </c>
      <c r="M391" s="32">
        <f>_xlfn.XLOOKUP(Table2_1[[#This Row],[Product Code]],Product_Code,Unit_Price,0)</f>
        <v>36</v>
      </c>
      <c r="N391" s="31">
        <f>DATEDIF(Table2_1[[#This Row],[Buyer Date of Birth]],Table2_1[[#This Row],[Transaction  Date]],"Y")</f>
        <v>41</v>
      </c>
      <c r="O391" s="33">
        <v>3690</v>
      </c>
      <c r="P391" s="33">
        <f>Table2_1[[#This Row],[Quantity Purchased]]*Table2_1[[#This Row],[UnitPrice]]*(1-Table2_1[[#This Row],[Discount]])</f>
        <v>6642</v>
      </c>
      <c r="Q391" s="33">
        <f>Table2_1[[#This Row],[Revenue]]-Table2_1[[#This Row],[COGS]]</f>
        <v>2952</v>
      </c>
      <c r="R391" s="39">
        <f>WEEKDAY(Table2_1[[#This Row],[Transaction  Date]])</f>
        <v>5</v>
      </c>
      <c r="S391" s="17" t="str">
        <f>IF(WEEKDAY(Table2_1[[#This Row],[Transaction  Date]],2)&lt;=5,"Weekday","Weekend")</f>
        <v>Weekday</v>
      </c>
      <c r="T391" s="37" t="str">
        <f>FLOOR(Table2_1[[#This Row],[Age]],15)&amp; "-"&amp; FLOOR(Table2_1[[#This Row],[Age]],15)+14</f>
        <v>30-44</v>
      </c>
    </row>
    <row r="392" spans="1:20" x14ac:dyDescent="0.3">
      <c r="A392" s="18">
        <v>45372</v>
      </c>
      <c r="B392" s="17" t="s">
        <v>1293</v>
      </c>
      <c r="C392" s="17" t="s">
        <v>46</v>
      </c>
      <c r="D392" s="18">
        <v>16961</v>
      </c>
      <c r="E392" s="16" t="s">
        <v>20</v>
      </c>
      <c r="F392" s="31">
        <v>472</v>
      </c>
      <c r="G392" s="17" t="s">
        <v>56</v>
      </c>
      <c r="H392" s="17" t="s">
        <v>35</v>
      </c>
      <c r="I392" s="17" t="s">
        <v>17</v>
      </c>
      <c r="J392" s="27">
        <v>0.1</v>
      </c>
      <c r="K392" s="17" t="s">
        <v>935</v>
      </c>
      <c r="L392" s="32">
        <v>18</v>
      </c>
      <c r="M392" s="32">
        <f>_xlfn.XLOOKUP(Table2_1[[#This Row],[Product Code]],Product_Code,Unit_Price,0)</f>
        <v>36</v>
      </c>
      <c r="N392" s="31">
        <f>DATEDIF(Table2_1[[#This Row],[Buyer Date of Birth]],Table2_1[[#This Row],[Transaction  Date]],"Y")</f>
        <v>77</v>
      </c>
      <c r="O392" s="33">
        <v>8496</v>
      </c>
      <c r="P392" s="33">
        <f>Table2_1[[#This Row],[Quantity Purchased]]*Table2_1[[#This Row],[UnitPrice]]*(1-Table2_1[[#This Row],[Discount]])</f>
        <v>15292.800000000001</v>
      </c>
      <c r="Q392" s="33">
        <f>Table2_1[[#This Row],[Revenue]]-Table2_1[[#This Row],[COGS]]</f>
        <v>6796.8000000000011</v>
      </c>
      <c r="R392" s="39">
        <f>WEEKDAY(Table2_1[[#This Row],[Transaction  Date]])</f>
        <v>5</v>
      </c>
      <c r="S392" s="17" t="str">
        <f>IF(WEEKDAY(Table2_1[[#This Row],[Transaction  Date]],2)&lt;=5,"Weekday","Weekend")</f>
        <v>Weekday</v>
      </c>
      <c r="T392" s="37" t="str">
        <f>FLOOR(Table2_1[[#This Row],[Age]],15)&amp; "-"&amp; FLOOR(Table2_1[[#This Row],[Age]],15)+14</f>
        <v>75-89</v>
      </c>
    </row>
    <row r="393" spans="1:20" x14ac:dyDescent="0.3">
      <c r="A393" s="18">
        <v>45373</v>
      </c>
      <c r="B393" s="17" t="s">
        <v>1294</v>
      </c>
      <c r="C393" s="17" t="s">
        <v>55</v>
      </c>
      <c r="D393" s="18">
        <v>21343</v>
      </c>
      <c r="E393" s="16" t="s">
        <v>33</v>
      </c>
      <c r="F393" s="31">
        <v>388</v>
      </c>
      <c r="G393" s="17" t="s">
        <v>27</v>
      </c>
      <c r="H393" s="17" t="s">
        <v>52</v>
      </c>
      <c r="I393" s="17" t="s">
        <v>17</v>
      </c>
      <c r="J393" s="27">
        <v>0.1</v>
      </c>
      <c r="K393" s="17" t="s">
        <v>927</v>
      </c>
      <c r="L393" s="32">
        <v>18</v>
      </c>
      <c r="M393" s="32">
        <f>_xlfn.XLOOKUP(Table2_1[[#This Row],[Product Code]],Product_Code,Unit_Price,0)</f>
        <v>22</v>
      </c>
      <c r="N393" s="31">
        <f>DATEDIF(Table2_1[[#This Row],[Buyer Date of Birth]],Table2_1[[#This Row],[Transaction  Date]],"Y")</f>
        <v>65</v>
      </c>
      <c r="O393" s="33">
        <v>6984</v>
      </c>
      <c r="P393" s="33">
        <f>Table2_1[[#This Row],[Quantity Purchased]]*Table2_1[[#This Row],[UnitPrice]]*(1-Table2_1[[#This Row],[Discount]])</f>
        <v>7682.4000000000005</v>
      </c>
      <c r="Q393" s="33">
        <f>Table2_1[[#This Row],[Revenue]]-Table2_1[[#This Row],[COGS]]</f>
        <v>698.40000000000055</v>
      </c>
      <c r="R393" s="39">
        <f>WEEKDAY(Table2_1[[#This Row],[Transaction  Date]])</f>
        <v>6</v>
      </c>
      <c r="S393" s="17" t="str">
        <f>IF(WEEKDAY(Table2_1[[#This Row],[Transaction  Date]],2)&lt;=5,"Weekday","Weekend")</f>
        <v>Weekday</v>
      </c>
      <c r="T393" s="37" t="str">
        <f>FLOOR(Table2_1[[#This Row],[Age]],15)&amp; "-"&amp; FLOOR(Table2_1[[#This Row],[Age]],15)+14</f>
        <v>60-74</v>
      </c>
    </row>
    <row r="394" spans="1:20" x14ac:dyDescent="0.3">
      <c r="A394" s="18">
        <v>45373</v>
      </c>
      <c r="B394" s="17" t="s">
        <v>1295</v>
      </c>
      <c r="C394" s="17" t="s">
        <v>83</v>
      </c>
      <c r="D394" s="18">
        <v>36246</v>
      </c>
      <c r="E394" s="16" t="s">
        <v>20</v>
      </c>
      <c r="F394" s="31">
        <v>213</v>
      </c>
      <c r="G394" s="17" t="s">
        <v>56</v>
      </c>
      <c r="H394" s="17" t="s">
        <v>52</v>
      </c>
      <c r="I394" s="17" t="s">
        <v>17</v>
      </c>
      <c r="J394" s="27">
        <v>0.1</v>
      </c>
      <c r="K394" s="17" t="s">
        <v>935</v>
      </c>
      <c r="L394" s="32">
        <v>18</v>
      </c>
      <c r="M394" s="32">
        <f>_xlfn.XLOOKUP(Table2_1[[#This Row],[Product Code]],Product_Code,Unit_Price,0)</f>
        <v>36</v>
      </c>
      <c r="N394" s="31">
        <f>DATEDIF(Table2_1[[#This Row],[Buyer Date of Birth]],Table2_1[[#This Row],[Transaction  Date]],"Y")</f>
        <v>24</v>
      </c>
      <c r="O394" s="33">
        <v>3834</v>
      </c>
      <c r="P394" s="33">
        <f>Table2_1[[#This Row],[Quantity Purchased]]*Table2_1[[#This Row],[UnitPrice]]*(1-Table2_1[[#This Row],[Discount]])</f>
        <v>6901.2</v>
      </c>
      <c r="Q394" s="33">
        <f>Table2_1[[#This Row],[Revenue]]-Table2_1[[#This Row],[COGS]]</f>
        <v>3067.2</v>
      </c>
      <c r="R394" s="39">
        <f>WEEKDAY(Table2_1[[#This Row],[Transaction  Date]])</f>
        <v>6</v>
      </c>
      <c r="S394" s="17" t="str">
        <f>IF(WEEKDAY(Table2_1[[#This Row],[Transaction  Date]],2)&lt;=5,"Weekday","Weekend")</f>
        <v>Weekday</v>
      </c>
      <c r="T394" s="37" t="str">
        <f>FLOOR(Table2_1[[#This Row],[Age]],15)&amp; "-"&amp; FLOOR(Table2_1[[#This Row],[Age]],15)+14</f>
        <v>15-29</v>
      </c>
    </row>
    <row r="395" spans="1:20" x14ac:dyDescent="0.3">
      <c r="A395" s="18">
        <v>45374</v>
      </c>
      <c r="B395" s="17" t="s">
        <v>1296</v>
      </c>
      <c r="C395" s="17" t="s">
        <v>55</v>
      </c>
      <c r="D395" s="18">
        <v>23336</v>
      </c>
      <c r="E395" s="16" t="s">
        <v>68</v>
      </c>
      <c r="F395" s="31">
        <v>263</v>
      </c>
      <c r="G395" s="17" t="s">
        <v>59</v>
      </c>
      <c r="H395" s="17" t="s">
        <v>43</v>
      </c>
      <c r="I395" s="17" t="s">
        <v>17</v>
      </c>
      <c r="J395" s="27">
        <v>0.1</v>
      </c>
      <c r="K395" s="17" t="s">
        <v>932</v>
      </c>
      <c r="L395" s="32">
        <v>19</v>
      </c>
      <c r="M395" s="32">
        <f>_xlfn.XLOOKUP(Table2_1[[#This Row],[Product Code]],Product_Code,Unit_Price,0)</f>
        <v>23</v>
      </c>
      <c r="N395" s="31">
        <f>DATEDIF(Table2_1[[#This Row],[Buyer Date of Birth]],Table2_1[[#This Row],[Transaction  Date]],"Y")</f>
        <v>60</v>
      </c>
      <c r="O395" s="33">
        <v>4997</v>
      </c>
      <c r="P395" s="33">
        <f>Table2_1[[#This Row],[Quantity Purchased]]*Table2_1[[#This Row],[UnitPrice]]*(1-Table2_1[[#This Row],[Discount]])</f>
        <v>5444.1</v>
      </c>
      <c r="Q395" s="33">
        <f>Table2_1[[#This Row],[Revenue]]-Table2_1[[#This Row],[COGS]]</f>
        <v>447.10000000000036</v>
      </c>
      <c r="R395" s="39">
        <f>WEEKDAY(Table2_1[[#This Row],[Transaction  Date]])</f>
        <v>7</v>
      </c>
      <c r="S395" s="17" t="str">
        <f>IF(WEEKDAY(Table2_1[[#This Row],[Transaction  Date]],2)&lt;=5,"Weekday","Weekend")</f>
        <v>Weekend</v>
      </c>
      <c r="T395" s="37" t="str">
        <f>FLOOR(Table2_1[[#This Row],[Age]],15)&amp; "-"&amp; FLOOR(Table2_1[[#This Row],[Age]],15)+14</f>
        <v>60-74</v>
      </c>
    </row>
    <row r="396" spans="1:20" x14ac:dyDescent="0.3">
      <c r="A396" s="18">
        <v>45374</v>
      </c>
      <c r="B396" s="17" t="s">
        <v>1297</v>
      </c>
      <c r="C396" s="17" t="s">
        <v>32</v>
      </c>
      <c r="D396" s="18">
        <v>31726</v>
      </c>
      <c r="E396" s="16" t="s">
        <v>20</v>
      </c>
      <c r="F396" s="31">
        <v>496</v>
      </c>
      <c r="G396" s="17" t="s">
        <v>56</v>
      </c>
      <c r="H396" s="17" t="s">
        <v>48</v>
      </c>
      <c r="I396" s="17" t="s">
        <v>17</v>
      </c>
      <c r="J396" s="27">
        <v>0.1</v>
      </c>
      <c r="K396" s="17" t="s">
        <v>935</v>
      </c>
      <c r="L396" s="32">
        <v>18</v>
      </c>
      <c r="M396" s="32">
        <f>_xlfn.XLOOKUP(Table2_1[[#This Row],[Product Code]],Product_Code,Unit_Price,0)</f>
        <v>36</v>
      </c>
      <c r="N396" s="31">
        <f>DATEDIF(Table2_1[[#This Row],[Buyer Date of Birth]],Table2_1[[#This Row],[Transaction  Date]],"Y")</f>
        <v>37</v>
      </c>
      <c r="O396" s="33">
        <v>8928</v>
      </c>
      <c r="P396" s="33">
        <f>Table2_1[[#This Row],[Quantity Purchased]]*Table2_1[[#This Row],[UnitPrice]]*(1-Table2_1[[#This Row],[Discount]])</f>
        <v>16070.4</v>
      </c>
      <c r="Q396" s="33">
        <f>Table2_1[[#This Row],[Revenue]]-Table2_1[[#This Row],[COGS]]</f>
        <v>7142.4</v>
      </c>
      <c r="R396" s="39">
        <f>WEEKDAY(Table2_1[[#This Row],[Transaction  Date]])</f>
        <v>7</v>
      </c>
      <c r="S396" s="17" t="str">
        <f>IF(WEEKDAY(Table2_1[[#This Row],[Transaction  Date]],2)&lt;=5,"Weekday","Weekend")</f>
        <v>Weekend</v>
      </c>
      <c r="T396" s="37" t="str">
        <f>FLOOR(Table2_1[[#This Row],[Age]],15)&amp; "-"&amp; FLOOR(Table2_1[[#This Row],[Age]],15)+14</f>
        <v>30-44</v>
      </c>
    </row>
    <row r="397" spans="1:20" x14ac:dyDescent="0.3">
      <c r="A397" s="18">
        <v>45374</v>
      </c>
      <c r="B397" s="17" t="s">
        <v>1298</v>
      </c>
      <c r="C397" s="17" t="s">
        <v>38</v>
      </c>
      <c r="D397" s="18">
        <v>32972</v>
      </c>
      <c r="E397" s="16" t="s">
        <v>20</v>
      </c>
      <c r="F397" s="31">
        <v>143</v>
      </c>
      <c r="G397" s="17" t="s">
        <v>15</v>
      </c>
      <c r="H397" s="17" t="s">
        <v>35</v>
      </c>
      <c r="I397" s="17" t="s">
        <v>17</v>
      </c>
      <c r="J397" s="27">
        <v>0.1</v>
      </c>
      <c r="K397" s="17" t="s">
        <v>929</v>
      </c>
      <c r="L397" s="32">
        <v>10</v>
      </c>
      <c r="M397" s="32">
        <f>_xlfn.XLOOKUP(Table2_1[[#This Row],[Product Code]],Product_Code,Unit_Price,0)</f>
        <v>14</v>
      </c>
      <c r="N397" s="31">
        <f>DATEDIF(Table2_1[[#This Row],[Buyer Date of Birth]],Table2_1[[#This Row],[Transaction  Date]],"Y")</f>
        <v>33</v>
      </c>
      <c r="O397" s="33">
        <v>1430</v>
      </c>
      <c r="P397" s="33">
        <f>Table2_1[[#This Row],[Quantity Purchased]]*Table2_1[[#This Row],[UnitPrice]]*(1-Table2_1[[#This Row],[Discount]])</f>
        <v>1801.8</v>
      </c>
      <c r="Q397" s="33">
        <f>Table2_1[[#This Row],[Revenue]]-Table2_1[[#This Row],[COGS]]</f>
        <v>371.79999999999995</v>
      </c>
      <c r="R397" s="39">
        <f>WEEKDAY(Table2_1[[#This Row],[Transaction  Date]])</f>
        <v>7</v>
      </c>
      <c r="S397" s="17" t="str">
        <f>IF(WEEKDAY(Table2_1[[#This Row],[Transaction  Date]],2)&lt;=5,"Weekday","Weekend")</f>
        <v>Weekend</v>
      </c>
      <c r="T397" s="37" t="str">
        <f>FLOOR(Table2_1[[#This Row],[Age]],15)&amp; "-"&amp; FLOOR(Table2_1[[#This Row],[Age]],15)+14</f>
        <v>30-44</v>
      </c>
    </row>
    <row r="398" spans="1:20" x14ac:dyDescent="0.3">
      <c r="A398" s="18">
        <v>45374</v>
      </c>
      <c r="B398" s="17" t="s">
        <v>1299</v>
      </c>
      <c r="C398" s="17" t="s">
        <v>83</v>
      </c>
      <c r="D398" s="18">
        <v>33394</v>
      </c>
      <c r="E398" s="16" t="s">
        <v>20</v>
      </c>
      <c r="F398" s="31">
        <v>90</v>
      </c>
      <c r="G398" s="17" t="s">
        <v>56</v>
      </c>
      <c r="H398" s="17" t="s">
        <v>43</v>
      </c>
      <c r="I398" s="17" t="s">
        <v>17</v>
      </c>
      <c r="J398" s="27">
        <v>0.1</v>
      </c>
      <c r="K398" s="17" t="s">
        <v>935</v>
      </c>
      <c r="L398" s="32">
        <v>18</v>
      </c>
      <c r="M398" s="32">
        <f>_xlfn.XLOOKUP(Table2_1[[#This Row],[Product Code]],Product_Code,Unit_Price,0)</f>
        <v>36</v>
      </c>
      <c r="N398" s="31">
        <f>DATEDIF(Table2_1[[#This Row],[Buyer Date of Birth]],Table2_1[[#This Row],[Transaction  Date]],"Y")</f>
        <v>32</v>
      </c>
      <c r="O398" s="33">
        <v>1620</v>
      </c>
      <c r="P398" s="33">
        <f>Table2_1[[#This Row],[Quantity Purchased]]*Table2_1[[#This Row],[UnitPrice]]*(1-Table2_1[[#This Row],[Discount]])</f>
        <v>2916</v>
      </c>
      <c r="Q398" s="33">
        <f>Table2_1[[#This Row],[Revenue]]-Table2_1[[#This Row],[COGS]]</f>
        <v>1296</v>
      </c>
      <c r="R398" s="39">
        <f>WEEKDAY(Table2_1[[#This Row],[Transaction  Date]])</f>
        <v>7</v>
      </c>
      <c r="S398" s="17" t="str">
        <f>IF(WEEKDAY(Table2_1[[#This Row],[Transaction  Date]],2)&lt;=5,"Weekday","Weekend")</f>
        <v>Weekend</v>
      </c>
      <c r="T398" s="37" t="str">
        <f>FLOOR(Table2_1[[#This Row],[Age]],15)&amp; "-"&amp; FLOOR(Table2_1[[#This Row],[Age]],15)+14</f>
        <v>30-44</v>
      </c>
    </row>
    <row r="399" spans="1:20" x14ac:dyDescent="0.3">
      <c r="A399" s="18">
        <v>45374</v>
      </c>
      <c r="B399" s="17" t="s">
        <v>1300</v>
      </c>
      <c r="C399" s="17" t="s">
        <v>46</v>
      </c>
      <c r="D399" s="18">
        <v>29428</v>
      </c>
      <c r="E399" s="16" t="s">
        <v>33</v>
      </c>
      <c r="F399" s="31">
        <v>289</v>
      </c>
      <c r="G399" s="17" t="s">
        <v>34</v>
      </c>
      <c r="H399" s="17" t="s">
        <v>52</v>
      </c>
      <c r="I399" s="17" t="s">
        <v>17</v>
      </c>
      <c r="J399" s="27">
        <v>0.1</v>
      </c>
      <c r="K399" s="17" t="s">
        <v>930</v>
      </c>
      <c r="L399" s="32">
        <v>14</v>
      </c>
      <c r="M399" s="32">
        <f>_xlfn.XLOOKUP(Table2_1[[#This Row],[Product Code]],Product_Code,Unit_Price,0)</f>
        <v>28</v>
      </c>
      <c r="N399" s="31">
        <f>DATEDIF(Table2_1[[#This Row],[Buyer Date of Birth]],Table2_1[[#This Row],[Transaction  Date]],"Y")</f>
        <v>43</v>
      </c>
      <c r="O399" s="33">
        <v>4046</v>
      </c>
      <c r="P399" s="33">
        <f>Table2_1[[#This Row],[Quantity Purchased]]*Table2_1[[#This Row],[UnitPrice]]*(1-Table2_1[[#This Row],[Discount]])</f>
        <v>7282.8</v>
      </c>
      <c r="Q399" s="33">
        <f>Table2_1[[#This Row],[Revenue]]-Table2_1[[#This Row],[COGS]]</f>
        <v>3236.8</v>
      </c>
      <c r="R399" s="39">
        <f>WEEKDAY(Table2_1[[#This Row],[Transaction  Date]])</f>
        <v>7</v>
      </c>
      <c r="S399" s="17" t="str">
        <f>IF(WEEKDAY(Table2_1[[#This Row],[Transaction  Date]],2)&lt;=5,"Weekday","Weekend")</f>
        <v>Weekend</v>
      </c>
      <c r="T399" s="37" t="str">
        <f>FLOOR(Table2_1[[#This Row],[Age]],15)&amp; "-"&amp; FLOOR(Table2_1[[#This Row],[Age]],15)+14</f>
        <v>30-44</v>
      </c>
    </row>
    <row r="400" spans="1:20" x14ac:dyDescent="0.3">
      <c r="A400" s="18">
        <v>45374</v>
      </c>
      <c r="B400" s="17" t="s">
        <v>1301</v>
      </c>
      <c r="C400" s="17" t="s">
        <v>32</v>
      </c>
      <c r="D400" s="18">
        <v>23793</v>
      </c>
      <c r="E400" s="16" t="s">
        <v>20</v>
      </c>
      <c r="F400" s="31">
        <v>395</v>
      </c>
      <c r="G400" s="17" t="s">
        <v>15</v>
      </c>
      <c r="H400" s="17" t="s">
        <v>28</v>
      </c>
      <c r="I400" s="17" t="s">
        <v>17</v>
      </c>
      <c r="J400" s="27">
        <v>0.1</v>
      </c>
      <c r="K400" s="17" t="s">
        <v>929</v>
      </c>
      <c r="L400" s="32">
        <v>10</v>
      </c>
      <c r="M400" s="32">
        <f>_xlfn.XLOOKUP(Table2_1[[#This Row],[Product Code]],Product_Code,Unit_Price,0)</f>
        <v>14</v>
      </c>
      <c r="N400" s="31">
        <f>DATEDIF(Table2_1[[#This Row],[Buyer Date of Birth]],Table2_1[[#This Row],[Transaction  Date]],"Y")</f>
        <v>59</v>
      </c>
      <c r="O400" s="33">
        <v>3950</v>
      </c>
      <c r="P400" s="33">
        <f>Table2_1[[#This Row],[Quantity Purchased]]*Table2_1[[#This Row],[UnitPrice]]*(1-Table2_1[[#This Row],[Discount]])</f>
        <v>4977</v>
      </c>
      <c r="Q400" s="33">
        <f>Table2_1[[#This Row],[Revenue]]-Table2_1[[#This Row],[COGS]]</f>
        <v>1027</v>
      </c>
      <c r="R400" s="39">
        <f>WEEKDAY(Table2_1[[#This Row],[Transaction  Date]])</f>
        <v>7</v>
      </c>
      <c r="S400" s="17" t="str">
        <f>IF(WEEKDAY(Table2_1[[#This Row],[Transaction  Date]],2)&lt;=5,"Weekday","Weekend")</f>
        <v>Weekend</v>
      </c>
      <c r="T400" s="37" t="str">
        <f>FLOOR(Table2_1[[#This Row],[Age]],15)&amp; "-"&amp; FLOOR(Table2_1[[#This Row],[Age]],15)+14</f>
        <v>45-59</v>
      </c>
    </row>
    <row r="401" spans="1:20" x14ac:dyDescent="0.3">
      <c r="A401" s="18">
        <v>45374</v>
      </c>
      <c r="B401" s="17" t="s">
        <v>1302</v>
      </c>
      <c r="C401" s="17" t="s">
        <v>38</v>
      </c>
      <c r="D401" s="18">
        <v>27890</v>
      </c>
      <c r="E401" s="16" t="s">
        <v>68</v>
      </c>
      <c r="F401" s="31">
        <v>309</v>
      </c>
      <c r="G401" s="17" t="s">
        <v>42</v>
      </c>
      <c r="H401" s="17" t="s">
        <v>48</v>
      </c>
      <c r="I401" s="17" t="s">
        <v>17</v>
      </c>
      <c r="J401" s="27">
        <v>0.1</v>
      </c>
      <c r="K401" s="17" t="s">
        <v>926</v>
      </c>
      <c r="L401" s="32">
        <v>10</v>
      </c>
      <c r="M401" s="32">
        <f>_xlfn.XLOOKUP(Table2_1[[#This Row],[Product Code]],Product_Code,Unit_Price,0)</f>
        <v>11</v>
      </c>
      <c r="N401" s="31">
        <f>DATEDIF(Table2_1[[#This Row],[Buyer Date of Birth]],Table2_1[[#This Row],[Transaction  Date]],"Y")</f>
        <v>47</v>
      </c>
      <c r="O401" s="33">
        <v>3090</v>
      </c>
      <c r="P401" s="33">
        <f>Table2_1[[#This Row],[Quantity Purchased]]*Table2_1[[#This Row],[UnitPrice]]*(1-Table2_1[[#This Row],[Discount]])</f>
        <v>3059.1</v>
      </c>
      <c r="Q401" s="33">
        <f>Table2_1[[#This Row],[Revenue]]-Table2_1[[#This Row],[COGS]]</f>
        <v>-30.900000000000091</v>
      </c>
      <c r="R401" s="39">
        <f>WEEKDAY(Table2_1[[#This Row],[Transaction  Date]])</f>
        <v>7</v>
      </c>
      <c r="S401" s="17" t="str">
        <f>IF(WEEKDAY(Table2_1[[#This Row],[Transaction  Date]],2)&lt;=5,"Weekday","Weekend")</f>
        <v>Weekend</v>
      </c>
      <c r="T401" s="37" t="str">
        <f>FLOOR(Table2_1[[#This Row],[Age]],15)&amp; "-"&amp; FLOOR(Table2_1[[#This Row],[Age]],15)+14</f>
        <v>45-59</v>
      </c>
    </row>
    <row r="402" spans="1:20" x14ac:dyDescent="0.3">
      <c r="A402" s="18">
        <v>45374</v>
      </c>
      <c r="B402" s="17" t="s">
        <v>1303</v>
      </c>
      <c r="C402" s="17" t="s">
        <v>46</v>
      </c>
      <c r="D402" s="18">
        <v>35747</v>
      </c>
      <c r="E402" s="16" t="s">
        <v>68</v>
      </c>
      <c r="F402" s="31">
        <v>306</v>
      </c>
      <c r="G402" s="17" t="s">
        <v>27</v>
      </c>
      <c r="H402" s="17" t="s">
        <v>28</v>
      </c>
      <c r="I402" s="17" t="s">
        <v>17</v>
      </c>
      <c r="J402" s="27">
        <v>0.1</v>
      </c>
      <c r="K402" s="17" t="s">
        <v>927</v>
      </c>
      <c r="L402" s="32">
        <v>18</v>
      </c>
      <c r="M402" s="32">
        <f>_xlfn.XLOOKUP(Table2_1[[#This Row],[Product Code]],Product_Code,Unit_Price,0)</f>
        <v>22</v>
      </c>
      <c r="N402" s="31">
        <f>DATEDIF(Table2_1[[#This Row],[Buyer Date of Birth]],Table2_1[[#This Row],[Transaction  Date]],"Y")</f>
        <v>26</v>
      </c>
      <c r="O402" s="33">
        <v>5508</v>
      </c>
      <c r="P402" s="33">
        <f>Table2_1[[#This Row],[Quantity Purchased]]*Table2_1[[#This Row],[UnitPrice]]*(1-Table2_1[[#This Row],[Discount]])</f>
        <v>6058.8</v>
      </c>
      <c r="Q402" s="33">
        <f>Table2_1[[#This Row],[Revenue]]-Table2_1[[#This Row],[COGS]]</f>
        <v>550.80000000000018</v>
      </c>
      <c r="R402" s="39">
        <f>WEEKDAY(Table2_1[[#This Row],[Transaction  Date]])</f>
        <v>7</v>
      </c>
      <c r="S402" s="17" t="str">
        <f>IF(WEEKDAY(Table2_1[[#This Row],[Transaction  Date]],2)&lt;=5,"Weekday","Weekend")</f>
        <v>Weekend</v>
      </c>
      <c r="T402" s="37" t="str">
        <f>FLOOR(Table2_1[[#This Row],[Age]],15)&amp; "-"&amp; FLOOR(Table2_1[[#This Row],[Age]],15)+14</f>
        <v>15-29</v>
      </c>
    </row>
    <row r="403" spans="1:20" x14ac:dyDescent="0.3">
      <c r="A403" s="18">
        <v>45374</v>
      </c>
      <c r="B403" s="17" t="s">
        <v>1856</v>
      </c>
      <c r="C403" s="17" t="s">
        <v>94</v>
      </c>
      <c r="D403" s="18">
        <v>23626</v>
      </c>
      <c r="E403" s="16" t="s">
        <v>14</v>
      </c>
      <c r="F403" s="31">
        <v>84</v>
      </c>
      <c r="G403" s="17" t="s">
        <v>64</v>
      </c>
      <c r="H403" s="17" t="s">
        <v>52</v>
      </c>
      <c r="I403" s="17" t="s">
        <v>17</v>
      </c>
      <c r="J403" s="27">
        <v>0.1</v>
      </c>
      <c r="K403" s="17" t="s">
        <v>933</v>
      </c>
      <c r="L403" s="32">
        <v>5</v>
      </c>
      <c r="M403" s="32">
        <f>_xlfn.XLOOKUP(Table2_1[[#This Row],[Product Code]],Product_Code,Unit_Price,0)</f>
        <v>7</v>
      </c>
      <c r="N403" s="31">
        <f>DATEDIF(Table2_1[[#This Row],[Buyer Date of Birth]],Table2_1[[#This Row],[Transaction  Date]],"Y")</f>
        <v>59</v>
      </c>
      <c r="O403" s="33">
        <v>420</v>
      </c>
      <c r="P403" s="33">
        <f>Table2_1[[#This Row],[Quantity Purchased]]*Table2_1[[#This Row],[UnitPrice]]*(1-Table2_1[[#This Row],[Discount]])</f>
        <v>529.20000000000005</v>
      </c>
      <c r="Q403" s="33">
        <f>Table2_1[[#This Row],[Revenue]]-Table2_1[[#This Row],[COGS]]</f>
        <v>109.20000000000005</v>
      </c>
      <c r="R403" s="39">
        <f>WEEKDAY(Table2_1[[#This Row],[Transaction  Date]])</f>
        <v>7</v>
      </c>
      <c r="S403" s="17" t="str">
        <f>IF(WEEKDAY(Table2_1[[#This Row],[Transaction  Date]],2)&lt;=5,"Weekday","Weekend")</f>
        <v>Weekend</v>
      </c>
      <c r="T403" s="37" t="str">
        <f>FLOOR(Table2_1[[#This Row],[Age]],15)&amp; "-"&amp; FLOOR(Table2_1[[#This Row],[Age]],15)+14</f>
        <v>45-59</v>
      </c>
    </row>
    <row r="404" spans="1:20" x14ac:dyDescent="0.3">
      <c r="A404" s="18">
        <v>45374</v>
      </c>
      <c r="B404" s="17" t="s">
        <v>1304</v>
      </c>
      <c r="C404" s="17" t="s">
        <v>71</v>
      </c>
      <c r="D404" s="18">
        <v>32362</v>
      </c>
      <c r="E404" s="16" t="s">
        <v>20</v>
      </c>
      <c r="F404" s="31">
        <v>178</v>
      </c>
      <c r="G404" s="17" t="s">
        <v>34</v>
      </c>
      <c r="H404" s="17" t="s">
        <v>52</v>
      </c>
      <c r="I404" s="17" t="s">
        <v>17</v>
      </c>
      <c r="J404" s="27">
        <v>0.1</v>
      </c>
      <c r="K404" s="17" t="s">
        <v>930</v>
      </c>
      <c r="L404" s="32">
        <v>14</v>
      </c>
      <c r="M404" s="32">
        <f>_xlfn.XLOOKUP(Table2_1[[#This Row],[Product Code]],Product_Code,Unit_Price,0)</f>
        <v>28</v>
      </c>
      <c r="N404" s="31">
        <f>DATEDIF(Table2_1[[#This Row],[Buyer Date of Birth]],Table2_1[[#This Row],[Transaction  Date]],"Y")</f>
        <v>35</v>
      </c>
      <c r="O404" s="33">
        <v>2492</v>
      </c>
      <c r="P404" s="33">
        <f>Table2_1[[#This Row],[Quantity Purchased]]*Table2_1[[#This Row],[UnitPrice]]*(1-Table2_1[[#This Row],[Discount]])</f>
        <v>4485.6000000000004</v>
      </c>
      <c r="Q404" s="33">
        <f>Table2_1[[#This Row],[Revenue]]-Table2_1[[#This Row],[COGS]]</f>
        <v>1993.6000000000004</v>
      </c>
      <c r="R404" s="39">
        <f>WEEKDAY(Table2_1[[#This Row],[Transaction  Date]])</f>
        <v>7</v>
      </c>
      <c r="S404" s="17" t="str">
        <f>IF(WEEKDAY(Table2_1[[#This Row],[Transaction  Date]],2)&lt;=5,"Weekday","Weekend")</f>
        <v>Weekend</v>
      </c>
      <c r="T404" s="37" t="str">
        <f>FLOOR(Table2_1[[#This Row],[Age]],15)&amp; "-"&amp; FLOOR(Table2_1[[#This Row],[Age]],15)+14</f>
        <v>30-44</v>
      </c>
    </row>
    <row r="405" spans="1:20" x14ac:dyDescent="0.3">
      <c r="A405" s="18">
        <v>45375</v>
      </c>
      <c r="B405" s="17" t="s">
        <v>1305</v>
      </c>
      <c r="C405" s="17" t="s">
        <v>46</v>
      </c>
      <c r="D405" s="18">
        <v>18216</v>
      </c>
      <c r="E405" s="16" t="s">
        <v>33</v>
      </c>
      <c r="F405" s="31">
        <v>495</v>
      </c>
      <c r="G405" s="17" t="s">
        <v>21</v>
      </c>
      <c r="H405" s="17" t="s">
        <v>43</v>
      </c>
      <c r="I405" s="17" t="s">
        <v>17</v>
      </c>
      <c r="J405" s="27">
        <v>0.1</v>
      </c>
      <c r="K405" s="17" t="s">
        <v>934</v>
      </c>
      <c r="L405" s="32">
        <v>10</v>
      </c>
      <c r="M405" s="32">
        <f>_xlfn.XLOOKUP(Table2_1[[#This Row],[Product Code]],Product_Code,Unit_Price,0)</f>
        <v>45</v>
      </c>
      <c r="N405" s="31">
        <f>DATEDIF(Table2_1[[#This Row],[Buyer Date of Birth]],Table2_1[[#This Row],[Transaction  Date]],"Y")</f>
        <v>74</v>
      </c>
      <c r="O405" s="33">
        <v>4950</v>
      </c>
      <c r="P405" s="33">
        <f>Table2_1[[#This Row],[Quantity Purchased]]*Table2_1[[#This Row],[UnitPrice]]*(1-Table2_1[[#This Row],[Discount]])</f>
        <v>20047.5</v>
      </c>
      <c r="Q405" s="33">
        <f>Table2_1[[#This Row],[Revenue]]-Table2_1[[#This Row],[COGS]]</f>
        <v>15097.5</v>
      </c>
      <c r="R405" s="39">
        <f>WEEKDAY(Table2_1[[#This Row],[Transaction  Date]])</f>
        <v>1</v>
      </c>
      <c r="S405" s="17" t="str">
        <f>IF(WEEKDAY(Table2_1[[#This Row],[Transaction  Date]],2)&lt;=5,"Weekday","Weekend")</f>
        <v>Weekend</v>
      </c>
      <c r="T405" s="37" t="str">
        <f>FLOOR(Table2_1[[#This Row],[Age]],15)&amp; "-"&amp; FLOOR(Table2_1[[#This Row],[Age]],15)+14</f>
        <v>60-74</v>
      </c>
    </row>
    <row r="406" spans="1:20" x14ac:dyDescent="0.3">
      <c r="A406" s="18">
        <v>45375</v>
      </c>
      <c r="B406" s="17" t="s">
        <v>1306</v>
      </c>
      <c r="C406" s="17" t="s">
        <v>13</v>
      </c>
      <c r="D406" s="18">
        <v>32392</v>
      </c>
      <c r="E406" s="16" t="s">
        <v>33</v>
      </c>
      <c r="F406" s="31">
        <v>432</v>
      </c>
      <c r="G406" s="17" t="s">
        <v>27</v>
      </c>
      <c r="H406" s="17" t="s">
        <v>52</v>
      </c>
      <c r="I406" s="17" t="s">
        <v>23</v>
      </c>
      <c r="J406" s="27">
        <v>0.1</v>
      </c>
      <c r="K406" s="17" t="s">
        <v>927</v>
      </c>
      <c r="L406" s="32">
        <v>18</v>
      </c>
      <c r="M406" s="32">
        <f>_xlfn.XLOOKUP(Table2_1[[#This Row],[Product Code]],Product_Code,Unit_Price,0)</f>
        <v>22</v>
      </c>
      <c r="N406" s="31">
        <f>DATEDIF(Table2_1[[#This Row],[Buyer Date of Birth]],Table2_1[[#This Row],[Transaction  Date]],"Y")</f>
        <v>35</v>
      </c>
      <c r="O406" s="33">
        <v>7776</v>
      </c>
      <c r="P406" s="33">
        <f>Table2_1[[#This Row],[Quantity Purchased]]*Table2_1[[#This Row],[UnitPrice]]*(1-Table2_1[[#This Row],[Discount]])</f>
        <v>8553.6</v>
      </c>
      <c r="Q406" s="33">
        <f>Table2_1[[#This Row],[Revenue]]-Table2_1[[#This Row],[COGS]]</f>
        <v>777.60000000000036</v>
      </c>
      <c r="R406" s="39">
        <f>WEEKDAY(Table2_1[[#This Row],[Transaction  Date]])</f>
        <v>1</v>
      </c>
      <c r="S406" s="17" t="str">
        <f>IF(WEEKDAY(Table2_1[[#This Row],[Transaction  Date]],2)&lt;=5,"Weekday","Weekend")</f>
        <v>Weekend</v>
      </c>
      <c r="T406" s="37" t="str">
        <f>FLOOR(Table2_1[[#This Row],[Age]],15)&amp; "-"&amp; FLOOR(Table2_1[[#This Row],[Age]],15)+14</f>
        <v>30-44</v>
      </c>
    </row>
    <row r="407" spans="1:20" x14ac:dyDescent="0.3">
      <c r="A407" s="18">
        <v>45375</v>
      </c>
      <c r="B407" s="17" t="s">
        <v>1307</v>
      </c>
      <c r="C407" s="17" t="s">
        <v>55</v>
      </c>
      <c r="D407" s="18">
        <v>26556</v>
      </c>
      <c r="E407" s="16" t="s">
        <v>33</v>
      </c>
      <c r="F407" s="31">
        <v>215</v>
      </c>
      <c r="G407" s="17" t="s">
        <v>21</v>
      </c>
      <c r="H407" s="17" t="s">
        <v>48</v>
      </c>
      <c r="I407" s="17" t="s">
        <v>23</v>
      </c>
      <c r="J407" s="27">
        <v>0.1</v>
      </c>
      <c r="K407" s="17" t="s">
        <v>934</v>
      </c>
      <c r="L407" s="32">
        <v>10</v>
      </c>
      <c r="M407" s="32">
        <f>_xlfn.XLOOKUP(Table2_1[[#This Row],[Product Code]],Product_Code,Unit_Price,0)</f>
        <v>45</v>
      </c>
      <c r="N407" s="31">
        <f>DATEDIF(Table2_1[[#This Row],[Buyer Date of Birth]],Table2_1[[#This Row],[Transaction  Date]],"Y")</f>
        <v>51</v>
      </c>
      <c r="O407" s="33">
        <v>2150</v>
      </c>
      <c r="P407" s="33">
        <f>Table2_1[[#This Row],[Quantity Purchased]]*Table2_1[[#This Row],[UnitPrice]]*(1-Table2_1[[#This Row],[Discount]])</f>
        <v>8707.5</v>
      </c>
      <c r="Q407" s="33">
        <f>Table2_1[[#This Row],[Revenue]]-Table2_1[[#This Row],[COGS]]</f>
        <v>6557.5</v>
      </c>
      <c r="R407" s="39">
        <f>WEEKDAY(Table2_1[[#This Row],[Transaction  Date]])</f>
        <v>1</v>
      </c>
      <c r="S407" s="17" t="str">
        <f>IF(WEEKDAY(Table2_1[[#This Row],[Transaction  Date]],2)&lt;=5,"Weekday","Weekend")</f>
        <v>Weekend</v>
      </c>
      <c r="T407" s="37" t="str">
        <f>FLOOR(Table2_1[[#This Row],[Age]],15)&amp; "-"&amp; FLOOR(Table2_1[[#This Row],[Age]],15)+14</f>
        <v>45-59</v>
      </c>
    </row>
    <row r="408" spans="1:20" x14ac:dyDescent="0.3">
      <c r="A408" s="18">
        <v>45375</v>
      </c>
      <c r="B408" s="17" t="s">
        <v>1308</v>
      </c>
      <c r="C408" s="17" t="s">
        <v>26</v>
      </c>
      <c r="D408" s="18">
        <v>28085</v>
      </c>
      <c r="E408" s="16" t="s">
        <v>68</v>
      </c>
      <c r="F408" s="31">
        <v>319</v>
      </c>
      <c r="G408" s="17" t="s">
        <v>56</v>
      </c>
      <c r="H408" s="17" t="s">
        <v>48</v>
      </c>
      <c r="I408" s="17" t="s">
        <v>17</v>
      </c>
      <c r="J408" s="27">
        <v>0.1</v>
      </c>
      <c r="K408" s="17" t="s">
        <v>935</v>
      </c>
      <c r="L408" s="32">
        <v>18</v>
      </c>
      <c r="M408" s="32">
        <f>_xlfn.XLOOKUP(Table2_1[[#This Row],[Product Code]],Product_Code,Unit_Price,0)</f>
        <v>36</v>
      </c>
      <c r="N408" s="31">
        <f>DATEDIF(Table2_1[[#This Row],[Buyer Date of Birth]],Table2_1[[#This Row],[Transaction  Date]],"Y")</f>
        <v>47</v>
      </c>
      <c r="O408" s="33">
        <v>5742</v>
      </c>
      <c r="P408" s="33">
        <f>Table2_1[[#This Row],[Quantity Purchased]]*Table2_1[[#This Row],[UnitPrice]]*(1-Table2_1[[#This Row],[Discount]])</f>
        <v>10335.6</v>
      </c>
      <c r="Q408" s="33">
        <f>Table2_1[[#This Row],[Revenue]]-Table2_1[[#This Row],[COGS]]</f>
        <v>4593.6000000000004</v>
      </c>
      <c r="R408" s="39">
        <f>WEEKDAY(Table2_1[[#This Row],[Transaction  Date]])</f>
        <v>1</v>
      </c>
      <c r="S408" s="17" t="str">
        <f>IF(WEEKDAY(Table2_1[[#This Row],[Transaction  Date]],2)&lt;=5,"Weekday","Weekend")</f>
        <v>Weekend</v>
      </c>
      <c r="T408" s="37" t="str">
        <f>FLOOR(Table2_1[[#This Row],[Age]],15)&amp; "-"&amp; FLOOR(Table2_1[[#This Row],[Age]],15)+14</f>
        <v>45-59</v>
      </c>
    </row>
    <row r="409" spans="1:20" x14ac:dyDescent="0.3">
      <c r="A409" s="18">
        <v>45375</v>
      </c>
      <c r="B409" s="17" t="s">
        <v>1309</v>
      </c>
      <c r="C409" s="17" t="s">
        <v>78</v>
      </c>
      <c r="D409" s="18">
        <v>30496</v>
      </c>
      <c r="E409" s="16" t="s">
        <v>68</v>
      </c>
      <c r="F409" s="31">
        <v>461</v>
      </c>
      <c r="G409" s="17" t="s">
        <v>34</v>
      </c>
      <c r="H409" s="17" t="s">
        <v>48</v>
      </c>
      <c r="I409" s="17" t="s">
        <v>17</v>
      </c>
      <c r="J409" s="27">
        <v>0.1</v>
      </c>
      <c r="K409" s="17" t="s">
        <v>930</v>
      </c>
      <c r="L409" s="32">
        <v>14</v>
      </c>
      <c r="M409" s="32">
        <f>_xlfn.XLOOKUP(Table2_1[[#This Row],[Product Code]],Product_Code,Unit_Price,0)</f>
        <v>28</v>
      </c>
      <c r="N409" s="31">
        <f>DATEDIF(Table2_1[[#This Row],[Buyer Date of Birth]],Table2_1[[#This Row],[Transaction  Date]],"Y")</f>
        <v>40</v>
      </c>
      <c r="O409" s="33">
        <v>6454</v>
      </c>
      <c r="P409" s="33">
        <f>Table2_1[[#This Row],[Quantity Purchased]]*Table2_1[[#This Row],[UnitPrice]]*(1-Table2_1[[#This Row],[Discount]])</f>
        <v>11617.2</v>
      </c>
      <c r="Q409" s="33">
        <f>Table2_1[[#This Row],[Revenue]]-Table2_1[[#This Row],[COGS]]</f>
        <v>5163.2000000000007</v>
      </c>
      <c r="R409" s="39">
        <f>WEEKDAY(Table2_1[[#This Row],[Transaction  Date]])</f>
        <v>1</v>
      </c>
      <c r="S409" s="17" t="str">
        <f>IF(WEEKDAY(Table2_1[[#This Row],[Transaction  Date]],2)&lt;=5,"Weekday","Weekend")</f>
        <v>Weekend</v>
      </c>
      <c r="T409" s="37" t="str">
        <f>FLOOR(Table2_1[[#This Row],[Age]],15)&amp; "-"&amp; FLOOR(Table2_1[[#This Row],[Age]],15)+14</f>
        <v>30-44</v>
      </c>
    </row>
    <row r="410" spans="1:20" x14ac:dyDescent="0.3">
      <c r="A410" s="18">
        <v>45375</v>
      </c>
      <c r="B410" s="17" t="s">
        <v>1310</v>
      </c>
      <c r="C410" s="17" t="s">
        <v>94</v>
      </c>
      <c r="D410" s="18">
        <v>32190</v>
      </c>
      <c r="E410" s="16" t="s">
        <v>33</v>
      </c>
      <c r="F410" s="31">
        <v>480</v>
      </c>
      <c r="G410" s="17" t="s">
        <v>21</v>
      </c>
      <c r="H410" s="17" t="s">
        <v>28</v>
      </c>
      <c r="I410" s="17" t="s">
        <v>17</v>
      </c>
      <c r="J410" s="27">
        <v>0.1</v>
      </c>
      <c r="K410" s="17" t="s">
        <v>934</v>
      </c>
      <c r="L410" s="32">
        <v>10</v>
      </c>
      <c r="M410" s="32">
        <f>_xlfn.XLOOKUP(Table2_1[[#This Row],[Product Code]],Product_Code,Unit_Price,0)</f>
        <v>45</v>
      </c>
      <c r="N410" s="31">
        <f>DATEDIF(Table2_1[[#This Row],[Buyer Date of Birth]],Table2_1[[#This Row],[Transaction  Date]],"Y")</f>
        <v>36</v>
      </c>
      <c r="O410" s="33">
        <v>4800</v>
      </c>
      <c r="P410" s="33">
        <f>Table2_1[[#This Row],[Quantity Purchased]]*Table2_1[[#This Row],[UnitPrice]]*(1-Table2_1[[#This Row],[Discount]])</f>
        <v>19440</v>
      </c>
      <c r="Q410" s="33">
        <f>Table2_1[[#This Row],[Revenue]]-Table2_1[[#This Row],[COGS]]</f>
        <v>14640</v>
      </c>
      <c r="R410" s="39">
        <f>WEEKDAY(Table2_1[[#This Row],[Transaction  Date]])</f>
        <v>1</v>
      </c>
      <c r="S410" s="17" t="str">
        <f>IF(WEEKDAY(Table2_1[[#This Row],[Transaction  Date]],2)&lt;=5,"Weekday","Weekend")</f>
        <v>Weekend</v>
      </c>
      <c r="T410" s="37" t="str">
        <f>FLOOR(Table2_1[[#This Row],[Age]],15)&amp; "-"&amp; FLOOR(Table2_1[[#This Row],[Age]],15)+14</f>
        <v>30-44</v>
      </c>
    </row>
    <row r="411" spans="1:20" x14ac:dyDescent="0.3">
      <c r="A411" s="18">
        <v>45376</v>
      </c>
      <c r="B411" s="17" t="s">
        <v>1311</v>
      </c>
      <c r="C411" s="17" t="s">
        <v>94</v>
      </c>
      <c r="D411" s="18">
        <v>32366</v>
      </c>
      <c r="E411" s="16" t="s">
        <v>68</v>
      </c>
      <c r="F411" s="31">
        <v>166</v>
      </c>
      <c r="G411" s="17" t="s">
        <v>27</v>
      </c>
      <c r="H411" s="17" t="s">
        <v>28</v>
      </c>
      <c r="I411" s="17" t="s">
        <v>17</v>
      </c>
      <c r="J411" s="27">
        <v>0.1</v>
      </c>
      <c r="K411" s="17" t="s">
        <v>927</v>
      </c>
      <c r="L411" s="32">
        <v>18</v>
      </c>
      <c r="M411" s="32">
        <f>_xlfn.XLOOKUP(Table2_1[[#This Row],[Product Code]],Product_Code,Unit_Price,0)</f>
        <v>22</v>
      </c>
      <c r="N411" s="31">
        <f>DATEDIF(Table2_1[[#This Row],[Buyer Date of Birth]],Table2_1[[#This Row],[Transaction  Date]],"Y")</f>
        <v>35</v>
      </c>
      <c r="O411" s="33">
        <v>2988</v>
      </c>
      <c r="P411" s="33">
        <f>Table2_1[[#This Row],[Quantity Purchased]]*Table2_1[[#This Row],[UnitPrice]]*(1-Table2_1[[#This Row],[Discount]])</f>
        <v>3286.8</v>
      </c>
      <c r="Q411" s="33">
        <f>Table2_1[[#This Row],[Revenue]]-Table2_1[[#This Row],[COGS]]</f>
        <v>298.80000000000018</v>
      </c>
      <c r="R411" s="39">
        <f>WEEKDAY(Table2_1[[#This Row],[Transaction  Date]])</f>
        <v>2</v>
      </c>
      <c r="S411" s="17" t="str">
        <f>IF(WEEKDAY(Table2_1[[#This Row],[Transaction  Date]],2)&lt;=5,"Weekday","Weekend")</f>
        <v>Weekday</v>
      </c>
      <c r="T411" s="37" t="str">
        <f>FLOOR(Table2_1[[#This Row],[Age]],15)&amp; "-"&amp; FLOOR(Table2_1[[#This Row],[Age]],15)+14</f>
        <v>30-44</v>
      </c>
    </row>
    <row r="412" spans="1:20" x14ac:dyDescent="0.3">
      <c r="A412" s="18">
        <v>45376</v>
      </c>
      <c r="B412" s="17" t="s">
        <v>1312</v>
      </c>
      <c r="C412" s="17" t="s">
        <v>83</v>
      </c>
      <c r="D412" s="18">
        <v>27949</v>
      </c>
      <c r="E412" s="16" t="s">
        <v>33</v>
      </c>
      <c r="F412" s="31">
        <v>217</v>
      </c>
      <c r="G412" s="17" t="s">
        <v>27</v>
      </c>
      <c r="H412" s="17" t="s">
        <v>52</v>
      </c>
      <c r="I412" s="17" t="s">
        <v>17</v>
      </c>
      <c r="J412" s="27">
        <v>0.1</v>
      </c>
      <c r="K412" s="17" t="s">
        <v>927</v>
      </c>
      <c r="L412" s="32">
        <v>18</v>
      </c>
      <c r="M412" s="32">
        <f>_xlfn.XLOOKUP(Table2_1[[#This Row],[Product Code]],Product_Code,Unit_Price,0)</f>
        <v>22</v>
      </c>
      <c r="N412" s="31">
        <f>DATEDIF(Table2_1[[#This Row],[Buyer Date of Birth]],Table2_1[[#This Row],[Transaction  Date]],"Y")</f>
        <v>47</v>
      </c>
      <c r="O412" s="33">
        <v>3906</v>
      </c>
      <c r="P412" s="33">
        <f>Table2_1[[#This Row],[Quantity Purchased]]*Table2_1[[#This Row],[UnitPrice]]*(1-Table2_1[[#This Row],[Discount]])</f>
        <v>4296.6000000000004</v>
      </c>
      <c r="Q412" s="33">
        <f>Table2_1[[#This Row],[Revenue]]-Table2_1[[#This Row],[COGS]]</f>
        <v>390.60000000000036</v>
      </c>
      <c r="R412" s="39">
        <f>WEEKDAY(Table2_1[[#This Row],[Transaction  Date]])</f>
        <v>2</v>
      </c>
      <c r="S412" s="17" t="str">
        <f>IF(WEEKDAY(Table2_1[[#This Row],[Transaction  Date]],2)&lt;=5,"Weekday","Weekend")</f>
        <v>Weekday</v>
      </c>
      <c r="T412" s="37" t="str">
        <f>FLOOR(Table2_1[[#This Row],[Age]],15)&amp; "-"&amp; FLOOR(Table2_1[[#This Row],[Age]],15)+14</f>
        <v>45-59</v>
      </c>
    </row>
    <row r="413" spans="1:20" x14ac:dyDescent="0.3">
      <c r="A413" s="18">
        <v>45377</v>
      </c>
      <c r="B413" s="17" t="s">
        <v>996</v>
      </c>
      <c r="C413" s="17" t="s">
        <v>26</v>
      </c>
      <c r="D413" s="18">
        <v>29620</v>
      </c>
      <c r="E413" s="16" t="s">
        <v>33</v>
      </c>
      <c r="F413" s="31">
        <v>272</v>
      </c>
      <c r="G413" s="17" t="s">
        <v>59</v>
      </c>
      <c r="H413" s="17" t="s">
        <v>39</v>
      </c>
      <c r="I413" s="17" t="s">
        <v>29</v>
      </c>
      <c r="J413" s="27">
        <v>0.1</v>
      </c>
      <c r="K413" s="17" t="s">
        <v>932</v>
      </c>
      <c r="L413" s="32">
        <v>19</v>
      </c>
      <c r="M413" s="32">
        <f>_xlfn.XLOOKUP(Table2_1[[#This Row],[Product Code]],Product_Code,Unit_Price,0)</f>
        <v>23</v>
      </c>
      <c r="N413" s="31">
        <f>DATEDIF(Table2_1[[#This Row],[Buyer Date of Birth]],Table2_1[[#This Row],[Transaction  Date]],"Y")</f>
        <v>43</v>
      </c>
      <c r="O413" s="33">
        <v>5168</v>
      </c>
      <c r="P413" s="33">
        <f>Table2_1[[#This Row],[Quantity Purchased]]*Table2_1[[#This Row],[UnitPrice]]*(1-Table2_1[[#This Row],[Discount]])</f>
        <v>5630.4000000000005</v>
      </c>
      <c r="Q413" s="33">
        <f>Table2_1[[#This Row],[Revenue]]-Table2_1[[#This Row],[COGS]]</f>
        <v>462.40000000000055</v>
      </c>
      <c r="R413" s="39">
        <f>WEEKDAY(Table2_1[[#This Row],[Transaction  Date]])</f>
        <v>3</v>
      </c>
      <c r="S413" s="17" t="str">
        <f>IF(WEEKDAY(Table2_1[[#This Row],[Transaction  Date]],2)&lt;=5,"Weekday","Weekend")</f>
        <v>Weekday</v>
      </c>
      <c r="T413" s="37" t="str">
        <f>FLOOR(Table2_1[[#This Row],[Age]],15)&amp; "-"&amp; FLOOR(Table2_1[[#This Row],[Age]],15)+14</f>
        <v>30-44</v>
      </c>
    </row>
    <row r="414" spans="1:20" x14ac:dyDescent="0.3">
      <c r="A414" s="18">
        <v>45377</v>
      </c>
      <c r="B414" s="17" t="s">
        <v>1313</v>
      </c>
      <c r="C414" s="17" t="s">
        <v>13</v>
      </c>
      <c r="D414" s="18">
        <v>36439</v>
      </c>
      <c r="E414" s="16" t="s">
        <v>33</v>
      </c>
      <c r="F414" s="31">
        <v>93</v>
      </c>
      <c r="G414" s="17" t="s">
        <v>56</v>
      </c>
      <c r="H414" s="17" t="s">
        <v>43</v>
      </c>
      <c r="I414" s="17" t="s">
        <v>17</v>
      </c>
      <c r="J414" s="27">
        <v>0.1</v>
      </c>
      <c r="K414" s="17" t="s">
        <v>935</v>
      </c>
      <c r="L414" s="32">
        <v>18</v>
      </c>
      <c r="M414" s="32">
        <f>_xlfn.XLOOKUP(Table2_1[[#This Row],[Product Code]],Product_Code,Unit_Price,0)</f>
        <v>36</v>
      </c>
      <c r="N414" s="31">
        <f>DATEDIF(Table2_1[[#This Row],[Buyer Date of Birth]],Table2_1[[#This Row],[Transaction  Date]],"Y")</f>
        <v>24</v>
      </c>
      <c r="O414" s="33">
        <v>1674</v>
      </c>
      <c r="P414" s="33">
        <f>Table2_1[[#This Row],[Quantity Purchased]]*Table2_1[[#This Row],[UnitPrice]]*(1-Table2_1[[#This Row],[Discount]])</f>
        <v>3013.2000000000003</v>
      </c>
      <c r="Q414" s="33">
        <f>Table2_1[[#This Row],[Revenue]]-Table2_1[[#This Row],[COGS]]</f>
        <v>1339.2000000000003</v>
      </c>
      <c r="R414" s="39">
        <f>WEEKDAY(Table2_1[[#This Row],[Transaction  Date]])</f>
        <v>3</v>
      </c>
      <c r="S414" s="17" t="str">
        <f>IF(WEEKDAY(Table2_1[[#This Row],[Transaction  Date]],2)&lt;=5,"Weekday","Weekend")</f>
        <v>Weekday</v>
      </c>
      <c r="T414" s="37" t="str">
        <f>FLOOR(Table2_1[[#This Row],[Age]],15)&amp; "-"&amp; FLOOR(Table2_1[[#This Row],[Age]],15)+14</f>
        <v>15-29</v>
      </c>
    </row>
    <row r="415" spans="1:20" x14ac:dyDescent="0.3">
      <c r="A415" s="18">
        <v>45377</v>
      </c>
      <c r="B415" s="17" t="s">
        <v>1314</v>
      </c>
      <c r="C415" s="17" t="s">
        <v>38</v>
      </c>
      <c r="D415" s="18">
        <v>16254</v>
      </c>
      <c r="E415" s="16" t="s">
        <v>68</v>
      </c>
      <c r="F415" s="31">
        <v>476</v>
      </c>
      <c r="G415" s="17" t="s">
        <v>42</v>
      </c>
      <c r="H415" s="17" t="s">
        <v>48</v>
      </c>
      <c r="I415" s="17" t="s">
        <v>17</v>
      </c>
      <c r="J415" s="27">
        <v>0.1</v>
      </c>
      <c r="K415" s="17" t="s">
        <v>926</v>
      </c>
      <c r="L415" s="32">
        <v>10</v>
      </c>
      <c r="M415" s="32">
        <f>_xlfn.XLOOKUP(Table2_1[[#This Row],[Product Code]],Product_Code,Unit_Price,0)</f>
        <v>11</v>
      </c>
      <c r="N415" s="31">
        <f>DATEDIF(Table2_1[[#This Row],[Buyer Date of Birth]],Table2_1[[#This Row],[Transaction  Date]],"Y")</f>
        <v>79</v>
      </c>
      <c r="O415" s="33">
        <v>4760</v>
      </c>
      <c r="P415" s="33">
        <f>Table2_1[[#This Row],[Quantity Purchased]]*Table2_1[[#This Row],[UnitPrice]]*(1-Table2_1[[#This Row],[Discount]])</f>
        <v>4712.4000000000005</v>
      </c>
      <c r="Q415" s="33">
        <f>Table2_1[[#This Row],[Revenue]]-Table2_1[[#This Row],[COGS]]</f>
        <v>-47.599999999999454</v>
      </c>
      <c r="R415" s="39">
        <f>WEEKDAY(Table2_1[[#This Row],[Transaction  Date]])</f>
        <v>3</v>
      </c>
      <c r="S415" s="17" t="str">
        <f>IF(WEEKDAY(Table2_1[[#This Row],[Transaction  Date]],2)&lt;=5,"Weekday","Weekend")</f>
        <v>Weekday</v>
      </c>
      <c r="T415" s="37" t="str">
        <f>FLOOR(Table2_1[[#This Row],[Age]],15)&amp; "-"&amp; FLOOR(Table2_1[[#This Row],[Age]],15)+14</f>
        <v>75-89</v>
      </c>
    </row>
    <row r="416" spans="1:20" x14ac:dyDescent="0.3">
      <c r="A416" s="18">
        <v>45378</v>
      </c>
      <c r="B416" s="17" t="s">
        <v>1857</v>
      </c>
      <c r="C416" s="17" t="s">
        <v>51</v>
      </c>
      <c r="D416" s="18">
        <v>22658</v>
      </c>
      <c r="E416" s="16" t="s">
        <v>14</v>
      </c>
      <c r="F416" s="31">
        <v>42</v>
      </c>
      <c r="G416" s="17" t="s">
        <v>34</v>
      </c>
      <c r="H416" s="17" t="s">
        <v>43</v>
      </c>
      <c r="I416" s="17" t="s">
        <v>29</v>
      </c>
      <c r="J416" s="27">
        <v>0.1</v>
      </c>
      <c r="K416" s="17" t="s">
        <v>930</v>
      </c>
      <c r="L416" s="32">
        <v>14</v>
      </c>
      <c r="M416" s="32">
        <f>_xlfn.XLOOKUP(Table2_1[[#This Row],[Product Code]],Product_Code,Unit_Price,0)</f>
        <v>28</v>
      </c>
      <c r="N416" s="31">
        <f>DATEDIF(Table2_1[[#This Row],[Buyer Date of Birth]],Table2_1[[#This Row],[Transaction  Date]],"Y")</f>
        <v>62</v>
      </c>
      <c r="O416" s="33">
        <v>588</v>
      </c>
      <c r="P416" s="33">
        <f>Table2_1[[#This Row],[Quantity Purchased]]*Table2_1[[#This Row],[UnitPrice]]*(1-Table2_1[[#This Row],[Discount]])</f>
        <v>1058.4000000000001</v>
      </c>
      <c r="Q416" s="33">
        <f>Table2_1[[#This Row],[Revenue]]-Table2_1[[#This Row],[COGS]]</f>
        <v>470.40000000000009</v>
      </c>
      <c r="R416" s="39">
        <f>WEEKDAY(Table2_1[[#This Row],[Transaction  Date]])</f>
        <v>4</v>
      </c>
      <c r="S416" s="17" t="str">
        <f>IF(WEEKDAY(Table2_1[[#This Row],[Transaction  Date]],2)&lt;=5,"Weekday","Weekend")</f>
        <v>Weekday</v>
      </c>
      <c r="T416" s="37" t="str">
        <f>FLOOR(Table2_1[[#This Row],[Age]],15)&amp; "-"&amp; FLOOR(Table2_1[[#This Row],[Age]],15)+14</f>
        <v>60-74</v>
      </c>
    </row>
    <row r="417" spans="1:20" x14ac:dyDescent="0.3">
      <c r="A417" s="18">
        <v>45378</v>
      </c>
      <c r="B417" s="17" t="s">
        <v>1315</v>
      </c>
      <c r="C417" s="17" t="s">
        <v>55</v>
      </c>
      <c r="D417" s="18">
        <v>37674</v>
      </c>
      <c r="E417" s="16" t="s">
        <v>33</v>
      </c>
      <c r="F417" s="31">
        <v>403</v>
      </c>
      <c r="G417" s="17" t="s">
        <v>34</v>
      </c>
      <c r="H417" s="17" t="s">
        <v>52</v>
      </c>
      <c r="I417" s="17" t="s">
        <v>17</v>
      </c>
      <c r="J417" s="27">
        <v>0.1</v>
      </c>
      <c r="K417" s="17" t="s">
        <v>930</v>
      </c>
      <c r="L417" s="32">
        <v>14</v>
      </c>
      <c r="M417" s="32">
        <f>_xlfn.XLOOKUP(Table2_1[[#This Row],[Product Code]],Product_Code,Unit_Price,0)</f>
        <v>28</v>
      </c>
      <c r="N417" s="31">
        <f>DATEDIF(Table2_1[[#This Row],[Buyer Date of Birth]],Table2_1[[#This Row],[Transaction  Date]],"Y")</f>
        <v>21</v>
      </c>
      <c r="O417" s="33">
        <v>5642</v>
      </c>
      <c r="P417" s="33">
        <f>Table2_1[[#This Row],[Quantity Purchased]]*Table2_1[[#This Row],[UnitPrice]]*(1-Table2_1[[#This Row],[Discount]])</f>
        <v>10155.6</v>
      </c>
      <c r="Q417" s="33">
        <f>Table2_1[[#This Row],[Revenue]]-Table2_1[[#This Row],[COGS]]</f>
        <v>4513.6000000000004</v>
      </c>
      <c r="R417" s="39">
        <f>WEEKDAY(Table2_1[[#This Row],[Transaction  Date]])</f>
        <v>4</v>
      </c>
      <c r="S417" s="17" t="str">
        <f>IF(WEEKDAY(Table2_1[[#This Row],[Transaction  Date]],2)&lt;=5,"Weekday","Weekend")</f>
        <v>Weekday</v>
      </c>
      <c r="T417" s="37" t="str">
        <f>FLOOR(Table2_1[[#This Row],[Age]],15)&amp; "-"&amp; FLOOR(Table2_1[[#This Row],[Age]],15)+14</f>
        <v>15-29</v>
      </c>
    </row>
    <row r="418" spans="1:20" x14ac:dyDescent="0.3">
      <c r="A418" s="18">
        <v>45379</v>
      </c>
      <c r="B418" s="17" t="s">
        <v>1316</v>
      </c>
      <c r="C418" s="17" t="s">
        <v>83</v>
      </c>
      <c r="D418" s="18" t="s">
        <v>32</v>
      </c>
      <c r="E418" s="16" t="s">
        <v>68</v>
      </c>
      <c r="F418" s="31">
        <v>356</v>
      </c>
      <c r="G418" s="17" t="s">
        <v>59</v>
      </c>
      <c r="H418" s="17" t="s">
        <v>32</v>
      </c>
      <c r="I418" s="17" t="s">
        <v>17</v>
      </c>
      <c r="J418" s="27">
        <v>0.1</v>
      </c>
      <c r="K418" s="17" t="s">
        <v>932</v>
      </c>
      <c r="L418" s="32">
        <v>19</v>
      </c>
      <c r="M418" s="32">
        <f>_xlfn.XLOOKUP(Table2_1[[#This Row],[Product Code]],Product_Code,Unit_Price,0)</f>
        <v>23</v>
      </c>
      <c r="N418" s="31" t="e">
        <f>DATEDIF(Table2_1[[#This Row],[Buyer Date of Birth]],Table2_1[[#This Row],[Transaction  Date]],"Y")</f>
        <v>#VALUE!</v>
      </c>
      <c r="O418" s="33">
        <v>6764</v>
      </c>
      <c r="P418" s="33">
        <f>Table2_1[[#This Row],[Quantity Purchased]]*Table2_1[[#This Row],[UnitPrice]]*(1-Table2_1[[#This Row],[Discount]])</f>
        <v>7369.2</v>
      </c>
      <c r="Q418" s="33">
        <f>Table2_1[[#This Row],[Revenue]]-Table2_1[[#This Row],[COGS]]</f>
        <v>605.19999999999982</v>
      </c>
      <c r="R418" s="39">
        <f>WEEKDAY(Table2_1[[#This Row],[Transaction  Date]])</f>
        <v>5</v>
      </c>
      <c r="S418" s="17" t="str">
        <f>IF(WEEKDAY(Table2_1[[#This Row],[Transaction  Date]],2)&lt;=5,"Weekday","Weekend")</f>
        <v>Weekday</v>
      </c>
      <c r="T418" s="37" t="e">
        <f>FLOOR(Table2_1[[#This Row],[Age]],15)&amp; "-"&amp; FLOOR(Table2_1[[#This Row],[Age]],15)+14</f>
        <v>#VALUE!</v>
      </c>
    </row>
    <row r="419" spans="1:20" x14ac:dyDescent="0.3">
      <c r="A419" s="18">
        <v>45379</v>
      </c>
      <c r="B419" s="17" t="s">
        <v>1317</v>
      </c>
      <c r="C419" s="17" t="s">
        <v>46</v>
      </c>
      <c r="D419" s="18">
        <v>24221</v>
      </c>
      <c r="E419" s="16" t="s">
        <v>14</v>
      </c>
      <c r="F419" s="31">
        <v>412</v>
      </c>
      <c r="G419" s="17" t="s">
        <v>59</v>
      </c>
      <c r="H419" s="17" t="s">
        <v>52</v>
      </c>
      <c r="I419" s="17" t="s">
        <v>17</v>
      </c>
      <c r="J419" s="27">
        <v>0.1</v>
      </c>
      <c r="K419" s="17" t="s">
        <v>932</v>
      </c>
      <c r="L419" s="32">
        <v>19</v>
      </c>
      <c r="M419" s="32">
        <f>_xlfn.XLOOKUP(Table2_1[[#This Row],[Product Code]],Product_Code,Unit_Price,0)</f>
        <v>23</v>
      </c>
      <c r="N419" s="31">
        <f>DATEDIF(Table2_1[[#This Row],[Buyer Date of Birth]],Table2_1[[#This Row],[Transaction  Date]],"Y")</f>
        <v>57</v>
      </c>
      <c r="O419" s="33">
        <v>7828</v>
      </c>
      <c r="P419" s="33">
        <f>Table2_1[[#This Row],[Quantity Purchased]]*Table2_1[[#This Row],[UnitPrice]]*(1-Table2_1[[#This Row],[Discount]])</f>
        <v>8528.4</v>
      </c>
      <c r="Q419" s="33">
        <f>Table2_1[[#This Row],[Revenue]]-Table2_1[[#This Row],[COGS]]</f>
        <v>700.39999999999964</v>
      </c>
      <c r="R419" s="39">
        <f>WEEKDAY(Table2_1[[#This Row],[Transaction  Date]])</f>
        <v>5</v>
      </c>
      <c r="S419" s="17" t="str">
        <f>IF(WEEKDAY(Table2_1[[#This Row],[Transaction  Date]],2)&lt;=5,"Weekday","Weekend")</f>
        <v>Weekday</v>
      </c>
      <c r="T419" s="37" t="str">
        <f>FLOOR(Table2_1[[#This Row],[Age]],15)&amp; "-"&amp; FLOOR(Table2_1[[#This Row],[Age]],15)+14</f>
        <v>45-59</v>
      </c>
    </row>
    <row r="420" spans="1:20" x14ac:dyDescent="0.3">
      <c r="A420" s="18">
        <v>45379</v>
      </c>
      <c r="B420" s="17" t="s">
        <v>940</v>
      </c>
      <c r="C420" s="17" t="s">
        <v>13</v>
      </c>
      <c r="D420" s="18">
        <v>20193</v>
      </c>
      <c r="E420" s="16" t="s">
        <v>68</v>
      </c>
      <c r="F420" s="31">
        <v>433</v>
      </c>
      <c r="G420" s="17" t="s">
        <v>21</v>
      </c>
      <c r="H420" s="17" t="s">
        <v>43</v>
      </c>
      <c r="I420" s="17" t="s">
        <v>17</v>
      </c>
      <c r="J420" s="27">
        <v>0.1</v>
      </c>
      <c r="K420" s="17" t="s">
        <v>934</v>
      </c>
      <c r="L420" s="32">
        <v>10</v>
      </c>
      <c r="M420" s="32">
        <f>_xlfn.XLOOKUP(Table2_1[[#This Row],[Product Code]],Product_Code,Unit_Price,0)</f>
        <v>45</v>
      </c>
      <c r="N420" s="31">
        <f>DATEDIF(Table2_1[[#This Row],[Buyer Date of Birth]],Table2_1[[#This Row],[Transaction  Date]],"Y")</f>
        <v>68</v>
      </c>
      <c r="O420" s="33">
        <v>4330</v>
      </c>
      <c r="P420" s="33">
        <f>Table2_1[[#This Row],[Quantity Purchased]]*Table2_1[[#This Row],[UnitPrice]]*(1-Table2_1[[#This Row],[Discount]])</f>
        <v>17536.5</v>
      </c>
      <c r="Q420" s="33">
        <f>Table2_1[[#This Row],[Revenue]]-Table2_1[[#This Row],[COGS]]</f>
        <v>13206.5</v>
      </c>
      <c r="R420" s="39">
        <f>WEEKDAY(Table2_1[[#This Row],[Transaction  Date]])</f>
        <v>5</v>
      </c>
      <c r="S420" s="17" t="str">
        <f>IF(WEEKDAY(Table2_1[[#This Row],[Transaction  Date]],2)&lt;=5,"Weekday","Weekend")</f>
        <v>Weekday</v>
      </c>
      <c r="T420" s="37" t="str">
        <f>FLOOR(Table2_1[[#This Row],[Age]],15)&amp; "-"&amp; FLOOR(Table2_1[[#This Row],[Age]],15)+14</f>
        <v>60-74</v>
      </c>
    </row>
    <row r="421" spans="1:20" x14ac:dyDescent="0.3">
      <c r="A421" s="18">
        <v>45379</v>
      </c>
      <c r="B421" s="17" t="s">
        <v>940</v>
      </c>
      <c r="C421" s="17" t="s">
        <v>13</v>
      </c>
      <c r="D421" s="18">
        <v>17042</v>
      </c>
      <c r="E421" s="16" t="s">
        <v>20</v>
      </c>
      <c r="F421" s="31">
        <v>133</v>
      </c>
      <c r="G421" s="17" t="s">
        <v>21</v>
      </c>
      <c r="H421" s="17" t="s">
        <v>39</v>
      </c>
      <c r="I421" s="17" t="s">
        <v>17</v>
      </c>
      <c r="J421" s="27">
        <v>0.1</v>
      </c>
      <c r="K421" s="17" t="s">
        <v>934</v>
      </c>
      <c r="L421" s="32">
        <v>10</v>
      </c>
      <c r="M421" s="32">
        <f>_xlfn.XLOOKUP(Table2_1[[#This Row],[Product Code]],Product_Code,Unit_Price,0)</f>
        <v>45</v>
      </c>
      <c r="N421" s="31">
        <f>DATEDIF(Table2_1[[#This Row],[Buyer Date of Birth]],Table2_1[[#This Row],[Transaction  Date]],"Y")</f>
        <v>77</v>
      </c>
      <c r="O421" s="33">
        <v>1330</v>
      </c>
      <c r="P421" s="33">
        <f>Table2_1[[#This Row],[Quantity Purchased]]*Table2_1[[#This Row],[UnitPrice]]*(1-Table2_1[[#This Row],[Discount]])</f>
        <v>5386.5</v>
      </c>
      <c r="Q421" s="33">
        <f>Table2_1[[#This Row],[Revenue]]-Table2_1[[#This Row],[COGS]]</f>
        <v>4056.5</v>
      </c>
      <c r="R421" s="39">
        <f>WEEKDAY(Table2_1[[#This Row],[Transaction  Date]])</f>
        <v>5</v>
      </c>
      <c r="S421" s="17" t="str">
        <f>IF(WEEKDAY(Table2_1[[#This Row],[Transaction  Date]],2)&lt;=5,"Weekday","Weekend")</f>
        <v>Weekday</v>
      </c>
      <c r="T421" s="37" t="str">
        <f>FLOOR(Table2_1[[#This Row],[Age]],15)&amp; "-"&amp; FLOOR(Table2_1[[#This Row],[Age]],15)+14</f>
        <v>75-89</v>
      </c>
    </row>
    <row r="422" spans="1:20" x14ac:dyDescent="0.3">
      <c r="A422" s="18">
        <v>45379</v>
      </c>
      <c r="B422" s="17" t="s">
        <v>1318</v>
      </c>
      <c r="C422" s="17" t="s">
        <v>71</v>
      </c>
      <c r="D422" s="18">
        <v>26814</v>
      </c>
      <c r="E422" s="16" t="s">
        <v>20</v>
      </c>
      <c r="F422" s="31">
        <v>38</v>
      </c>
      <c r="G422" s="17" t="s">
        <v>65</v>
      </c>
      <c r="H422" s="17" t="s">
        <v>48</v>
      </c>
      <c r="I422" s="17" t="s">
        <v>23</v>
      </c>
      <c r="J422" s="27">
        <v>0.1</v>
      </c>
      <c r="K422" s="17" t="s">
        <v>928</v>
      </c>
      <c r="L422" s="32">
        <v>3</v>
      </c>
      <c r="M422" s="32">
        <f>_xlfn.XLOOKUP(Table2_1[[#This Row],[Product Code]],Product_Code,Unit_Price,0)</f>
        <v>5</v>
      </c>
      <c r="N422" s="31">
        <f>DATEDIF(Table2_1[[#This Row],[Buyer Date of Birth]],Table2_1[[#This Row],[Transaction  Date]],"Y")</f>
        <v>50</v>
      </c>
      <c r="O422" s="33">
        <v>114</v>
      </c>
      <c r="P422" s="33">
        <f>Table2_1[[#This Row],[Quantity Purchased]]*Table2_1[[#This Row],[UnitPrice]]*(1-Table2_1[[#This Row],[Discount]])</f>
        <v>171</v>
      </c>
      <c r="Q422" s="33">
        <f>Table2_1[[#This Row],[Revenue]]-Table2_1[[#This Row],[COGS]]</f>
        <v>57</v>
      </c>
      <c r="R422" s="39">
        <f>WEEKDAY(Table2_1[[#This Row],[Transaction  Date]])</f>
        <v>5</v>
      </c>
      <c r="S422" s="17" t="str">
        <f>IF(WEEKDAY(Table2_1[[#This Row],[Transaction  Date]],2)&lt;=5,"Weekday","Weekend")</f>
        <v>Weekday</v>
      </c>
      <c r="T422" s="37" t="str">
        <f>FLOOR(Table2_1[[#This Row],[Age]],15)&amp; "-"&amp; FLOOR(Table2_1[[#This Row],[Age]],15)+14</f>
        <v>45-59</v>
      </c>
    </row>
    <row r="423" spans="1:20" x14ac:dyDescent="0.3">
      <c r="A423" s="18">
        <v>45379</v>
      </c>
      <c r="B423" s="17" t="s">
        <v>1319</v>
      </c>
      <c r="C423" s="17" t="s">
        <v>13</v>
      </c>
      <c r="D423" s="18">
        <v>23642</v>
      </c>
      <c r="E423" s="16" t="s">
        <v>14</v>
      </c>
      <c r="F423" s="31">
        <v>127</v>
      </c>
      <c r="G423" s="17" t="s">
        <v>34</v>
      </c>
      <c r="H423" s="17" t="s">
        <v>52</v>
      </c>
      <c r="I423" s="17" t="s">
        <v>17</v>
      </c>
      <c r="J423" s="27">
        <v>0.1</v>
      </c>
      <c r="K423" s="17" t="s">
        <v>930</v>
      </c>
      <c r="L423" s="32">
        <v>14</v>
      </c>
      <c r="M423" s="32">
        <f>_xlfn.XLOOKUP(Table2_1[[#This Row],[Product Code]],Product_Code,Unit_Price,0)</f>
        <v>28</v>
      </c>
      <c r="N423" s="31">
        <f>DATEDIF(Table2_1[[#This Row],[Buyer Date of Birth]],Table2_1[[#This Row],[Transaction  Date]],"Y")</f>
        <v>59</v>
      </c>
      <c r="O423" s="33">
        <v>1778</v>
      </c>
      <c r="P423" s="33">
        <f>Table2_1[[#This Row],[Quantity Purchased]]*Table2_1[[#This Row],[UnitPrice]]*(1-Table2_1[[#This Row],[Discount]])</f>
        <v>3200.4</v>
      </c>
      <c r="Q423" s="33">
        <f>Table2_1[[#This Row],[Revenue]]-Table2_1[[#This Row],[COGS]]</f>
        <v>1422.4</v>
      </c>
      <c r="R423" s="39">
        <f>WEEKDAY(Table2_1[[#This Row],[Transaction  Date]])</f>
        <v>5</v>
      </c>
      <c r="S423" s="17" t="str">
        <f>IF(WEEKDAY(Table2_1[[#This Row],[Transaction  Date]],2)&lt;=5,"Weekday","Weekend")</f>
        <v>Weekday</v>
      </c>
      <c r="T423" s="37" t="str">
        <f>FLOOR(Table2_1[[#This Row],[Age]],15)&amp; "-"&amp; FLOOR(Table2_1[[#This Row],[Age]],15)+14</f>
        <v>45-59</v>
      </c>
    </row>
    <row r="424" spans="1:20" x14ac:dyDescent="0.3">
      <c r="A424" s="18">
        <v>45379</v>
      </c>
      <c r="B424" s="17" t="s">
        <v>1320</v>
      </c>
      <c r="C424" s="17" t="s">
        <v>71</v>
      </c>
      <c r="D424" s="18">
        <v>27419</v>
      </c>
      <c r="E424" s="16" t="s">
        <v>14</v>
      </c>
      <c r="F424" s="31">
        <v>225</v>
      </c>
      <c r="G424" s="17" t="s">
        <v>21</v>
      </c>
      <c r="H424" s="17" t="s">
        <v>48</v>
      </c>
      <c r="I424" s="17" t="s">
        <v>23</v>
      </c>
      <c r="J424" s="27">
        <v>0.1</v>
      </c>
      <c r="K424" s="17" t="s">
        <v>934</v>
      </c>
      <c r="L424" s="32">
        <v>10</v>
      </c>
      <c r="M424" s="32">
        <f>_xlfn.XLOOKUP(Table2_1[[#This Row],[Product Code]],Product_Code,Unit_Price,0)</f>
        <v>45</v>
      </c>
      <c r="N424" s="31">
        <f>DATEDIF(Table2_1[[#This Row],[Buyer Date of Birth]],Table2_1[[#This Row],[Transaction  Date]],"Y")</f>
        <v>49</v>
      </c>
      <c r="O424" s="33">
        <v>2250</v>
      </c>
      <c r="P424" s="33">
        <f>Table2_1[[#This Row],[Quantity Purchased]]*Table2_1[[#This Row],[UnitPrice]]*(1-Table2_1[[#This Row],[Discount]])</f>
        <v>9112.5</v>
      </c>
      <c r="Q424" s="33">
        <f>Table2_1[[#This Row],[Revenue]]-Table2_1[[#This Row],[COGS]]</f>
        <v>6862.5</v>
      </c>
      <c r="R424" s="39">
        <f>WEEKDAY(Table2_1[[#This Row],[Transaction  Date]])</f>
        <v>5</v>
      </c>
      <c r="S424" s="17" t="str">
        <f>IF(WEEKDAY(Table2_1[[#This Row],[Transaction  Date]],2)&lt;=5,"Weekday","Weekend")</f>
        <v>Weekday</v>
      </c>
      <c r="T424" s="37" t="str">
        <f>FLOOR(Table2_1[[#This Row],[Age]],15)&amp; "-"&amp; FLOOR(Table2_1[[#This Row],[Age]],15)+14</f>
        <v>45-59</v>
      </c>
    </row>
    <row r="425" spans="1:20" x14ac:dyDescent="0.3">
      <c r="A425" s="18">
        <v>45380</v>
      </c>
      <c r="B425" s="17" t="s">
        <v>1321</v>
      </c>
      <c r="C425" s="17" t="s">
        <v>71</v>
      </c>
      <c r="D425" s="18">
        <v>34396</v>
      </c>
      <c r="E425" s="16" t="s">
        <v>14</v>
      </c>
      <c r="F425" s="31">
        <v>199</v>
      </c>
      <c r="G425" s="17" t="s">
        <v>47</v>
      </c>
      <c r="H425" s="17" t="s">
        <v>52</v>
      </c>
      <c r="I425" s="17" t="s">
        <v>17</v>
      </c>
      <c r="J425" s="27">
        <v>0.1</v>
      </c>
      <c r="K425" s="17" t="s">
        <v>931</v>
      </c>
      <c r="L425" s="32">
        <v>7</v>
      </c>
      <c r="M425" s="32">
        <f>_xlfn.XLOOKUP(Table2_1[[#This Row],[Product Code]],Product_Code,Unit_Price,0)</f>
        <v>9</v>
      </c>
      <c r="N425" s="31">
        <f>DATEDIF(Table2_1[[#This Row],[Buyer Date of Birth]],Table2_1[[#This Row],[Transaction  Date]],"Y")</f>
        <v>30</v>
      </c>
      <c r="O425" s="33">
        <v>1393</v>
      </c>
      <c r="P425" s="33">
        <f>Table2_1[[#This Row],[Quantity Purchased]]*Table2_1[[#This Row],[UnitPrice]]*(1-Table2_1[[#This Row],[Discount]])</f>
        <v>1611.9</v>
      </c>
      <c r="Q425" s="33">
        <f>Table2_1[[#This Row],[Revenue]]-Table2_1[[#This Row],[COGS]]</f>
        <v>218.90000000000009</v>
      </c>
      <c r="R425" s="39">
        <f>WEEKDAY(Table2_1[[#This Row],[Transaction  Date]])</f>
        <v>6</v>
      </c>
      <c r="S425" s="17" t="str">
        <f>IF(WEEKDAY(Table2_1[[#This Row],[Transaction  Date]],2)&lt;=5,"Weekday","Weekend")</f>
        <v>Weekday</v>
      </c>
      <c r="T425" s="37" t="str">
        <f>FLOOR(Table2_1[[#This Row],[Age]],15)&amp; "-"&amp; FLOOR(Table2_1[[#This Row],[Age]],15)+14</f>
        <v>30-44</v>
      </c>
    </row>
    <row r="426" spans="1:20" x14ac:dyDescent="0.3">
      <c r="A426" s="18">
        <v>45381</v>
      </c>
      <c r="B426" s="17" t="s">
        <v>1322</v>
      </c>
      <c r="C426" s="17" t="s">
        <v>46</v>
      </c>
      <c r="D426" s="18">
        <v>26446</v>
      </c>
      <c r="E426" s="16" t="s">
        <v>20</v>
      </c>
      <c r="F426" s="31">
        <v>357</v>
      </c>
      <c r="G426" s="17" t="s">
        <v>65</v>
      </c>
      <c r="H426" s="17" t="s">
        <v>52</v>
      </c>
      <c r="I426" s="17" t="s">
        <v>17</v>
      </c>
      <c r="J426" s="27">
        <v>0.1</v>
      </c>
      <c r="K426" s="17" t="s">
        <v>928</v>
      </c>
      <c r="L426" s="32">
        <v>3</v>
      </c>
      <c r="M426" s="32">
        <f>_xlfn.XLOOKUP(Table2_1[[#This Row],[Product Code]],Product_Code,Unit_Price,0)</f>
        <v>5</v>
      </c>
      <c r="N426" s="31">
        <f>DATEDIF(Table2_1[[#This Row],[Buyer Date of Birth]],Table2_1[[#This Row],[Transaction  Date]],"Y")</f>
        <v>51</v>
      </c>
      <c r="O426" s="33">
        <v>1071</v>
      </c>
      <c r="P426" s="33">
        <f>Table2_1[[#This Row],[Quantity Purchased]]*Table2_1[[#This Row],[UnitPrice]]*(1-Table2_1[[#This Row],[Discount]])</f>
        <v>1606.5</v>
      </c>
      <c r="Q426" s="33">
        <f>Table2_1[[#This Row],[Revenue]]-Table2_1[[#This Row],[COGS]]</f>
        <v>535.5</v>
      </c>
      <c r="R426" s="39">
        <f>WEEKDAY(Table2_1[[#This Row],[Transaction  Date]])</f>
        <v>7</v>
      </c>
      <c r="S426" s="17" t="str">
        <f>IF(WEEKDAY(Table2_1[[#This Row],[Transaction  Date]],2)&lt;=5,"Weekday","Weekend")</f>
        <v>Weekend</v>
      </c>
      <c r="T426" s="37" t="str">
        <f>FLOOR(Table2_1[[#This Row],[Age]],15)&amp; "-"&amp; FLOOR(Table2_1[[#This Row],[Age]],15)+14</f>
        <v>45-59</v>
      </c>
    </row>
    <row r="427" spans="1:20" x14ac:dyDescent="0.3">
      <c r="A427" s="18">
        <v>45381</v>
      </c>
      <c r="B427" s="17" t="s">
        <v>1323</v>
      </c>
      <c r="C427" s="17" t="s">
        <v>13</v>
      </c>
      <c r="D427" s="18">
        <v>33919</v>
      </c>
      <c r="E427" s="16" t="s">
        <v>33</v>
      </c>
      <c r="F427" s="31">
        <v>78</v>
      </c>
      <c r="G427" s="17" t="s">
        <v>27</v>
      </c>
      <c r="H427" s="17" t="s">
        <v>28</v>
      </c>
      <c r="I427" s="17" t="s">
        <v>17</v>
      </c>
      <c r="J427" s="27">
        <v>0.1</v>
      </c>
      <c r="K427" s="17" t="s">
        <v>927</v>
      </c>
      <c r="L427" s="32">
        <v>18</v>
      </c>
      <c r="M427" s="32">
        <f>_xlfn.XLOOKUP(Table2_1[[#This Row],[Product Code]],Product_Code,Unit_Price,0)</f>
        <v>22</v>
      </c>
      <c r="N427" s="31">
        <f>DATEDIF(Table2_1[[#This Row],[Buyer Date of Birth]],Table2_1[[#This Row],[Transaction  Date]],"Y")</f>
        <v>31</v>
      </c>
      <c r="O427" s="33">
        <v>1404</v>
      </c>
      <c r="P427" s="33">
        <f>Table2_1[[#This Row],[Quantity Purchased]]*Table2_1[[#This Row],[UnitPrice]]*(1-Table2_1[[#This Row],[Discount]])</f>
        <v>1544.4</v>
      </c>
      <c r="Q427" s="33">
        <f>Table2_1[[#This Row],[Revenue]]-Table2_1[[#This Row],[COGS]]</f>
        <v>140.40000000000009</v>
      </c>
      <c r="R427" s="39">
        <f>WEEKDAY(Table2_1[[#This Row],[Transaction  Date]])</f>
        <v>7</v>
      </c>
      <c r="S427" s="17" t="str">
        <f>IF(WEEKDAY(Table2_1[[#This Row],[Transaction  Date]],2)&lt;=5,"Weekday","Weekend")</f>
        <v>Weekend</v>
      </c>
      <c r="T427" s="37" t="str">
        <f>FLOOR(Table2_1[[#This Row],[Age]],15)&amp; "-"&amp; FLOOR(Table2_1[[#This Row],[Age]],15)+14</f>
        <v>30-44</v>
      </c>
    </row>
    <row r="428" spans="1:20" x14ac:dyDescent="0.3">
      <c r="A428" s="18">
        <v>45381</v>
      </c>
      <c r="B428" s="17" t="s">
        <v>1324</v>
      </c>
      <c r="C428" s="17" t="s">
        <v>13</v>
      </c>
      <c r="D428" s="18">
        <v>38484</v>
      </c>
      <c r="E428" s="16" t="s">
        <v>33</v>
      </c>
      <c r="F428" s="31">
        <v>145</v>
      </c>
      <c r="G428" s="17" t="s">
        <v>65</v>
      </c>
      <c r="H428" s="17" t="s">
        <v>48</v>
      </c>
      <c r="I428" s="17" t="s">
        <v>17</v>
      </c>
      <c r="J428" s="27">
        <v>0.1</v>
      </c>
      <c r="K428" s="17" t="s">
        <v>928</v>
      </c>
      <c r="L428" s="32">
        <v>3</v>
      </c>
      <c r="M428" s="32">
        <f>_xlfn.XLOOKUP(Table2_1[[#This Row],[Product Code]],Product_Code,Unit_Price,0)</f>
        <v>5</v>
      </c>
      <c r="N428" s="31">
        <f>DATEDIF(Table2_1[[#This Row],[Buyer Date of Birth]],Table2_1[[#This Row],[Transaction  Date]],"Y")</f>
        <v>18</v>
      </c>
      <c r="O428" s="33">
        <v>435</v>
      </c>
      <c r="P428" s="33">
        <f>Table2_1[[#This Row],[Quantity Purchased]]*Table2_1[[#This Row],[UnitPrice]]*(1-Table2_1[[#This Row],[Discount]])</f>
        <v>652.5</v>
      </c>
      <c r="Q428" s="33">
        <f>Table2_1[[#This Row],[Revenue]]-Table2_1[[#This Row],[COGS]]</f>
        <v>217.5</v>
      </c>
      <c r="R428" s="39">
        <f>WEEKDAY(Table2_1[[#This Row],[Transaction  Date]])</f>
        <v>7</v>
      </c>
      <c r="S428" s="17" t="str">
        <f>IF(WEEKDAY(Table2_1[[#This Row],[Transaction  Date]],2)&lt;=5,"Weekday","Weekend")</f>
        <v>Weekend</v>
      </c>
      <c r="T428" s="37" t="str">
        <f>FLOOR(Table2_1[[#This Row],[Age]],15)&amp; "-"&amp; FLOOR(Table2_1[[#This Row],[Age]],15)+14</f>
        <v>15-29</v>
      </c>
    </row>
    <row r="429" spans="1:20" x14ac:dyDescent="0.3">
      <c r="A429" s="18">
        <v>45381</v>
      </c>
      <c r="B429" s="17" t="s">
        <v>1325</v>
      </c>
      <c r="C429" s="17" t="s">
        <v>71</v>
      </c>
      <c r="D429" s="18">
        <v>24294</v>
      </c>
      <c r="E429" s="16" t="s">
        <v>33</v>
      </c>
      <c r="F429" s="31">
        <v>419</v>
      </c>
      <c r="G429" s="17" t="s">
        <v>47</v>
      </c>
      <c r="H429" s="17" t="s">
        <v>35</v>
      </c>
      <c r="I429" s="17" t="s">
        <v>17</v>
      </c>
      <c r="J429" s="27">
        <v>0.1</v>
      </c>
      <c r="K429" s="17" t="s">
        <v>931</v>
      </c>
      <c r="L429" s="32">
        <v>7</v>
      </c>
      <c r="M429" s="32">
        <f>_xlfn.XLOOKUP(Table2_1[[#This Row],[Product Code]],Product_Code,Unit_Price,0)</f>
        <v>9</v>
      </c>
      <c r="N429" s="31">
        <f>DATEDIF(Table2_1[[#This Row],[Buyer Date of Birth]],Table2_1[[#This Row],[Transaction  Date]],"Y")</f>
        <v>57</v>
      </c>
      <c r="O429" s="33">
        <v>2933</v>
      </c>
      <c r="P429" s="33">
        <f>Table2_1[[#This Row],[Quantity Purchased]]*Table2_1[[#This Row],[UnitPrice]]*(1-Table2_1[[#This Row],[Discount]])</f>
        <v>3393.9</v>
      </c>
      <c r="Q429" s="33">
        <f>Table2_1[[#This Row],[Revenue]]-Table2_1[[#This Row],[COGS]]</f>
        <v>460.90000000000009</v>
      </c>
      <c r="R429" s="39">
        <f>WEEKDAY(Table2_1[[#This Row],[Transaction  Date]])</f>
        <v>7</v>
      </c>
      <c r="S429" s="17" t="str">
        <f>IF(WEEKDAY(Table2_1[[#This Row],[Transaction  Date]],2)&lt;=5,"Weekday","Weekend")</f>
        <v>Weekend</v>
      </c>
      <c r="T429" s="37" t="str">
        <f>FLOOR(Table2_1[[#This Row],[Age]],15)&amp; "-"&amp; FLOOR(Table2_1[[#This Row],[Age]],15)+14</f>
        <v>45-59</v>
      </c>
    </row>
    <row r="430" spans="1:20" x14ac:dyDescent="0.3">
      <c r="A430" s="18">
        <v>45381</v>
      </c>
      <c r="B430" s="17" t="s">
        <v>1326</v>
      </c>
      <c r="C430" s="17" t="s">
        <v>55</v>
      </c>
      <c r="D430" s="18">
        <v>38153</v>
      </c>
      <c r="E430" s="16" t="s">
        <v>33</v>
      </c>
      <c r="F430" s="31">
        <v>392</v>
      </c>
      <c r="G430" s="17" t="s">
        <v>21</v>
      </c>
      <c r="H430" s="17" t="s">
        <v>52</v>
      </c>
      <c r="I430" s="17" t="s">
        <v>17</v>
      </c>
      <c r="J430" s="27">
        <v>0.1</v>
      </c>
      <c r="K430" s="17" t="s">
        <v>934</v>
      </c>
      <c r="L430" s="32">
        <v>10</v>
      </c>
      <c r="M430" s="32">
        <f>_xlfn.XLOOKUP(Table2_1[[#This Row],[Product Code]],Product_Code,Unit_Price,0)</f>
        <v>45</v>
      </c>
      <c r="N430" s="31">
        <f>DATEDIF(Table2_1[[#This Row],[Buyer Date of Birth]],Table2_1[[#This Row],[Transaction  Date]],"Y")</f>
        <v>19</v>
      </c>
      <c r="O430" s="33">
        <v>3920</v>
      </c>
      <c r="P430" s="33">
        <f>Table2_1[[#This Row],[Quantity Purchased]]*Table2_1[[#This Row],[UnitPrice]]*(1-Table2_1[[#This Row],[Discount]])</f>
        <v>15876</v>
      </c>
      <c r="Q430" s="33">
        <f>Table2_1[[#This Row],[Revenue]]-Table2_1[[#This Row],[COGS]]</f>
        <v>11956</v>
      </c>
      <c r="R430" s="39">
        <f>WEEKDAY(Table2_1[[#This Row],[Transaction  Date]])</f>
        <v>7</v>
      </c>
      <c r="S430" s="17" t="str">
        <f>IF(WEEKDAY(Table2_1[[#This Row],[Transaction  Date]],2)&lt;=5,"Weekday","Weekend")</f>
        <v>Weekend</v>
      </c>
      <c r="T430" s="37" t="str">
        <f>FLOOR(Table2_1[[#This Row],[Age]],15)&amp; "-"&amp; FLOOR(Table2_1[[#This Row],[Age]],15)+14</f>
        <v>15-29</v>
      </c>
    </row>
    <row r="431" spans="1:20" x14ac:dyDescent="0.3">
      <c r="A431" s="18">
        <v>45382</v>
      </c>
      <c r="B431" s="17" t="s">
        <v>1327</v>
      </c>
      <c r="C431" s="17" t="s">
        <v>13</v>
      </c>
      <c r="D431" s="18">
        <v>17202</v>
      </c>
      <c r="E431" s="16" t="s">
        <v>68</v>
      </c>
      <c r="F431" s="31">
        <v>135</v>
      </c>
      <c r="G431" s="17" t="s">
        <v>65</v>
      </c>
      <c r="H431" s="17" t="s">
        <v>48</v>
      </c>
      <c r="I431" s="17" t="s">
        <v>17</v>
      </c>
      <c r="J431" s="27">
        <v>0.1</v>
      </c>
      <c r="K431" s="17" t="s">
        <v>928</v>
      </c>
      <c r="L431" s="32">
        <v>3</v>
      </c>
      <c r="M431" s="32">
        <f>_xlfn.XLOOKUP(Table2_1[[#This Row],[Product Code]],Product_Code,Unit_Price,0)</f>
        <v>5</v>
      </c>
      <c r="N431" s="31">
        <f>DATEDIF(Table2_1[[#This Row],[Buyer Date of Birth]],Table2_1[[#This Row],[Transaction  Date]],"Y")</f>
        <v>77</v>
      </c>
      <c r="O431" s="33">
        <v>405</v>
      </c>
      <c r="P431" s="33">
        <f>Table2_1[[#This Row],[Quantity Purchased]]*Table2_1[[#This Row],[UnitPrice]]*(1-Table2_1[[#This Row],[Discount]])</f>
        <v>607.5</v>
      </c>
      <c r="Q431" s="33">
        <f>Table2_1[[#This Row],[Revenue]]-Table2_1[[#This Row],[COGS]]</f>
        <v>202.5</v>
      </c>
      <c r="R431" s="39">
        <f>WEEKDAY(Table2_1[[#This Row],[Transaction  Date]])</f>
        <v>1</v>
      </c>
      <c r="S431" s="17" t="str">
        <f>IF(WEEKDAY(Table2_1[[#This Row],[Transaction  Date]],2)&lt;=5,"Weekday","Weekend")</f>
        <v>Weekend</v>
      </c>
      <c r="T431" s="37" t="str">
        <f>FLOOR(Table2_1[[#This Row],[Age]],15)&amp; "-"&amp; FLOOR(Table2_1[[#This Row],[Age]],15)+14</f>
        <v>75-89</v>
      </c>
    </row>
    <row r="432" spans="1:20" x14ac:dyDescent="0.3">
      <c r="A432" s="18">
        <v>45382</v>
      </c>
      <c r="B432" s="17" t="s">
        <v>1858</v>
      </c>
      <c r="C432" s="17" t="s">
        <v>46</v>
      </c>
      <c r="D432" s="18">
        <v>20479</v>
      </c>
      <c r="E432" s="16" t="s">
        <v>33</v>
      </c>
      <c r="F432" s="31">
        <v>62</v>
      </c>
      <c r="G432" s="17" t="s">
        <v>34</v>
      </c>
      <c r="H432" s="17" t="s">
        <v>28</v>
      </c>
      <c r="I432" s="17" t="s">
        <v>17</v>
      </c>
      <c r="J432" s="27">
        <v>0.1</v>
      </c>
      <c r="K432" s="17" t="s">
        <v>930</v>
      </c>
      <c r="L432" s="32">
        <v>14</v>
      </c>
      <c r="M432" s="32">
        <f>_xlfn.XLOOKUP(Table2_1[[#This Row],[Product Code]],Product_Code,Unit_Price,0)</f>
        <v>28</v>
      </c>
      <c r="N432" s="31">
        <f>DATEDIF(Table2_1[[#This Row],[Buyer Date of Birth]],Table2_1[[#This Row],[Transaction  Date]],"Y")</f>
        <v>68</v>
      </c>
      <c r="O432" s="33">
        <v>868</v>
      </c>
      <c r="P432" s="33">
        <f>Table2_1[[#This Row],[Quantity Purchased]]*Table2_1[[#This Row],[UnitPrice]]*(1-Table2_1[[#This Row],[Discount]])</f>
        <v>1562.4</v>
      </c>
      <c r="Q432" s="33">
        <f>Table2_1[[#This Row],[Revenue]]-Table2_1[[#This Row],[COGS]]</f>
        <v>694.40000000000009</v>
      </c>
      <c r="R432" s="39">
        <f>WEEKDAY(Table2_1[[#This Row],[Transaction  Date]])</f>
        <v>1</v>
      </c>
      <c r="S432" s="17" t="str">
        <f>IF(WEEKDAY(Table2_1[[#This Row],[Transaction  Date]],2)&lt;=5,"Weekday","Weekend")</f>
        <v>Weekend</v>
      </c>
      <c r="T432" s="37" t="str">
        <f>FLOOR(Table2_1[[#This Row],[Age]],15)&amp; "-"&amp; FLOOR(Table2_1[[#This Row],[Age]],15)+14</f>
        <v>60-74</v>
      </c>
    </row>
    <row r="433" spans="1:20" x14ac:dyDescent="0.3">
      <c r="A433" s="18">
        <v>45382</v>
      </c>
      <c r="B433" s="17" t="s">
        <v>1328</v>
      </c>
      <c r="C433" s="17" t="s">
        <v>51</v>
      </c>
      <c r="D433" s="18">
        <v>38488</v>
      </c>
      <c r="E433" s="16" t="s">
        <v>68</v>
      </c>
      <c r="F433" s="31">
        <v>217</v>
      </c>
      <c r="G433" s="17" t="s">
        <v>27</v>
      </c>
      <c r="H433" s="17" t="s">
        <v>43</v>
      </c>
      <c r="I433" s="17" t="s">
        <v>17</v>
      </c>
      <c r="J433" s="27">
        <v>0.1</v>
      </c>
      <c r="K433" s="17" t="s">
        <v>927</v>
      </c>
      <c r="L433" s="32">
        <v>18</v>
      </c>
      <c r="M433" s="32">
        <f>_xlfn.XLOOKUP(Table2_1[[#This Row],[Product Code]],Product_Code,Unit_Price,0)</f>
        <v>22</v>
      </c>
      <c r="N433" s="31">
        <f>DATEDIF(Table2_1[[#This Row],[Buyer Date of Birth]],Table2_1[[#This Row],[Transaction  Date]],"Y")</f>
        <v>18</v>
      </c>
      <c r="O433" s="33">
        <v>3906</v>
      </c>
      <c r="P433" s="33">
        <f>Table2_1[[#This Row],[Quantity Purchased]]*Table2_1[[#This Row],[UnitPrice]]*(1-Table2_1[[#This Row],[Discount]])</f>
        <v>4296.6000000000004</v>
      </c>
      <c r="Q433" s="33">
        <f>Table2_1[[#This Row],[Revenue]]-Table2_1[[#This Row],[COGS]]</f>
        <v>390.60000000000036</v>
      </c>
      <c r="R433" s="39">
        <f>WEEKDAY(Table2_1[[#This Row],[Transaction  Date]])</f>
        <v>1</v>
      </c>
      <c r="S433" s="17" t="str">
        <f>IF(WEEKDAY(Table2_1[[#This Row],[Transaction  Date]],2)&lt;=5,"Weekday","Weekend")</f>
        <v>Weekend</v>
      </c>
      <c r="T433" s="37" t="str">
        <f>FLOOR(Table2_1[[#This Row],[Age]],15)&amp; "-"&amp; FLOOR(Table2_1[[#This Row],[Age]],15)+14</f>
        <v>15-29</v>
      </c>
    </row>
    <row r="434" spans="1:20" x14ac:dyDescent="0.3">
      <c r="A434" s="18">
        <v>45382</v>
      </c>
      <c r="B434" s="17" t="s">
        <v>1329</v>
      </c>
      <c r="C434" s="17" t="s">
        <v>13</v>
      </c>
      <c r="D434" s="18">
        <v>37652</v>
      </c>
      <c r="E434" s="16" t="s">
        <v>68</v>
      </c>
      <c r="F434" s="31">
        <v>466</v>
      </c>
      <c r="G434" s="17" t="s">
        <v>42</v>
      </c>
      <c r="H434" s="17" t="s">
        <v>48</v>
      </c>
      <c r="I434" s="17" t="s">
        <v>17</v>
      </c>
      <c r="J434" s="27">
        <v>0.1</v>
      </c>
      <c r="K434" s="17" t="s">
        <v>926</v>
      </c>
      <c r="L434" s="32">
        <v>10</v>
      </c>
      <c r="M434" s="32">
        <f>_xlfn.XLOOKUP(Table2_1[[#This Row],[Product Code]],Product_Code,Unit_Price,0)</f>
        <v>11</v>
      </c>
      <c r="N434" s="31">
        <f>DATEDIF(Table2_1[[#This Row],[Buyer Date of Birth]],Table2_1[[#This Row],[Transaction  Date]],"Y")</f>
        <v>21</v>
      </c>
      <c r="O434" s="33">
        <v>4660</v>
      </c>
      <c r="P434" s="33">
        <f>Table2_1[[#This Row],[Quantity Purchased]]*Table2_1[[#This Row],[UnitPrice]]*(1-Table2_1[[#This Row],[Discount]])</f>
        <v>4613.4000000000005</v>
      </c>
      <c r="Q434" s="33">
        <f>Table2_1[[#This Row],[Revenue]]-Table2_1[[#This Row],[COGS]]</f>
        <v>-46.599999999999454</v>
      </c>
      <c r="R434" s="39">
        <f>WEEKDAY(Table2_1[[#This Row],[Transaction  Date]])</f>
        <v>1</v>
      </c>
      <c r="S434" s="17" t="str">
        <f>IF(WEEKDAY(Table2_1[[#This Row],[Transaction  Date]],2)&lt;=5,"Weekday","Weekend")</f>
        <v>Weekend</v>
      </c>
      <c r="T434" s="37" t="str">
        <f>FLOOR(Table2_1[[#This Row],[Age]],15)&amp; "-"&amp; FLOOR(Table2_1[[#This Row],[Age]],15)+14</f>
        <v>15-29</v>
      </c>
    </row>
    <row r="435" spans="1:20" x14ac:dyDescent="0.3">
      <c r="A435" s="18">
        <v>45382</v>
      </c>
      <c r="B435" s="17" t="s">
        <v>1330</v>
      </c>
      <c r="C435" s="17" t="s">
        <v>94</v>
      </c>
      <c r="D435" s="18">
        <v>18192</v>
      </c>
      <c r="E435" s="16" t="s">
        <v>20</v>
      </c>
      <c r="F435" s="31">
        <v>390</v>
      </c>
      <c r="G435" s="17" t="s">
        <v>64</v>
      </c>
      <c r="H435" s="17" t="s">
        <v>32</v>
      </c>
      <c r="I435" s="17" t="s">
        <v>17</v>
      </c>
      <c r="J435" s="27">
        <v>0.1</v>
      </c>
      <c r="K435" s="17" t="s">
        <v>933</v>
      </c>
      <c r="L435" s="32">
        <v>5</v>
      </c>
      <c r="M435" s="32">
        <f>_xlfn.XLOOKUP(Table2_1[[#This Row],[Product Code]],Product_Code,Unit_Price,0)</f>
        <v>7</v>
      </c>
      <c r="N435" s="31">
        <f>DATEDIF(Table2_1[[#This Row],[Buyer Date of Birth]],Table2_1[[#This Row],[Transaction  Date]],"Y")</f>
        <v>74</v>
      </c>
      <c r="O435" s="33">
        <v>1950</v>
      </c>
      <c r="P435" s="33">
        <f>Table2_1[[#This Row],[Quantity Purchased]]*Table2_1[[#This Row],[UnitPrice]]*(1-Table2_1[[#This Row],[Discount]])</f>
        <v>2457</v>
      </c>
      <c r="Q435" s="33">
        <f>Table2_1[[#This Row],[Revenue]]-Table2_1[[#This Row],[COGS]]</f>
        <v>507</v>
      </c>
      <c r="R435" s="39">
        <f>WEEKDAY(Table2_1[[#This Row],[Transaction  Date]])</f>
        <v>1</v>
      </c>
      <c r="S435" s="17" t="str">
        <f>IF(WEEKDAY(Table2_1[[#This Row],[Transaction  Date]],2)&lt;=5,"Weekday","Weekend")</f>
        <v>Weekend</v>
      </c>
      <c r="T435" s="37" t="str">
        <f>FLOOR(Table2_1[[#This Row],[Age]],15)&amp; "-"&amp; FLOOR(Table2_1[[#This Row],[Age]],15)+14</f>
        <v>60-74</v>
      </c>
    </row>
    <row r="436" spans="1:20" x14ac:dyDescent="0.3">
      <c r="A436" s="18">
        <v>45382</v>
      </c>
      <c r="B436" s="17" t="s">
        <v>1331</v>
      </c>
      <c r="C436" s="17" t="s">
        <v>46</v>
      </c>
      <c r="D436" s="18">
        <v>31943</v>
      </c>
      <c r="E436" s="16" t="s">
        <v>20</v>
      </c>
      <c r="F436" s="31">
        <v>383</v>
      </c>
      <c r="G436" s="17" t="s">
        <v>42</v>
      </c>
      <c r="H436" s="17" t="s">
        <v>48</v>
      </c>
      <c r="I436" s="17" t="s">
        <v>17</v>
      </c>
      <c r="J436" s="27">
        <v>0.1</v>
      </c>
      <c r="K436" s="17" t="s">
        <v>926</v>
      </c>
      <c r="L436" s="32">
        <v>10</v>
      </c>
      <c r="M436" s="32">
        <f>_xlfn.XLOOKUP(Table2_1[[#This Row],[Product Code]],Product_Code,Unit_Price,0)</f>
        <v>11</v>
      </c>
      <c r="N436" s="31">
        <f>DATEDIF(Table2_1[[#This Row],[Buyer Date of Birth]],Table2_1[[#This Row],[Transaction  Date]],"Y")</f>
        <v>36</v>
      </c>
      <c r="O436" s="33">
        <v>3830</v>
      </c>
      <c r="P436" s="33">
        <f>Table2_1[[#This Row],[Quantity Purchased]]*Table2_1[[#This Row],[UnitPrice]]*(1-Table2_1[[#This Row],[Discount]])</f>
        <v>3791.7000000000003</v>
      </c>
      <c r="Q436" s="33">
        <f>Table2_1[[#This Row],[Revenue]]-Table2_1[[#This Row],[COGS]]</f>
        <v>-38.299999999999727</v>
      </c>
      <c r="R436" s="39">
        <f>WEEKDAY(Table2_1[[#This Row],[Transaction  Date]])</f>
        <v>1</v>
      </c>
      <c r="S436" s="17" t="str">
        <f>IF(WEEKDAY(Table2_1[[#This Row],[Transaction  Date]],2)&lt;=5,"Weekday","Weekend")</f>
        <v>Weekend</v>
      </c>
      <c r="T436" s="37" t="str">
        <f>FLOOR(Table2_1[[#This Row],[Age]],15)&amp; "-"&amp; FLOOR(Table2_1[[#This Row],[Age]],15)+14</f>
        <v>30-44</v>
      </c>
    </row>
    <row r="437" spans="1:20" x14ac:dyDescent="0.3">
      <c r="A437" s="18">
        <v>45383</v>
      </c>
      <c r="B437" s="17" t="s">
        <v>1332</v>
      </c>
      <c r="C437" s="17" t="s">
        <v>78</v>
      </c>
      <c r="D437" s="18">
        <v>33917</v>
      </c>
      <c r="E437" s="16" t="s">
        <v>33</v>
      </c>
      <c r="F437" s="31">
        <v>116</v>
      </c>
      <c r="G437" s="17" t="s">
        <v>42</v>
      </c>
      <c r="H437" s="17" t="s">
        <v>52</v>
      </c>
      <c r="I437" s="17" t="s">
        <v>17</v>
      </c>
      <c r="J437" s="27">
        <v>0.1</v>
      </c>
      <c r="K437" s="17" t="s">
        <v>926</v>
      </c>
      <c r="L437" s="32">
        <v>10</v>
      </c>
      <c r="M437" s="32">
        <f>_xlfn.XLOOKUP(Table2_1[[#This Row],[Product Code]],Product_Code,Unit_Price,0)</f>
        <v>11</v>
      </c>
      <c r="N437" s="31">
        <f>DATEDIF(Table2_1[[#This Row],[Buyer Date of Birth]],Table2_1[[#This Row],[Transaction  Date]],"Y")</f>
        <v>31</v>
      </c>
      <c r="O437" s="33">
        <v>1160</v>
      </c>
      <c r="P437" s="33">
        <f>Table2_1[[#This Row],[Quantity Purchased]]*Table2_1[[#This Row],[UnitPrice]]*(1-Table2_1[[#This Row],[Discount]])</f>
        <v>1148.4000000000001</v>
      </c>
      <c r="Q437" s="33">
        <f>Table2_1[[#This Row],[Revenue]]-Table2_1[[#This Row],[COGS]]</f>
        <v>-11.599999999999909</v>
      </c>
      <c r="R437" s="39">
        <f>WEEKDAY(Table2_1[[#This Row],[Transaction  Date]])</f>
        <v>2</v>
      </c>
      <c r="S437" s="17" t="str">
        <f>IF(WEEKDAY(Table2_1[[#This Row],[Transaction  Date]],2)&lt;=5,"Weekday","Weekend")</f>
        <v>Weekday</v>
      </c>
      <c r="T437" s="37" t="str">
        <f>FLOOR(Table2_1[[#This Row],[Age]],15)&amp; "-"&amp; FLOOR(Table2_1[[#This Row],[Age]],15)+14</f>
        <v>30-44</v>
      </c>
    </row>
    <row r="438" spans="1:20" x14ac:dyDescent="0.3">
      <c r="A438" s="18">
        <v>45383</v>
      </c>
      <c r="B438" s="17" t="s">
        <v>1333</v>
      </c>
      <c r="C438" s="17" t="s">
        <v>71</v>
      </c>
      <c r="D438" s="18">
        <v>26059</v>
      </c>
      <c r="E438" s="16" t="s">
        <v>20</v>
      </c>
      <c r="F438" s="31">
        <v>30</v>
      </c>
      <c r="G438" s="17" t="s">
        <v>65</v>
      </c>
      <c r="H438" s="17" t="s">
        <v>28</v>
      </c>
      <c r="I438" s="17" t="s">
        <v>17</v>
      </c>
      <c r="J438" s="27">
        <v>0.1</v>
      </c>
      <c r="K438" s="17" t="s">
        <v>928</v>
      </c>
      <c r="L438" s="32">
        <v>3</v>
      </c>
      <c r="M438" s="32">
        <f>_xlfn.XLOOKUP(Table2_1[[#This Row],[Product Code]],Product_Code,Unit_Price,0)</f>
        <v>5</v>
      </c>
      <c r="N438" s="31">
        <f>DATEDIF(Table2_1[[#This Row],[Buyer Date of Birth]],Table2_1[[#This Row],[Transaction  Date]],"Y")</f>
        <v>52</v>
      </c>
      <c r="O438" s="33">
        <v>90</v>
      </c>
      <c r="P438" s="33">
        <f>Table2_1[[#This Row],[Quantity Purchased]]*Table2_1[[#This Row],[UnitPrice]]*(1-Table2_1[[#This Row],[Discount]])</f>
        <v>135</v>
      </c>
      <c r="Q438" s="33">
        <f>Table2_1[[#This Row],[Revenue]]-Table2_1[[#This Row],[COGS]]</f>
        <v>45</v>
      </c>
      <c r="R438" s="39">
        <f>WEEKDAY(Table2_1[[#This Row],[Transaction  Date]])</f>
        <v>2</v>
      </c>
      <c r="S438" s="17" t="str">
        <f>IF(WEEKDAY(Table2_1[[#This Row],[Transaction  Date]],2)&lt;=5,"Weekday","Weekend")</f>
        <v>Weekday</v>
      </c>
      <c r="T438" s="37" t="str">
        <f>FLOOR(Table2_1[[#This Row],[Age]],15)&amp; "-"&amp; FLOOR(Table2_1[[#This Row],[Age]],15)+14</f>
        <v>45-59</v>
      </c>
    </row>
    <row r="439" spans="1:20" x14ac:dyDescent="0.3">
      <c r="A439" s="18">
        <v>45383</v>
      </c>
      <c r="B439" s="17" t="s">
        <v>1334</v>
      </c>
      <c r="C439" s="17" t="s">
        <v>51</v>
      </c>
      <c r="D439" s="18">
        <v>32828</v>
      </c>
      <c r="E439" s="16" t="s">
        <v>68</v>
      </c>
      <c r="F439" s="31">
        <v>417</v>
      </c>
      <c r="G439" s="17" t="s">
        <v>27</v>
      </c>
      <c r="H439" s="17" t="s">
        <v>28</v>
      </c>
      <c r="I439" s="17" t="s">
        <v>17</v>
      </c>
      <c r="J439" s="27">
        <v>0.1</v>
      </c>
      <c r="K439" s="17" t="s">
        <v>927</v>
      </c>
      <c r="L439" s="32">
        <v>18</v>
      </c>
      <c r="M439" s="32">
        <f>_xlfn.XLOOKUP(Table2_1[[#This Row],[Product Code]],Product_Code,Unit_Price,0)</f>
        <v>22</v>
      </c>
      <c r="N439" s="31">
        <f>DATEDIF(Table2_1[[#This Row],[Buyer Date of Birth]],Table2_1[[#This Row],[Transaction  Date]],"Y")</f>
        <v>34</v>
      </c>
      <c r="O439" s="33">
        <v>7506</v>
      </c>
      <c r="P439" s="33">
        <f>Table2_1[[#This Row],[Quantity Purchased]]*Table2_1[[#This Row],[UnitPrice]]*(1-Table2_1[[#This Row],[Discount]])</f>
        <v>8256.6</v>
      </c>
      <c r="Q439" s="33">
        <f>Table2_1[[#This Row],[Revenue]]-Table2_1[[#This Row],[COGS]]</f>
        <v>750.60000000000036</v>
      </c>
      <c r="R439" s="39">
        <f>WEEKDAY(Table2_1[[#This Row],[Transaction  Date]])</f>
        <v>2</v>
      </c>
      <c r="S439" s="17" t="str">
        <f>IF(WEEKDAY(Table2_1[[#This Row],[Transaction  Date]],2)&lt;=5,"Weekday","Weekend")</f>
        <v>Weekday</v>
      </c>
      <c r="T439" s="37" t="str">
        <f>FLOOR(Table2_1[[#This Row],[Age]],15)&amp; "-"&amp; FLOOR(Table2_1[[#This Row],[Age]],15)+14</f>
        <v>30-44</v>
      </c>
    </row>
    <row r="440" spans="1:20" x14ac:dyDescent="0.3">
      <c r="A440" s="18">
        <v>45383</v>
      </c>
      <c r="B440" s="17" t="s">
        <v>1335</v>
      </c>
      <c r="C440" s="17" t="s">
        <v>26</v>
      </c>
      <c r="D440" s="18">
        <v>30400</v>
      </c>
      <c r="E440" s="16" t="s">
        <v>68</v>
      </c>
      <c r="F440" s="31">
        <v>288</v>
      </c>
      <c r="G440" s="17" t="s">
        <v>56</v>
      </c>
      <c r="H440" s="17" t="s">
        <v>48</v>
      </c>
      <c r="I440" s="17" t="s">
        <v>17</v>
      </c>
      <c r="J440" s="27">
        <v>0.1</v>
      </c>
      <c r="K440" s="17" t="s">
        <v>935</v>
      </c>
      <c r="L440" s="32">
        <v>18</v>
      </c>
      <c r="M440" s="32">
        <f>_xlfn.XLOOKUP(Table2_1[[#This Row],[Product Code]],Product_Code,Unit_Price,0)</f>
        <v>36</v>
      </c>
      <c r="N440" s="31">
        <f>DATEDIF(Table2_1[[#This Row],[Buyer Date of Birth]],Table2_1[[#This Row],[Transaction  Date]],"Y")</f>
        <v>41</v>
      </c>
      <c r="O440" s="33">
        <v>5184</v>
      </c>
      <c r="P440" s="33">
        <f>Table2_1[[#This Row],[Quantity Purchased]]*Table2_1[[#This Row],[UnitPrice]]*(1-Table2_1[[#This Row],[Discount]])</f>
        <v>9331.2000000000007</v>
      </c>
      <c r="Q440" s="33">
        <f>Table2_1[[#This Row],[Revenue]]-Table2_1[[#This Row],[COGS]]</f>
        <v>4147.2000000000007</v>
      </c>
      <c r="R440" s="39">
        <f>WEEKDAY(Table2_1[[#This Row],[Transaction  Date]])</f>
        <v>2</v>
      </c>
      <c r="S440" s="17" t="str">
        <f>IF(WEEKDAY(Table2_1[[#This Row],[Transaction  Date]],2)&lt;=5,"Weekday","Weekend")</f>
        <v>Weekday</v>
      </c>
      <c r="T440" s="37" t="str">
        <f>FLOOR(Table2_1[[#This Row],[Age]],15)&amp; "-"&amp; FLOOR(Table2_1[[#This Row],[Age]],15)+14</f>
        <v>30-44</v>
      </c>
    </row>
    <row r="441" spans="1:20" x14ac:dyDescent="0.3">
      <c r="A441" s="18">
        <v>45383</v>
      </c>
      <c r="B441" s="17" t="s">
        <v>1336</v>
      </c>
      <c r="C441" s="17" t="s">
        <v>38</v>
      </c>
      <c r="D441" s="18">
        <v>33075</v>
      </c>
      <c r="E441" s="16" t="s">
        <v>68</v>
      </c>
      <c r="F441" s="31">
        <v>215</v>
      </c>
      <c r="G441" s="17" t="s">
        <v>27</v>
      </c>
      <c r="H441" s="17" t="s">
        <v>39</v>
      </c>
      <c r="I441" s="17" t="s">
        <v>17</v>
      </c>
      <c r="J441" s="27">
        <v>0.1</v>
      </c>
      <c r="K441" s="17" t="s">
        <v>927</v>
      </c>
      <c r="L441" s="32">
        <v>18</v>
      </c>
      <c r="M441" s="32">
        <f>_xlfn.XLOOKUP(Table2_1[[#This Row],[Product Code]],Product_Code,Unit_Price,0)</f>
        <v>22</v>
      </c>
      <c r="N441" s="31">
        <f>DATEDIF(Table2_1[[#This Row],[Buyer Date of Birth]],Table2_1[[#This Row],[Transaction  Date]],"Y")</f>
        <v>33</v>
      </c>
      <c r="O441" s="33">
        <v>3870</v>
      </c>
      <c r="P441" s="33">
        <f>Table2_1[[#This Row],[Quantity Purchased]]*Table2_1[[#This Row],[UnitPrice]]*(1-Table2_1[[#This Row],[Discount]])</f>
        <v>4257</v>
      </c>
      <c r="Q441" s="33">
        <f>Table2_1[[#This Row],[Revenue]]-Table2_1[[#This Row],[COGS]]</f>
        <v>387</v>
      </c>
      <c r="R441" s="39">
        <f>WEEKDAY(Table2_1[[#This Row],[Transaction  Date]])</f>
        <v>2</v>
      </c>
      <c r="S441" s="17" t="str">
        <f>IF(WEEKDAY(Table2_1[[#This Row],[Transaction  Date]],2)&lt;=5,"Weekday","Weekend")</f>
        <v>Weekday</v>
      </c>
      <c r="T441" s="37" t="str">
        <f>FLOOR(Table2_1[[#This Row],[Age]],15)&amp; "-"&amp; FLOOR(Table2_1[[#This Row],[Age]],15)+14</f>
        <v>30-44</v>
      </c>
    </row>
    <row r="442" spans="1:20" x14ac:dyDescent="0.3">
      <c r="A442" s="18">
        <v>45384</v>
      </c>
      <c r="B442" s="17" t="s">
        <v>1337</v>
      </c>
      <c r="C442" s="17" t="s">
        <v>51</v>
      </c>
      <c r="D442" s="18">
        <v>30195</v>
      </c>
      <c r="E442" s="16" t="s">
        <v>20</v>
      </c>
      <c r="F442" s="31">
        <v>18</v>
      </c>
      <c r="G442" s="17" t="s">
        <v>64</v>
      </c>
      <c r="H442" s="17" t="s">
        <v>48</v>
      </c>
      <c r="I442" s="17" t="s">
        <v>17</v>
      </c>
      <c r="J442" s="27">
        <v>0.1</v>
      </c>
      <c r="K442" s="17" t="s">
        <v>933</v>
      </c>
      <c r="L442" s="32">
        <v>5</v>
      </c>
      <c r="M442" s="32">
        <f>_xlfn.XLOOKUP(Table2_1[[#This Row],[Product Code]],Product_Code,Unit_Price,0)</f>
        <v>7</v>
      </c>
      <c r="N442" s="31">
        <f>DATEDIF(Table2_1[[#This Row],[Buyer Date of Birth]],Table2_1[[#This Row],[Transaction  Date]],"Y")</f>
        <v>41</v>
      </c>
      <c r="O442" s="33">
        <v>90</v>
      </c>
      <c r="P442" s="33">
        <f>Table2_1[[#This Row],[Quantity Purchased]]*Table2_1[[#This Row],[UnitPrice]]*(1-Table2_1[[#This Row],[Discount]])</f>
        <v>113.4</v>
      </c>
      <c r="Q442" s="33">
        <f>Table2_1[[#This Row],[Revenue]]-Table2_1[[#This Row],[COGS]]</f>
        <v>23.400000000000006</v>
      </c>
      <c r="R442" s="39">
        <f>WEEKDAY(Table2_1[[#This Row],[Transaction  Date]])</f>
        <v>3</v>
      </c>
      <c r="S442" s="17" t="str">
        <f>IF(WEEKDAY(Table2_1[[#This Row],[Transaction  Date]],2)&lt;=5,"Weekday","Weekend")</f>
        <v>Weekday</v>
      </c>
      <c r="T442" s="37" t="str">
        <f>FLOOR(Table2_1[[#This Row],[Age]],15)&amp; "-"&amp; FLOOR(Table2_1[[#This Row],[Age]],15)+14</f>
        <v>30-44</v>
      </c>
    </row>
    <row r="443" spans="1:20" x14ac:dyDescent="0.3">
      <c r="A443" s="18">
        <v>45384</v>
      </c>
      <c r="B443" s="17" t="s">
        <v>1338</v>
      </c>
      <c r="C443" s="17" t="s">
        <v>13</v>
      </c>
      <c r="D443" s="18">
        <v>21526</v>
      </c>
      <c r="E443" s="16" t="s">
        <v>68</v>
      </c>
      <c r="F443" s="31">
        <v>305</v>
      </c>
      <c r="G443" s="17" t="s">
        <v>34</v>
      </c>
      <c r="H443" s="17" t="s">
        <v>48</v>
      </c>
      <c r="I443" s="17" t="s">
        <v>23</v>
      </c>
      <c r="J443" s="27">
        <v>0.1</v>
      </c>
      <c r="K443" s="17" t="s">
        <v>930</v>
      </c>
      <c r="L443" s="32">
        <v>14</v>
      </c>
      <c r="M443" s="32">
        <f>_xlfn.XLOOKUP(Table2_1[[#This Row],[Product Code]],Product_Code,Unit_Price,0)</f>
        <v>28</v>
      </c>
      <c r="N443" s="31">
        <f>DATEDIF(Table2_1[[#This Row],[Buyer Date of Birth]],Table2_1[[#This Row],[Transaction  Date]],"Y")</f>
        <v>65</v>
      </c>
      <c r="O443" s="33">
        <v>4270</v>
      </c>
      <c r="P443" s="33">
        <f>Table2_1[[#This Row],[Quantity Purchased]]*Table2_1[[#This Row],[UnitPrice]]*(1-Table2_1[[#This Row],[Discount]])</f>
        <v>7686</v>
      </c>
      <c r="Q443" s="33">
        <f>Table2_1[[#This Row],[Revenue]]-Table2_1[[#This Row],[COGS]]</f>
        <v>3416</v>
      </c>
      <c r="R443" s="39">
        <f>WEEKDAY(Table2_1[[#This Row],[Transaction  Date]])</f>
        <v>3</v>
      </c>
      <c r="S443" s="17" t="str">
        <f>IF(WEEKDAY(Table2_1[[#This Row],[Transaction  Date]],2)&lt;=5,"Weekday","Weekend")</f>
        <v>Weekday</v>
      </c>
      <c r="T443" s="37" t="str">
        <f>FLOOR(Table2_1[[#This Row],[Age]],15)&amp; "-"&amp; FLOOR(Table2_1[[#This Row],[Age]],15)+14</f>
        <v>60-74</v>
      </c>
    </row>
    <row r="444" spans="1:20" x14ac:dyDescent="0.3">
      <c r="A444" s="18">
        <v>45384</v>
      </c>
      <c r="B444" s="17" t="s">
        <v>1339</v>
      </c>
      <c r="C444" s="17" t="s">
        <v>26</v>
      </c>
      <c r="D444" s="18">
        <v>26189</v>
      </c>
      <c r="E444" s="16" t="s">
        <v>68</v>
      </c>
      <c r="F444" s="31">
        <v>86</v>
      </c>
      <c r="G444" s="17" t="s">
        <v>34</v>
      </c>
      <c r="H444" s="17" t="s">
        <v>43</v>
      </c>
      <c r="I444" s="17" t="s">
        <v>17</v>
      </c>
      <c r="J444" s="27">
        <v>0.1</v>
      </c>
      <c r="K444" s="17" t="s">
        <v>930</v>
      </c>
      <c r="L444" s="32">
        <v>14</v>
      </c>
      <c r="M444" s="32">
        <f>_xlfn.XLOOKUP(Table2_1[[#This Row],[Product Code]],Product_Code,Unit_Price,0)</f>
        <v>28</v>
      </c>
      <c r="N444" s="31">
        <f>DATEDIF(Table2_1[[#This Row],[Buyer Date of Birth]],Table2_1[[#This Row],[Transaction  Date]],"Y")</f>
        <v>52</v>
      </c>
      <c r="O444" s="33">
        <v>1204</v>
      </c>
      <c r="P444" s="33">
        <f>Table2_1[[#This Row],[Quantity Purchased]]*Table2_1[[#This Row],[UnitPrice]]*(1-Table2_1[[#This Row],[Discount]])</f>
        <v>2167.2000000000003</v>
      </c>
      <c r="Q444" s="33">
        <f>Table2_1[[#This Row],[Revenue]]-Table2_1[[#This Row],[COGS]]</f>
        <v>963.20000000000027</v>
      </c>
      <c r="R444" s="39">
        <f>WEEKDAY(Table2_1[[#This Row],[Transaction  Date]])</f>
        <v>3</v>
      </c>
      <c r="S444" s="17" t="str">
        <f>IF(WEEKDAY(Table2_1[[#This Row],[Transaction  Date]],2)&lt;=5,"Weekday","Weekend")</f>
        <v>Weekday</v>
      </c>
      <c r="T444" s="37" t="str">
        <f>FLOOR(Table2_1[[#This Row],[Age]],15)&amp; "-"&amp; FLOOR(Table2_1[[#This Row],[Age]],15)+14</f>
        <v>45-59</v>
      </c>
    </row>
    <row r="445" spans="1:20" x14ac:dyDescent="0.3">
      <c r="A445" s="18">
        <v>45387</v>
      </c>
      <c r="B445" s="17" t="s">
        <v>1340</v>
      </c>
      <c r="C445" s="17" t="s">
        <v>13</v>
      </c>
      <c r="D445" s="18">
        <v>20918</v>
      </c>
      <c r="E445" s="16" t="s">
        <v>14</v>
      </c>
      <c r="F445" s="31">
        <v>426</v>
      </c>
      <c r="G445" s="17" t="s">
        <v>27</v>
      </c>
      <c r="H445" s="17" t="s">
        <v>52</v>
      </c>
      <c r="I445" s="17" t="s">
        <v>29</v>
      </c>
      <c r="J445" s="27">
        <v>0.1</v>
      </c>
      <c r="K445" s="17" t="s">
        <v>927</v>
      </c>
      <c r="L445" s="32">
        <v>18</v>
      </c>
      <c r="M445" s="32">
        <f>_xlfn.XLOOKUP(Table2_1[[#This Row],[Product Code]],Product_Code,Unit_Price,0)</f>
        <v>22</v>
      </c>
      <c r="N445" s="31">
        <f>DATEDIF(Table2_1[[#This Row],[Buyer Date of Birth]],Table2_1[[#This Row],[Transaction  Date]],"Y")</f>
        <v>66</v>
      </c>
      <c r="O445" s="33">
        <v>7668</v>
      </c>
      <c r="P445" s="33">
        <f>Table2_1[[#This Row],[Quantity Purchased]]*Table2_1[[#This Row],[UnitPrice]]*(1-Table2_1[[#This Row],[Discount]])</f>
        <v>8434.8000000000011</v>
      </c>
      <c r="Q445" s="33">
        <f>Table2_1[[#This Row],[Revenue]]-Table2_1[[#This Row],[COGS]]</f>
        <v>766.80000000000109</v>
      </c>
      <c r="R445" s="39">
        <f>WEEKDAY(Table2_1[[#This Row],[Transaction  Date]])</f>
        <v>6</v>
      </c>
      <c r="S445" s="17" t="str">
        <f>IF(WEEKDAY(Table2_1[[#This Row],[Transaction  Date]],2)&lt;=5,"Weekday","Weekend")</f>
        <v>Weekday</v>
      </c>
      <c r="T445" s="37" t="str">
        <f>FLOOR(Table2_1[[#This Row],[Age]],15)&amp; "-"&amp; FLOOR(Table2_1[[#This Row],[Age]],15)+14</f>
        <v>60-74</v>
      </c>
    </row>
    <row r="446" spans="1:20" x14ac:dyDescent="0.3">
      <c r="A446" s="18">
        <v>45387</v>
      </c>
      <c r="B446" s="17" t="s">
        <v>1027</v>
      </c>
      <c r="C446" s="17" t="s">
        <v>38</v>
      </c>
      <c r="D446" s="18">
        <v>32336</v>
      </c>
      <c r="E446" s="16" t="s">
        <v>20</v>
      </c>
      <c r="F446" s="31">
        <v>449</v>
      </c>
      <c r="G446" s="17" t="s">
        <v>42</v>
      </c>
      <c r="H446" s="17" t="s">
        <v>43</v>
      </c>
      <c r="I446" s="17" t="s">
        <v>23</v>
      </c>
      <c r="J446" s="27">
        <v>0.1</v>
      </c>
      <c r="K446" s="17" t="s">
        <v>926</v>
      </c>
      <c r="L446" s="32">
        <v>10</v>
      </c>
      <c r="M446" s="32">
        <f>_xlfn.XLOOKUP(Table2_1[[#This Row],[Product Code]],Product_Code,Unit_Price,0)</f>
        <v>11</v>
      </c>
      <c r="N446" s="31">
        <f>DATEDIF(Table2_1[[#This Row],[Buyer Date of Birth]],Table2_1[[#This Row],[Transaction  Date]],"Y")</f>
        <v>35</v>
      </c>
      <c r="O446" s="33">
        <v>4490</v>
      </c>
      <c r="P446" s="33">
        <f>Table2_1[[#This Row],[Quantity Purchased]]*Table2_1[[#This Row],[UnitPrice]]*(1-Table2_1[[#This Row],[Discount]])</f>
        <v>4445.1000000000004</v>
      </c>
      <c r="Q446" s="33">
        <f>Table2_1[[#This Row],[Revenue]]-Table2_1[[#This Row],[COGS]]</f>
        <v>-44.899999999999636</v>
      </c>
      <c r="R446" s="39">
        <f>WEEKDAY(Table2_1[[#This Row],[Transaction  Date]])</f>
        <v>6</v>
      </c>
      <c r="S446" s="17" t="str">
        <f>IF(WEEKDAY(Table2_1[[#This Row],[Transaction  Date]],2)&lt;=5,"Weekday","Weekend")</f>
        <v>Weekday</v>
      </c>
      <c r="T446" s="37" t="str">
        <f>FLOOR(Table2_1[[#This Row],[Age]],15)&amp; "-"&amp; FLOOR(Table2_1[[#This Row],[Age]],15)+14</f>
        <v>30-44</v>
      </c>
    </row>
    <row r="447" spans="1:20" x14ac:dyDescent="0.3">
      <c r="A447" s="18">
        <v>45387</v>
      </c>
      <c r="B447" s="17" t="s">
        <v>1341</v>
      </c>
      <c r="C447" s="17" t="s">
        <v>51</v>
      </c>
      <c r="D447" s="18">
        <v>19953</v>
      </c>
      <c r="E447" s="16" t="s">
        <v>14</v>
      </c>
      <c r="F447" s="31">
        <v>430</v>
      </c>
      <c r="G447" s="17" t="s">
        <v>15</v>
      </c>
      <c r="H447" s="17" t="s">
        <v>52</v>
      </c>
      <c r="I447" s="17" t="s">
        <v>17</v>
      </c>
      <c r="J447" s="27">
        <v>0.1</v>
      </c>
      <c r="K447" s="17" t="s">
        <v>929</v>
      </c>
      <c r="L447" s="32">
        <v>10</v>
      </c>
      <c r="M447" s="32">
        <f>_xlfn.XLOOKUP(Table2_1[[#This Row],[Product Code]],Product_Code,Unit_Price,0)</f>
        <v>14</v>
      </c>
      <c r="N447" s="31">
        <f>DATEDIF(Table2_1[[#This Row],[Buyer Date of Birth]],Table2_1[[#This Row],[Transaction  Date]],"Y")</f>
        <v>69</v>
      </c>
      <c r="O447" s="33">
        <v>4300</v>
      </c>
      <c r="P447" s="33">
        <f>Table2_1[[#This Row],[Quantity Purchased]]*Table2_1[[#This Row],[UnitPrice]]*(1-Table2_1[[#This Row],[Discount]])</f>
        <v>5418</v>
      </c>
      <c r="Q447" s="33">
        <f>Table2_1[[#This Row],[Revenue]]-Table2_1[[#This Row],[COGS]]</f>
        <v>1118</v>
      </c>
      <c r="R447" s="39">
        <f>WEEKDAY(Table2_1[[#This Row],[Transaction  Date]])</f>
        <v>6</v>
      </c>
      <c r="S447" s="17" t="str">
        <f>IF(WEEKDAY(Table2_1[[#This Row],[Transaction  Date]],2)&lt;=5,"Weekday","Weekend")</f>
        <v>Weekday</v>
      </c>
      <c r="T447" s="37" t="str">
        <f>FLOOR(Table2_1[[#This Row],[Age]],15)&amp; "-"&amp; FLOOR(Table2_1[[#This Row],[Age]],15)+14</f>
        <v>60-74</v>
      </c>
    </row>
    <row r="448" spans="1:20" x14ac:dyDescent="0.3">
      <c r="A448" s="18">
        <v>45388</v>
      </c>
      <c r="B448" s="17" t="s">
        <v>1859</v>
      </c>
      <c r="C448" s="17" t="s">
        <v>78</v>
      </c>
      <c r="D448" s="18">
        <v>20207</v>
      </c>
      <c r="E448" s="16" t="s">
        <v>33</v>
      </c>
      <c r="F448" s="31">
        <v>373</v>
      </c>
      <c r="G448" s="17" t="s">
        <v>21</v>
      </c>
      <c r="H448" s="17" t="s">
        <v>52</v>
      </c>
      <c r="I448" s="17" t="s">
        <v>29</v>
      </c>
      <c r="J448" s="27">
        <v>0.1</v>
      </c>
      <c r="K448" s="17" t="s">
        <v>934</v>
      </c>
      <c r="L448" s="32">
        <v>10</v>
      </c>
      <c r="M448" s="32">
        <f>_xlfn.XLOOKUP(Table2_1[[#This Row],[Product Code]],Product_Code,Unit_Price,0)</f>
        <v>45</v>
      </c>
      <c r="N448" s="31">
        <f>DATEDIF(Table2_1[[#This Row],[Buyer Date of Birth]],Table2_1[[#This Row],[Transaction  Date]],"Y")</f>
        <v>68</v>
      </c>
      <c r="O448" s="33">
        <v>3730</v>
      </c>
      <c r="P448" s="33">
        <f>Table2_1[[#This Row],[Quantity Purchased]]*Table2_1[[#This Row],[UnitPrice]]*(1-Table2_1[[#This Row],[Discount]])</f>
        <v>15106.5</v>
      </c>
      <c r="Q448" s="33">
        <f>Table2_1[[#This Row],[Revenue]]-Table2_1[[#This Row],[COGS]]</f>
        <v>11376.5</v>
      </c>
      <c r="R448" s="39">
        <f>WEEKDAY(Table2_1[[#This Row],[Transaction  Date]])</f>
        <v>7</v>
      </c>
      <c r="S448" s="17" t="str">
        <f>IF(WEEKDAY(Table2_1[[#This Row],[Transaction  Date]],2)&lt;=5,"Weekday","Weekend")</f>
        <v>Weekend</v>
      </c>
      <c r="T448" s="37" t="str">
        <f>FLOOR(Table2_1[[#This Row],[Age]],15)&amp; "-"&amp; FLOOR(Table2_1[[#This Row],[Age]],15)+14</f>
        <v>60-74</v>
      </c>
    </row>
    <row r="449" spans="1:20" x14ac:dyDescent="0.3">
      <c r="A449" s="18">
        <v>45388</v>
      </c>
      <c r="B449" s="17" t="s">
        <v>1342</v>
      </c>
      <c r="C449" s="17" t="s">
        <v>94</v>
      </c>
      <c r="D449" s="18">
        <v>21183</v>
      </c>
      <c r="E449" s="16" t="s">
        <v>20</v>
      </c>
      <c r="F449" s="31">
        <v>143</v>
      </c>
      <c r="G449" s="17" t="s">
        <v>34</v>
      </c>
      <c r="H449" s="17" t="s">
        <v>43</v>
      </c>
      <c r="I449" s="17" t="s">
        <v>29</v>
      </c>
      <c r="J449" s="27">
        <v>0.1</v>
      </c>
      <c r="K449" s="17" t="s">
        <v>930</v>
      </c>
      <c r="L449" s="32">
        <v>14</v>
      </c>
      <c r="M449" s="32">
        <f>_xlfn.XLOOKUP(Table2_1[[#This Row],[Product Code]],Product_Code,Unit_Price,0)</f>
        <v>28</v>
      </c>
      <c r="N449" s="31">
        <f>DATEDIF(Table2_1[[#This Row],[Buyer Date of Birth]],Table2_1[[#This Row],[Transaction  Date]],"Y")</f>
        <v>66</v>
      </c>
      <c r="O449" s="33">
        <v>2002</v>
      </c>
      <c r="P449" s="33">
        <f>Table2_1[[#This Row],[Quantity Purchased]]*Table2_1[[#This Row],[UnitPrice]]*(1-Table2_1[[#This Row],[Discount]])</f>
        <v>3603.6</v>
      </c>
      <c r="Q449" s="33">
        <f>Table2_1[[#This Row],[Revenue]]-Table2_1[[#This Row],[COGS]]</f>
        <v>1601.6</v>
      </c>
      <c r="R449" s="39">
        <f>WEEKDAY(Table2_1[[#This Row],[Transaction  Date]])</f>
        <v>7</v>
      </c>
      <c r="S449" s="17" t="str">
        <f>IF(WEEKDAY(Table2_1[[#This Row],[Transaction  Date]],2)&lt;=5,"Weekday","Weekend")</f>
        <v>Weekend</v>
      </c>
      <c r="T449" s="37" t="str">
        <f>FLOOR(Table2_1[[#This Row],[Age]],15)&amp; "-"&amp; FLOOR(Table2_1[[#This Row],[Age]],15)+14</f>
        <v>60-74</v>
      </c>
    </row>
    <row r="450" spans="1:20" x14ac:dyDescent="0.3">
      <c r="A450" s="18">
        <v>45388</v>
      </c>
      <c r="B450" s="17" t="s">
        <v>1343</v>
      </c>
      <c r="C450" s="17" t="s">
        <v>46</v>
      </c>
      <c r="D450" s="18">
        <v>26682</v>
      </c>
      <c r="E450" s="16" t="s">
        <v>68</v>
      </c>
      <c r="F450" s="31">
        <v>405</v>
      </c>
      <c r="G450" s="17" t="s">
        <v>27</v>
      </c>
      <c r="H450" s="17" t="s">
        <v>28</v>
      </c>
      <c r="I450" s="17" t="s">
        <v>17</v>
      </c>
      <c r="J450" s="27">
        <v>0.1</v>
      </c>
      <c r="K450" s="17" t="s">
        <v>927</v>
      </c>
      <c r="L450" s="32">
        <v>18</v>
      </c>
      <c r="M450" s="32">
        <f>_xlfn.XLOOKUP(Table2_1[[#This Row],[Product Code]],Product_Code,Unit_Price,0)</f>
        <v>22</v>
      </c>
      <c r="N450" s="31">
        <f>DATEDIF(Table2_1[[#This Row],[Buyer Date of Birth]],Table2_1[[#This Row],[Transaction  Date]],"Y")</f>
        <v>51</v>
      </c>
      <c r="O450" s="33">
        <v>7290</v>
      </c>
      <c r="P450" s="33">
        <f>Table2_1[[#This Row],[Quantity Purchased]]*Table2_1[[#This Row],[UnitPrice]]*(1-Table2_1[[#This Row],[Discount]])</f>
        <v>8019</v>
      </c>
      <c r="Q450" s="33">
        <f>Table2_1[[#This Row],[Revenue]]-Table2_1[[#This Row],[COGS]]</f>
        <v>729</v>
      </c>
      <c r="R450" s="39">
        <f>WEEKDAY(Table2_1[[#This Row],[Transaction  Date]])</f>
        <v>7</v>
      </c>
      <c r="S450" s="17" t="str">
        <f>IF(WEEKDAY(Table2_1[[#This Row],[Transaction  Date]],2)&lt;=5,"Weekday","Weekend")</f>
        <v>Weekend</v>
      </c>
      <c r="T450" s="37" t="str">
        <f>FLOOR(Table2_1[[#This Row],[Age]],15)&amp; "-"&amp; FLOOR(Table2_1[[#This Row],[Age]],15)+14</f>
        <v>45-59</v>
      </c>
    </row>
    <row r="451" spans="1:20" x14ac:dyDescent="0.3">
      <c r="A451" s="18">
        <v>45388</v>
      </c>
      <c r="B451" s="17" t="s">
        <v>1344</v>
      </c>
      <c r="C451" s="17" t="s">
        <v>78</v>
      </c>
      <c r="D451" s="18">
        <v>25930</v>
      </c>
      <c r="E451" s="16" t="s">
        <v>68</v>
      </c>
      <c r="F451" s="31">
        <v>119</v>
      </c>
      <c r="G451" s="17" t="s">
        <v>34</v>
      </c>
      <c r="H451" s="17" t="s">
        <v>43</v>
      </c>
      <c r="I451" s="17" t="s">
        <v>17</v>
      </c>
      <c r="J451" s="27">
        <v>0.1</v>
      </c>
      <c r="K451" s="17" t="s">
        <v>930</v>
      </c>
      <c r="L451" s="32">
        <v>14</v>
      </c>
      <c r="M451" s="32">
        <f>_xlfn.XLOOKUP(Table2_1[[#This Row],[Product Code]],Product_Code,Unit_Price,0)</f>
        <v>28</v>
      </c>
      <c r="N451" s="31">
        <f>DATEDIF(Table2_1[[#This Row],[Buyer Date of Birth]],Table2_1[[#This Row],[Transaction  Date]],"Y")</f>
        <v>53</v>
      </c>
      <c r="O451" s="33">
        <v>1666</v>
      </c>
      <c r="P451" s="33">
        <f>Table2_1[[#This Row],[Quantity Purchased]]*Table2_1[[#This Row],[UnitPrice]]*(1-Table2_1[[#This Row],[Discount]])</f>
        <v>2998.8</v>
      </c>
      <c r="Q451" s="33">
        <f>Table2_1[[#This Row],[Revenue]]-Table2_1[[#This Row],[COGS]]</f>
        <v>1332.8000000000002</v>
      </c>
      <c r="R451" s="39">
        <f>WEEKDAY(Table2_1[[#This Row],[Transaction  Date]])</f>
        <v>7</v>
      </c>
      <c r="S451" s="17" t="str">
        <f>IF(WEEKDAY(Table2_1[[#This Row],[Transaction  Date]],2)&lt;=5,"Weekday","Weekend")</f>
        <v>Weekend</v>
      </c>
      <c r="T451" s="37" t="str">
        <f>FLOOR(Table2_1[[#This Row],[Age]],15)&amp; "-"&amp; FLOOR(Table2_1[[#This Row],[Age]],15)+14</f>
        <v>45-59</v>
      </c>
    </row>
    <row r="452" spans="1:20" x14ac:dyDescent="0.3">
      <c r="A452" s="18">
        <v>45388</v>
      </c>
      <c r="B452" s="17" t="s">
        <v>1345</v>
      </c>
      <c r="C452" s="17" t="s">
        <v>51</v>
      </c>
      <c r="D452" s="18">
        <v>38417</v>
      </c>
      <c r="E452" s="16" t="s">
        <v>14</v>
      </c>
      <c r="F452" s="31">
        <v>209</v>
      </c>
      <c r="G452" s="17" t="s">
        <v>64</v>
      </c>
      <c r="H452" s="17" t="s">
        <v>35</v>
      </c>
      <c r="I452" s="17" t="s">
        <v>17</v>
      </c>
      <c r="J452" s="27">
        <v>0.1</v>
      </c>
      <c r="K452" s="17" t="s">
        <v>933</v>
      </c>
      <c r="L452" s="32">
        <v>5</v>
      </c>
      <c r="M452" s="32">
        <f>_xlfn.XLOOKUP(Table2_1[[#This Row],[Product Code]],Product_Code,Unit_Price,0)</f>
        <v>7</v>
      </c>
      <c r="N452" s="31">
        <f>DATEDIF(Table2_1[[#This Row],[Buyer Date of Birth]],Table2_1[[#This Row],[Transaction  Date]],"Y")</f>
        <v>19</v>
      </c>
      <c r="O452" s="33">
        <v>1045</v>
      </c>
      <c r="P452" s="33">
        <f>Table2_1[[#This Row],[Quantity Purchased]]*Table2_1[[#This Row],[UnitPrice]]*(1-Table2_1[[#This Row],[Discount]])</f>
        <v>1316.7</v>
      </c>
      <c r="Q452" s="33">
        <f>Table2_1[[#This Row],[Revenue]]-Table2_1[[#This Row],[COGS]]</f>
        <v>271.70000000000005</v>
      </c>
      <c r="R452" s="39">
        <f>WEEKDAY(Table2_1[[#This Row],[Transaction  Date]])</f>
        <v>7</v>
      </c>
      <c r="S452" s="17" t="str">
        <f>IF(WEEKDAY(Table2_1[[#This Row],[Transaction  Date]],2)&lt;=5,"Weekday","Weekend")</f>
        <v>Weekend</v>
      </c>
      <c r="T452" s="37" t="str">
        <f>FLOOR(Table2_1[[#This Row],[Age]],15)&amp; "-"&amp; FLOOR(Table2_1[[#This Row],[Age]],15)+14</f>
        <v>15-29</v>
      </c>
    </row>
    <row r="453" spans="1:20" x14ac:dyDescent="0.3">
      <c r="A453" s="18">
        <v>45388</v>
      </c>
      <c r="B453" s="17" t="s">
        <v>1346</v>
      </c>
      <c r="C453" s="17" t="s">
        <v>71</v>
      </c>
      <c r="D453" s="18">
        <v>38577</v>
      </c>
      <c r="E453" s="16" t="s">
        <v>68</v>
      </c>
      <c r="F453" s="31">
        <v>12</v>
      </c>
      <c r="G453" s="17" t="s">
        <v>34</v>
      </c>
      <c r="H453" s="17" t="s">
        <v>35</v>
      </c>
      <c r="I453" s="17" t="s">
        <v>17</v>
      </c>
      <c r="J453" s="27">
        <v>0.1</v>
      </c>
      <c r="K453" s="17" t="s">
        <v>930</v>
      </c>
      <c r="L453" s="32">
        <v>14</v>
      </c>
      <c r="M453" s="32">
        <f>_xlfn.XLOOKUP(Table2_1[[#This Row],[Product Code]],Product_Code,Unit_Price,0)</f>
        <v>28</v>
      </c>
      <c r="N453" s="31">
        <f>DATEDIF(Table2_1[[#This Row],[Buyer Date of Birth]],Table2_1[[#This Row],[Transaction  Date]],"Y")</f>
        <v>18</v>
      </c>
      <c r="O453" s="33">
        <v>168</v>
      </c>
      <c r="P453" s="33">
        <f>Table2_1[[#This Row],[Quantity Purchased]]*Table2_1[[#This Row],[UnitPrice]]*(1-Table2_1[[#This Row],[Discount]])</f>
        <v>302.40000000000003</v>
      </c>
      <c r="Q453" s="33">
        <f>Table2_1[[#This Row],[Revenue]]-Table2_1[[#This Row],[COGS]]</f>
        <v>134.40000000000003</v>
      </c>
      <c r="R453" s="39">
        <f>WEEKDAY(Table2_1[[#This Row],[Transaction  Date]])</f>
        <v>7</v>
      </c>
      <c r="S453" s="17" t="str">
        <f>IF(WEEKDAY(Table2_1[[#This Row],[Transaction  Date]],2)&lt;=5,"Weekday","Weekend")</f>
        <v>Weekend</v>
      </c>
      <c r="T453" s="37" t="str">
        <f>FLOOR(Table2_1[[#This Row],[Age]],15)&amp; "-"&amp; FLOOR(Table2_1[[#This Row],[Age]],15)+14</f>
        <v>15-29</v>
      </c>
    </row>
    <row r="454" spans="1:20" x14ac:dyDescent="0.3">
      <c r="A454" s="18">
        <v>45389</v>
      </c>
      <c r="B454" s="17" t="s">
        <v>1860</v>
      </c>
      <c r="C454" s="17" t="s">
        <v>94</v>
      </c>
      <c r="D454" s="18">
        <v>30949</v>
      </c>
      <c r="E454" s="16" t="s">
        <v>68</v>
      </c>
      <c r="F454" s="31">
        <v>205</v>
      </c>
      <c r="G454" s="17" t="s">
        <v>15</v>
      </c>
      <c r="H454" s="17" t="s">
        <v>48</v>
      </c>
      <c r="I454" s="17" t="s">
        <v>29</v>
      </c>
      <c r="J454" s="27">
        <v>0.1</v>
      </c>
      <c r="K454" s="17" t="s">
        <v>929</v>
      </c>
      <c r="L454" s="32">
        <v>10</v>
      </c>
      <c r="M454" s="32">
        <f>_xlfn.XLOOKUP(Table2_1[[#This Row],[Product Code]],Product_Code,Unit_Price,0)</f>
        <v>14</v>
      </c>
      <c r="N454" s="31">
        <f>DATEDIF(Table2_1[[#This Row],[Buyer Date of Birth]],Table2_1[[#This Row],[Transaction  Date]],"Y")</f>
        <v>39</v>
      </c>
      <c r="O454" s="33">
        <v>2050</v>
      </c>
      <c r="P454" s="33">
        <f>Table2_1[[#This Row],[Quantity Purchased]]*Table2_1[[#This Row],[UnitPrice]]*(1-Table2_1[[#This Row],[Discount]])</f>
        <v>2583</v>
      </c>
      <c r="Q454" s="33">
        <f>Table2_1[[#This Row],[Revenue]]-Table2_1[[#This Row],[COGS]]</f>
        <v>533</v>
      </c>
      <c r="R454" s="39">
        <f>WEEKDAY(Table2_1[[#This Row],[Transaction  Date]])</f>
        <v>1</v>
      </c>
      <c r="S454" s="17" t="str">
        <f>IF(WEEKDAY(Table2_1[[#This Row],[Transaction  Date]],2)&lt;=5,"Weekday","Weekend")</f>
        <v>Weekend</v>
      </c>
      <c r="T454" s="37" t="str">
        <f>FLOOR(Table2_1[[#This Row],[Age]],15)&amp; "-"&amp; FLOOR(Table2_1[[#This Row],[Age]],15)+14</f>
        <v>30-44</v>
      </c>
    </row>
    <row r="455" spans="1:20" x14ac:dyDescent="0.3">
      <c r="A455" s="18">
        <v>45389</v>
      </c>
      <c r="B455" s="17" t="s">
        <v>1347</v>
      </c>
      <c r="C455" s="17" t="s">
        <v>46</v>
      </c>
      <c r="D455" s="18">
        <v>23604</v>
      </c>
      <c r="E455" s="16" t="s">
        <v>68</v>
      </c>
      <c r="F455" s="31">
        <v>351</v>
      </c>
      <c r="G455" s="17" t="s">
        <v>42</v>
      </c>
      <c r="H455" s="17" t="s">
        <v>52</v>
      </c>
      <c r="I455" s="17" t="s">
        <v>29</v>
      </c>
      <c r="J455" s="27">
        <v>0.1</v>
      </c>
      <c r="K455" s="17" t="s">
        <v>926</v>
      </c>
      <c r="L455" s="32">
        <v>10</v>
      </c>
      <c r="M455" s="32">
        <f>_xlfn.XLOOKUP(Table2_1[[#This Row],[Product Code]],Product_Code,Unit_Price,0)</f>
        <v>11</v>
      </c>
      <c r="N455" s="31">
        <f>DATEDIF(Table2_1[[#This Row],[Buyer Date of Birth]],Table2_1[[#This Row],[Transaction  Date]],"Y")</f>
        <v>59</v>
      </c>
      <c r="O455" s="33">
        <v>3510</v>
      </c>
      <c r="P455" s="33">
        <f>Table2_1[[#This Row],[Quantity Purchased]]*Table2_1[[#This Row],[UnitPrice]]*(1-Table2_1[[#This Row],[Discount]])</f>
        <v>3474.9</v>
      </c>
      <c r="Q455" s="33">
        <f>Table2_1[[#This Row],[Revenue]]-Table2_1[[#This Row],[COGS]]</f>
        <v>-35.099999999999909</v>
      </c>
      <c r="R455" s="39">
        <f>WEEKDAY(Table2_1[[#This Row],[Transaction  Date]])</f>
        <v>1</v>
      </c>
      <c r="S455" s="17" t="str">
        <f>IF(WEEKDAY(Table2_1[[#This Row],[Transaction  Date]],2)&lt;=5,"Weekday","Weekend")</f>
        <v>Weekend</v>
      </c>
      <c r="T455" s="37" t="str">
        <f>FLOOR(Table2_1[[#This Row],[Age]],15)&amp; "-"&amp; FLOOR(Table2_1[[#This Row],[Age]],15)+14</f>
        <v>45-59</v>
      </c>
    </row>
    <row r="456" spans="1:20" x14ac:dyDescent="0.3">
      <c r="A456" s="18">
        <v>45389</v>
      </c>
      <c r="B456" s="17" t="s">
        <v>1348</v>
      </c>
      <c r="C456" s="17" t="s">
        <v>71</v>
      </c>
      <c r="D456" s="18">
        <v>38203</v>
      </c>
      <c r="E456" s="16" t="s">
        <v>68</v>
      </c>
      <c r="F456" s="31">
        <v>27</v>
      </c>
      <c r="G456" s="17" t="s">
        <v>34</v>
      </c>
      <c r="H456" s="17" t="s">
        <v>28</v>
      </c>
      <c r="I456" s="17" t="s">
        <v>17</v>
      </c>
      <c r="J456" s="27">
        <v>0.1</v>
      </c>
      <c r="K456" s="17" t="s">
        <v>930</v>
      </c>
      <c r="L456" s="32">
        <v>14</v>
      </c>
      <c r="M456" s="32">
        <f>_xlfn.XLOOKUP(Table2_1[[#This Row],[Product Code]],Product_Code,Unit_Price,0)</f>
        <v>28</v>
      </c>
      <c r="N456" s="31">
        <f>DATEDIF(Table2_1[[#This Row],[Buyer Date of Birth]],Table2_1[[#This Row],[Transaction  Date]],"Y")</f>
        <v>19</v>
      </c>
      <c r="O456" s="33">
        <v>378</v>
      </c>
      <c r="P456" s="33">
        <f>Table2_1[[#This Row],[Quantity Purchased]]*Table2_1[[#This Row],[UnitPrice]]*(1-Table2_1[[#This Row],[Discount]])</f>
        <v>680.4</v>
      </c>
      <c r="Q456" s="33">
        <f>Table2_1[[#This Row],[Revenue]]-Table2_1[[#This Row],[COGS]]</f>
        <v>302.39999999999998</v>
      </c>
      <c r="R456" s="39">
        <f>WEEKDAY(Table2_1[[#This Row],[Transaction  Date]])</f>
        <v>1</v>
      </c>
      <c r="S456" s="17" t="str">
        <f>IF(WEEKDAY(Table2_1[[#This Row],[Transaction  Date]],2)&lt;=5,"Weekday","Weekend")</f>
        <v>Weekend</v>
      </c>
      <c r="T456" s="37" t="str">
        <f>FLOOR(Table2_1[[#This Row],[Age]],15)&amp; "-"&amp; FLOOR(Table2_1[[#This Row],[Age]],15)+14</f>
        <v>15-29</v>
      </c>
    </row>
    <row r="457" spans="1:20" x14ac:dyDescent="0.3">
      <c r="A457" s="18">
        <v>45389</v>
      </c>
      <c r="B457" s="17" t="s">
        <v>1349</v>
      </c>
      <c r="C457" s="17" t="s">
        <v>26</v>
      </c>
      <c r="D457" s="18">
        <v>37961</v>
      </c>
      <c r="E457" s="16" t="s">
        <v>33</v>
      </c>
      <c r="F457" s="31">
        <v>412</v>
      </c>
      <c r="G457" s="17" t="s">
        <v>64</v>
      </c>
      <c r="H457" s="17" t="s">
        <v>52</v>
      </c>
      <c r="I457" s="17" t="s">
        <v>17</v>
      </c>
      <c r="J457" s="27">
        <v>0.1</v>
      </c>
      <c r="K457" s="17" t="s">
        <v>933</v>
      </c>
      <c r="L457" s="32">
        <v>5</v>
      </c>
      <c r="M457" s="32">
        <f>_xlfn.XLOOKUP(Table2_1[[#This Row],[Product Code]],Product_Code,Unit_Price,0)</f>
        <v>7</v>
      </c>
      <c r="N457" s="31">
        <f>DATEDIF(Table2_1[[#This Row],[Buyer Date of Birth]],Table2_1[[#This Row],[Transaction  Date]],"Y")</f>
        <v>20</v>
      </c>
      <c r="O457" s="33">
        <v>2060</v>
      </c>
      <c r="P457" s="33">
        <f>Table2_1[[#This Row],[Quantity Purchased]]*Table2_1[[#This Row],[UnitPrice]]*(1-Table2_1[[#This Row],[Discount]])</f>
        <v>2595.6</v>
      </c>
      <c r="Q457" s="33">
        <f>Table2_1[[#This Row],[Revenue]]-Table2_1[[#This Row],[COGS]]</f>
        <v>535.59999999999991</v>
      </c>
      <c r="R457" s="39">
        <f>WEEKDAY(Table2_1[[#This Row],[Transaction  Date]])</f>
        <v>1</v>
      </c>
      <c r="S457" s="17" t="str">
        <f>IF(WEEKDAY(Table2_1[[#This Row],[Transaction  Date]],2)&lt;=5,"Weekday","Weekend")</f>
        <v>Weekend</v>
      </c>
      <c r="T457" s="37" t="str">
        <f>FLOOR(Table2_1[[#This Row],[Age]],15)&amp; "-"&amp; FLOOR(Table2_1[[#This Row],[Age]],15)+14</f>
        <v>15-29</v>
      </c>
    </row>
    <row r="458" spans="1:20" x14ac:dyDescent="0.3">
      <c r="A458" s="18">
        <v>45389</v>
      </c>
      <c r="B458" s="17" t="s">
        <v>1350</v>
      </c>
      <c r="C458" s="17" t="s">
        <v>26</v>
      </c>
      <c r="D458" s="18">
        <v>29272</v>
      </c>
      <c r="E458" s="16" t="s">
        <v>20</v>
      </c>
      <c r="F458" s="31">
        <v>335</v>
      </c>
      <c r="G458" s="17" t="s">
        <v>59</v>
      </c>
      <c r="H458" s="17" t="s">
        <v>43</v>
      </c>
      <c r="I458" s="17" t="s">
        <v>17</v>
      </c>
      <c r="J458" s="27">
        <v>0.1</v>
      </c>
      <c r="K458" s="17" t="s">
        <v>932</v>
      </c>
      <c r="L458" s="32">
        <v>19</v>
      </c>
      <c r="M458" s="32">
        <f>_xlfn.XLOOKUP(Table2_1[[#This Row],[Product Code]],Product_Code,Unit_Price,0)</f>
        <v>23</v>
      </c>
      <c r="N458" s="31">
        <f>DATEDIF(Table2_1[[#This Row],[Buyer Date of Birth]],Table2_1[[#This Row],[Transaction  Date]],"Y")</f>
        <v>44</v>
      </c>
      <c r="O458" s="33">
        <v>6365</v>
      </c>
      <c r="P458" s="33">
        <f>Table2_1[[#This Row],[Quantity Purchased]]*Table2_1[[#This Row],[UnitPrice]]*(1-Table2_1[[#This Row],[Discount]])</f>
        <v>6934.5</v>
      </c>
      <c r="Q458" s="33">
        <f>Table2_1[[#This Row],[Revenue]]-Table2_1[[#This Row],[COGS]]</f>
        <v>569.5</v>
      </c>
      <c r="R458" s="39">
        <f>WEEKDAY(Table2_1[[#This Row],[Transaction  Date]])</f>
        <v>1</v>
      </c>
      <c r="S458" s="17" t="str">
        <f>IF(WEEKDAY(Table2_1[[#This Row],[Transaction  Date]],2)&lt;=5,"Weekday","Weekend")</f>
        <v>Weekend</v>
      </c>
      <c r="T458" s="37" t="str">
        <f>FLOOR(Table2_1[[#This Row],[Age]],15)&amp; "-"&amp; FLOOR(Table2_1[[#This Row],[Age]],15)+14</f>
        <v>30-44</v>
      </c>
    </row>
    <row r="459" spans="1:20" x14ac:dyDescent="0.3">
      <c r="A459" s="18">
        <v>45389</v>
      </c>
      <c r="B459" s="17" t="s">
        <v>1351</v>
      </c>
      <c r="C459" s="17" t="s">
        <v>83</v>
      </c>
      <c r="D459" s="18">
        <v>28459</v>
      </c>
      <c r="E459" s="16" t="s">
        <v>68</v>
      </c>
      <c r="F459" s="31">
        <v>300</v>
      </c>
      <c r="G459" s="17" t="s">
        <v>34</v>
      </c>
      <c r="H459" s="17" t="s">
        <v>43</v>
      </c>
      <c r="I459" s="17" t="s">
        <v>17</v>
      </c>
      <c r="J459" s="27">
        <v>0.1</v>
      </c>
      <c r="K459" s="17" t="s">
        <v>930</v>
      </c>
      <c r="L459" s="32">
        <v>14</v>
      </c>
      <c r="M459" s="32">
        <f>_xlfn.XLOOKUP(Table2_1[[#This Row],[Product Code]],Product_Code,Unit_Price,0)</f>
        <v>28</v>
      </c>
      <c r="N459" s="31">
        <f>DATEDIF(Table2_1[[#This Row],[Buyer Date of Birth]],Table2_1[[#This Row],[Transaction  Date]],"Y")</f>
        <v>46</v>
      </c>
      <c r="O459" s="33">
        <v>4200</v>
      </c>
      <c r="P459" s="33">
        <f>Table2_1[[#This Row],[Quantity Purchased]]*Table2_1[[#This Row],[UnitPrice]]*(1-Table2_1[[#This Row],[Discount]])</f>
        <v>7560</v>
      </c>
      <c r="Q459" s="33">
        <f>Table2_1[[#This Row],[Revenue]]-Table2_1[[#This Row],[COGS]]</f>
        <v>3360</v>
      </c>
      <c r="R459" s="39">
        <f>WEEKDAY(Table2_1[[#This Row],[Transaction  Date]])</f>
        <v>1</v>
      </c>
      <c r="S459" s="17" t="str">
        <f>IF(WEEKDAY(Table2_1[[#This Row],[Transaction  Date]],2)&lt;=5,"Weekday","Weekend")</f>
        <v>Weekend</v>
      </c>
      <c r="T459" s="37" t="str">
        <f>FLOOR(Table2_1[[#This Row],[Age]],15)&amp; "-"&amp; FLOOR(Table2_1[[#This Row],[Age]],15)+14</f>
        <v>45-59</v>
      </c>
    </row>
    <row r="460" spans="1:20" x14ac:dyDescent="0.3">
      <c r="A460" s="18">
        <v>45389</v>
      </c>
      <c r="B460" s="17" t="s">
        <v>1352</v>
      </c>
      <c r="C460" s="17" t="s">
        <v>32</v>
      </c>
      <c r="D460" s="18">
        <v>22311</v>
      </c>
      <c r="E460" s="16" t="s">
        <v>14</v>
      </c>
      <c r="F460" s="31">
        <v>157</v>
      </c>
      <c r="G460" s="17" t="s">
        <v>64</v>
      </c>
      <c r="H460" s="17" t="s">
        <v>43</v>
      </c>
      <c r="I460" s="17" t="s">
        <v>17</v>
      </c>
      <c r="J460" s="27">
        <v>0.1</v>
      </c>
      <c r="K460" s="17" t="s">
        <v>933</v>
      </c>
      <c r="L460" s="32">
        <v>5</v>
      </c>
      <c r="M460" s="32">
        <f>_xlfn.XLOOKUP(Table2_1[[#This Row],[Product Code]],Product_Code,Unit_Price,0)</f>
        <v>7</v>
      </c>
      <c r="N460" s="31">
        <f>DATEDIF(Table2_1[[#This Row],[Buyer Date of Birth]],Table2_1[[#This Row],[Transaction  Date]],"Y")</f>
        <v>63</v>
      </c>
      <c r="O460" s="33">
        <v>785</v>
      </c>
      <c r="P460" s="33">
        <f>Table2_1[[#This Row],[Quantity Purchased]]*Table2_1[[#This Row],[UnitPrice]]*(1-Table2_1[[#This Row],[Discount]])</f>
        <v>989.1</v>
      </c>
      <c r="Q460" s="33">
        <f>Table2_1[[#This Row],[Revenue]]-Table2_1[[#This Row],[COGS]]</f>
        <v>204.10000000000002</v>
      </c>
      <c r="R460" s="39">
        <f>WEEKDAY(Table2_1[[#This Row],[Transaction  Date]])</f>
        <v>1</v>
      </c>
      <c r="S460" s="17" t="str">
        <f>IF(WEEKDAY(Table2_1[[#This Row],[Transaction  Date]],2)&lt;=5,"Weekday","Weekend")</f>
        <v>Weekend</v>
      </c>
      <c r="T460" s="37" t="str">
        <f>FLOOR(Table2_1[[#This Row],[Age]],15)&amp; "-"&amp; FLOOR(Table2_1[[#This Row],[Age]],15)+14</f>
        <v>60-74</v>
      </c>
    </row>
    <row r="461" spans="1:20" x14ac:dyDescent="0.3">
      <c r="A461" s="18">
        <v>45389</v>
      </c>
      <c r="B461" s="17" t="s">
        <v>1353</v>
      </c>
      <c r="C461" s="17" t="s">
        <v>38</v>
      </c>
      <c r="D461" s="18">
        <v>24080</v>
      </c>
      <c r="E461" s="16" t="s">
        <v>14</v>
      </c>
      <c r="F461" s="31">
        <v>492</v>
      </c>
      <c r="G461" s="17" t="s">
        <v>64</v>
      </c>
      <c r="H461" s="17" t="s">
        <v>48</v>
      </c>
      <c r="I461" s="17" t="s">
        <v>17</v>
      </c>
      <c r="J461" s="27">
        <v>0.1</v>
      </c>
      <c r="K461" s="17" t="s">
        <v>933</v>
      </c>
      <c r="L461" s="32">
        <v>5</v>
      </c>
      <c r="M461" s="32">
        <f>_xlfn.XLOOKUP(Table2_1[[#This Row],[Product Code]],Product_Code,Unit_Price,0)</f>
        <v>7</v>
      </c>
      <c r="N461" s="31">
        <f>DATEDIF(Table2_1[[#This Row],[Buyer Date of Birth]],Table2_1[[#This Row],[Transaction  Date]],"Y")</f>
        <v>58</v>
      </c>
      <c r="O461" s="33">
        <v>2460</v>
      </c>
      <c r="P461" s="33">
        <f>Table2_1[[#This Row],[Quantity Purchased]]*Table2_1[[#This Row],[UnitPrice]]*(1-Table2_1[[#This Row],[Discount]])</f>
        <v>3099.6</v>
      </c>
      <c r="Q461" s="33">
        <f>Table2_1[[#This Row],[Revenue]]-Table2_1[[#This Row],[COGS]]</f>
        <v>639.59999999999991</v>
      </c>
      <c r="R461" s="39">
        <f>WEEKDAY(Table2_1[[#This Row],[Transaction  Date]])</f>
        <v>1</v>
      </c>
      <c r="S461" s="17" t="str">
        <f>IF(WEEKDAY(Table2_1[[#This Row],[Transaction  Date]],2)&lt;=5,"Weekday","Weekend")</f>
        <v>Weekend</v>
      </c>
      <c r="T461" s="37" t="str">
        <f>FLOOR(Table2_1[[#This Row],[Age]],15)&amp; "-"&amp; FLOOR(Table2_1[[#This Row],[Age]],15)+14</f>
        <v>45-59</v>
      </c>
    </row>
    <row r="462" spans="1:20" x14ac:dyDescent="0.3">
      <c r="A462" s="18">
        <v>45389</v>
      </c>
      <c r="B462" s="17" t="s">
        <v>1354</v>
      </c>
      <c r="C462" s="17" t="s">
        <v>94</v>
      </c>
      <c r="D462" s="18">
        <v>17664</v>
      </c>
      <c r="E462" s="16" t="s">
        <v>20</v>
      </c>
      <c r="F462" s="31">
        <v>253</v>
      </c>
      <c r="G462" s="17" t="s">
        <v>47</v>
      </c>
      <c r="H462" s="17" t="s">
        <v>35</v>
      </c>
      <c r="I462" s="17" t="s">
        <v>17</v>
      </c>
      <c r="J462" s="27">
        <v>0.1</v>
      </c>
      <c r="K462" s="17" t="s">
        <v>931</v>
      </c>
      <c r="L462" s="32">
        <v>7</v>
      </c>
      <c r="M462" s="32">
        <f>_xlfn.XLOOKUP(Table2_1[[#This Row],[Product Code]],Product_Code,Unit_Price,0)</f>
        <v>9</v>
      </c>
      <c r="N462" s="31">
        <f>DATEDIF(Table2_1[[#This Row],[Buyer Date of Birth]],Table2_1[[#This Row],[Transaction  Date]],"Y")</f>
        <v>75</v>
      </c>
      <c r="O462" s="33">
        <v>1771</v>
      </c>
      <c r="P462" s="33">
        <f>Table2_1[[#This Row],[Quantity Purchased]]*Table2_1[[#This Row],[UnitPrice]]*(1-Table2_1[[#This Row],[Discount]])</f>
        <v>2049.3000000000002</v>
      </c>
      <c r="Q462" s="33">
        <f>Table2_1[[#This Row],[Revenue]]-Table2_1[[#This Row],[COGS]]</f>
        <v>278.30000000000018</v>
      </c>
      <c r="R462" s="39">
        <f>WEEKDAY(Table2_1[[#This Row],[Transaction  Date]])</f>
        <v>1</v>
      </c>
      <c r="S462" s="17" t="str">
        <f>IF(WEEKDAY(Table2_1[[#This Row],[Transaction  Date]],2)&lt;=5,"Weekday","Weekend")</f>
        <v>Weekend</v>
      </c>
      <c r="T462" s="37" t="str">
        <f>FLOOR(Table2_1[[#This Row],[Age]],15)&amp; "-"&amp; FLOOR(Table2_1[[#This Row],[Age]],15)+14</f>
        <v>75-89</v>
      </c>
    </row>
    <row r="463" spans="1:20" x14ac:dyDescent="0.3">
      <c r="A463" s="18">
        <v>45389</v>
      </c>
      <c r="B463" s="17" t="s">
        <v>1355</v>
      </c>
      <c r="C463" s="17" t="s">
        <v>71</v>
      </c>
      <c r="D463" s="18">
        <v>29591</v>
      </c>
      <c r="E463" s="16" t="s">
        <v>68</v>
      </c>
      <c r="F463" s="31">
        <v>292</v>
      </c>
      <c r="G463" s="17" t="s">
        <v>59</v>
      </c>
      <c r="H463" s="17" t="s">
        <v>48</v>
      </c>
      <c r="I463" s="17" t="s">
        <v>17</v>
      </c>
      <c r="J463" s="27">
        <v>0.1</v>
      </c>
      <c r="K463" s="17" t="s">
        <v>932</v>
      </c>
      <c r="L463" s="32">
        <v>19</v>
      </c>
      <c r="M463" s="32">
        <f>_xlfn.XLOOKUP(Table2_1[[#This Row],[Product Code]],Product_Code,Unit_Price,0)</f>
        <v>23</v>
      </c>
      <c r="N463" s="31">
        <f>DATEDIF(Table2_1[[#This Row],[Buyer Date of Birth]],Table2_1[[#This Row],[Transaction  Date]],"Y")</f>
        <v>43</v>
      </c>
      <c r="O463" s="33">
        <v>5548</v>
      </c>
      <c r="P463" s="33">
        <f>Table2_1[[#This Row],[Quantity Purchased]]*Table2_1[[#This Row],[UnitPrice]]*(1-Table2_1[[#This Row],[Discount]])</f>
        <v>6044.4000000000005</v>
      </c>
      <c r="Q463" s="33">
        <f>Table2_1[[#This Row],[Revenue]]-Table2_1[[#This Row],[COGS]]</f>
        <v>496.40000000000055</v>
      </c>
      <c r="R463" s="39">
        <f>WEEKDAY(Table2_1[[#This Row],[Transaction  Date]])</f>
        <v>1</v>
      </c>
      <c r="S463" s="17" t="str">
        <f>IF(WEEKDAY(Table2_1[[#This Row],[Transaction  Date]],2)&lt;=5,"Weekday","Weekend")</f>
        <v>Weekend</v>
      </c>
      <c r="T463" s="37" t="str">
        <f>FLOOR(Table2_1[[#This Row],[Age]],15)&amp; "-"&amp; FLOOR(Table2_1[[#This Row],[Age]],15)+14</f>
        <v>30-44</v>
      </c>
    </row>
    <row r="464" spans="1:20" x14ac:dyDescent="0.3">
      <c r="A464" s="18">
        <v>45390</v>
      </c>
      <c r="B464" s="17" t="s">
        <v>1356</v>
      </c>
      <c r="C464" s="17" t="s">
        <v>83</v>
      </c>
      <c r="D464" s="18">
        <v>20304</v>
      </c>
      <c r="E464" s="16" t="s">
        <v>33</v>
      </c>
      <c r="F464" s="31">
        <v>466</v>
      </c>
      <c r="G464" s="17" t="s">
        <v>34</v>
      </c>
      <c r="H464" s="17" t="s">
        <v>28</v>
      </c>
      <c r="I464" s="17" t="s">
        <v>17</v>
      </c>
      <c r="J464" s="27">
        <v>0.1</v>
      </c>
      <c r="K464" s="17" t="s">
        <v>930</v>
      </c>
      <c r="L464" s="32">
        <v>14</v>
      </c>
      <c r="M464" s="32">
        <f>_xlfn.XLOOKUP(Table2_1[[#This Row],[Product Code]],Product_Code,Unit_Price,0)</f>
        <v>28</v>
      </c>
      <c r="N464" s="31">
        <f>DATEDIF(Table2_1[[#This Row],[Buyer Date of Birth]],Table2_1[[#This Row],[Transaction  Date]],"Y")</f>
        <v>68</v>
      </c>
      <c r="O464" s="33">
        <v>6524</v>
      </c>
      <c r="P464" s="33">
        <f>Table2_1[[#This Row],[Quantity Purchased]]*Table2_1[[#This Row],[UnitPrice]]*(1-Table2_1[[#This Row],[Discount]])</f>
        <v>11743.2</v>
      </c>
      <c r="Q464" s="33">
        <f>Table2_1[[#This Row],[Revenue]]-Table2_1[[#This Row],[COGS]]</f>
        <v>5219.2000000000007</v>
      </c>
      <c r="R464" s="39">
        <f>WEEKDAY(Table2_1[[#This Row],[Transaction  Date]])</f>
        <v>2</v>
      </c>
      <c r="S464" s="17" t="str">
        <f>IF(WEEKDAY(Table2_1[[#This Row],[Transaction  Date]],2)&lt;=5,"Weekday","Weekend")</f>
        <v>Weekday</v>
      </c>
      <c r="T464" s="37" t="str">
        <f>FLOOR(Table2_1[[#This Row],[Age]],15)&amp; "-"&amp; FLOOR(Table2_1[[#This Row],[Age]],15)+14</f>
        <v>60-74</v>
      </c>
    </row>
    <row r="465" spans="1:20" x14ac:dyDescent="0.3">
      <c r="A465" s="18">
        <v>45390</v>
      </c>
      <c r="B465" s="17" t="s">
        <v>1357</v>
      </c>
      <c r="C465" s="17" t="s">
        <v>46</v>
      </c>
      <c r="D465" s="18">
        <v>28632</v>
      </c>
      <c r="E465" s="16" t="s">
        <v>14</v>
      </c>
      <c r="F465" s="31">
        <v>153</v>
      </c>
      <c r="G465" s="17" t="s">
        <v>47</v>
      </c>
      <c r="H465" s="17" t="s">
        <v>52</v>
      </c>
      <c r="I465" s="17" t="s">
        <v>17</v>
      </c>
      <c r="J465" s="27">
        <v>0.1</v>
      </c>
      <c r="K465" s="17" t="s">
        <v>931</v>
      </c>
      <c r="L465" s="32">
        <v>7</v>
      </c>
      <c r="M465" s="32">
        <f>_xlfn.XLOOKUP(Table2_1[[#This Row],[Product Code]],Product_Code,Unit_Price,0)</f>
        <v>9</v>
      </c>
      <c r="N465" s="31">
        <f>DATEDIF(Table2_1[[#This Row],[Buyer Date of Birth]],Table2_1[[#This Row],[Transaction  Date]],"Y")</f>
        <v>45</v>
      </c>
      <c r="O465" s="33">
        <v>1071</v>
      </c>
      <c r="P465" s="33">
        <f>Table2_1[[#This Row],[Quantity Purchased]]*Table2_1[[#This Row],[UnitPrice]]*(1-Table2_1[[#This Row],[Discount]])</f>
        <v>1239.3</v>
      </c>
      <c r="Q465" s="33">
        <f>Table2_1[[#This Row],[Revenue]]-Table2_1[[#This Row],[COGS]]</f>
        <v>168.29999999999995</v>
      </c>
      <c r="R465" s="39">
        <f>WEEKDAY(Table2_1[[#This Row],[Transaction  Date]])</f>
        <v>2</v>
      </c>
      <c r="S465" s="17" t="str">
        <f>IF(WEEKDAY(Table2_1[[#This Row],[Transaction  Date]],2)&lt;=5,"Weekday","Weekend")</f>
        <v>Weekday</v>
      </c>
      <c r="T465" s="37" t="str">
        <f>FLOOR(Table2_1[[#This Row],[Age]],15)&amp; "-"&amp; FLOOR(Table2_1[[#This Row],[Age]],15)+14</f>
        <v>45-59</v>
      </c>
    </row>
    <row r="466" spans="1:20" x14ac:dyDescent="0.3">
      <c r="A466" s="18">
        <v>45390</v>
      </c>
      <c r="B466" s="17" t="s">
        <v>1358</v>
      </c>
      <c r="C466" s="17" t="s">
        <v>26</v>
      </c>
      <c r="D466" s="18">
        <v>22881</v>
      </c>
      <c r="E466" s="16" t="s">
        <v>33</v>
      </c>
      <c r="F466" s="31">
        <v>136</v>
      </c>
      <c r="G466" s="17" t="s">
        <v>65</v>
      </c>
      <c r="H466" s="17" t="s">
        <v>48</v>
      </c>
      <c r="I466" s="17" t="s">
        <v>17</v>
      </c>
      <c r="J466" s="27">
        <v>0.1</v>
      </c>
      <c r="K466" s="17" t="s">
        <v>928</v>
      </c>
      <c r="L466" s="32">
        <v>3</v>
      </c>
      <c r="M466" s="32">
        <f>_xlfn.XLOOKUP(Table2_1[[#This Row],[Product Code]],Product_Code,Unit_Price,0)</f>
        <v>5</v>
      </c>
      <c r="N466" s="31">
        <f>DATEDIF(Table2_1[[#This Row],[Buyer Date of Birth]],Table2_1[[#This Row],[Transaction  Date]],"Y")</f>
        <v>61</v>
      </c>
      <c r="O466" s="33">
        <v>408</v>
      </c>
      <c r="P466" s="33">
        <f>Table2_1[[#This Row],[Quantity Purchased]]*Table2_1[[#This Row],[UnitPrice]]*(1-Table2_1[[#This Row],[Discount]])</f>
        <v>612</v>
      </c>
      <c r="Q466" s="33">
        <f>Table2_1[[#This Row],[Revenue]]-Table2_1[[#This Row],[COGS]]</f>
        <v>204</v>
      </c>
      <c r="R466" s="39">
        <f>WEEKDAY(Table2_1[[#This Row],[Transaction  Date]])</f>
        <v>2</v>
      </c>
      <c r="S466" s="17" t="str">
        <f>IF(WEEKDAY(Table2_1[[#This Row],[Transaction  Date]],2)&lt;=5,"Weekday","Weekend")</f>
        <v>Weekday</v>
      </c>
      <c r="T466" s="37" t="str">
        <f>FLOOR(Table2_1[[#This Row],[Age]],15)&amp; "-"&amp; FLOOR(Table2_1[[#This Row],[Age]],15)+14</f>
        <v>60-74</v>
      </c>
    </row>
    <row r="467" spans="1:20" x14ac:dyDescent="0.3">
      <c r="A467" s="18">
        <v>45390</v>
      </c>
      <c r="B467" s="17" t="s">
        <v>1359</v>
      </c>
      <c r="C467" s="17" t="s">
        <v>26</v>
      </c>
      <c r="D467" s="18">
        <v>36436</v>
      </c>
      <c r="E467" s="16" t="s">
        <v>68</v>
      </c>
      <c r="F467" s="31">
        <v>119</v>
      </c>
      <c r="G467" s="17" t="s">
        <v>47</v>
      </c>
      <c r="H467" s="17" t="s">
        <v>28</v>
      </c>
      <c r="I467" s="17" t="s">
        <v>17</v>
      </c>
      <c r="J467" s="27">
        <v>0.1</v>
      </c>
      <c r="K467" s="17" t="s">
        <v>931</v>
      </c>
      <c r="L467" s="32">
        <v>7</v>
      </c>
      <c r="M467" s="32">
        <f>_xlfn.XLOOKUP(Table2_1[[#This Row],[Product Code]],Product_Code,Unit_Price,0)</f>
        <v>9</v>
      </c>
      <c r="N467" s="31">
        <f>DATEDIF(Table2_1[[#This Row],[Buyer Date of Birth]],Table2_1[[#This Row],[Transaction  Date]],"Y")</f>
        <v>24</v>
      </c>
      <c r="O467" s="33">
        <v>833</v>
      </c>
      <c r="P467" s="33">
        <f>Table2_1[[#This Row],[Quantity Purchased]]*Table2_1[[#This Row],[UnitPrice]]*(1-Table2_1[[#This Row],[Discount]])</f>
        <v>963.9</v>
      </c>
      <c r="Q467" s="33">
        <f>Table2_1[[#This Row],[Revenue]]-Table2_1[[#This Row],[COGS]]</f>
        <v>130.89999999999998</v>
      </c>
      <c r="R467" s="39">
        <f>WEEKDAY(Table2_1[[#This Row],[Transaction  Date]])</f>
        <v>2</v>
      </c>
      <c r="S467" s="17" t="str">
        <f>IF(WEEKDAY(Table2_1[[#This Row],[Transaction  Date]],2)&lt;=5,"Weekday","Weekend")</f>
        <v>Weekday</v>
      </c>
      <c r="T467" s="37" t="str">
        <f>FLOOR(Table2_1[[#This Row],[Age]],15)&amp; "-"&amp; FLOOR(Table2_1[[#This Row],[Age]],15)+14</f>
        <v>15-29</v>
      </c>
    </row>
    <row r="468" spans="1:20" x14ac:dyDescent="0.3">
      <c r="A468" s="18">
        <v>45391</v>
      </c>
      <c r="B468" s="17" t="s">
        <v>1360</v>
      </c>
      <c r="C468" s="17" t="s">
        <v>38</v>
      </c>
      <c r="D468" s="18">
        <v>26568</v>
      </c>
      <c r="E468" s="16" t="s">
        <v>68</v>
      </c>
      <c r="F468" s="31">
        <v>350</v>
      </c>
      <c r="G468" s="17" t="s">
        <v>59</v>
      </c>
      <c r="H468" s="17" t="s">
        <v>48</v>
      </c>
      <c r="I468" s="17" t="s">
        <v>29</v>
      </c>
      <c r="J468" s="27">
        <v>0.1</v>
      </c>
      <c r="K468" s="17" t="s">
        <v>932</v>
      </c>
      <c r="L468" s="32">
        <v>19</v>
      </c>
      <c r="M468" s="32">
        <f>_xlfn.XLOOKUP(Table2_1[[#This Row],[Product Code]],Product_Code,Unit_Price,0)</f>
        <v>23</v>
      </c>
      <c r="N468" s="31">
        <f>DATEDIF(Table2_1[[#This Row],[Buyer Date of Birth]],Table2_1[[#This Row],[Transaction  Date]],"Y")</f>
        <v>51</v>
      </c>
      <c r="O468" s="33">
        <v>6650</v>
      </c>
      <c r="P468" s="33">
        <f>Table2_1[[#This Row],[Quantity Purchased]]*Table2_1[[#This Row],[UnitPrice]]*(1-Table2_1[[#This Row],[Discount]])</f>
        <v>7245</v>
      </c>
      <c r="Q468" s="33">
        <f>Table2_1[[#This Row],[Revenue]]-Table2_1[[#This Row],[COGS]]</f>
        <v>595</v>
      </c>
      <c r="R468" s="39">
        <f>WEEKDAY(Table2_1[[#This Row],[Transaction  Date]])</f>
        <v>3</v>
      </c>
      <c r="S468" s="17" t="str">
        <f>IF(WEEKDAY(Table2_1[[#This Row],[Transaction  Date]],2)&lt;=5,"Weekday","Weekend")</f>
        <v>Weekday</v>
      </c>
      <c r="T468" s="37" t="str">
        <f>FLOOR(Table2_1[[#This Row],[Age]],15)&amp; "-"&amp; FLOOR(Table2_1[[#This Row],[Age]],15)+14</f>
        <v>45-59</v>
      </c>
    </row>
    <row r="469" spans="1:20" x14ac:dyDescent="0.3">
      <c r="A469" s="18">
        <v>45391</v>
      </c>
      <c r="B469" s="17" t="s">
        <v>1361</v>
      </c>
      <c r="C469" s="17" t="s">
        <v>38</v>
      </c>
      <c r="D469" s="18">
        <v>17285</v>
      </c>
      <c r="E469" s="16" t="s">
        <v>14</v>
      </c>
      <c r="F469" s="31">
        <v>326</v>
      </c>
      <c r="G469" s="17" t="s">
        <v>42</v>
      </c>
      <c r="H469" s="17" t="s">
        <v>39</v>
      </c>
      <c r="I469" s="17" t="s">
        <v>17</v>
      </c>
      <c r="J469" s="27">
        <v>0.1</v>
      </c>
      <c r="K469" s="17" t="s">
        <v>926</v>
      </c>
      <c r="L469" s="32">
        <v>10</v>
      </c>
      <c r="M469" s="32">
        <f>_xlfn.XLOOKUP(Table2_1[[#This Row],[Product Code]],Product_Code,Unit_Price,0)</f>
        <v>11</v>
      </c>
      <c r="N469" s="31">
        <f>DATEDIF(Table2_1[[#This Row],[Buyer Date of Birth]],Table2_1[[#This Row],[Transaction  Date]],"Y")</f>
        <v>76</v>
      </c>
      <c r="O469" s="33">
        <v>3260</v>
      </c>
      <c r="P469" s="33">
        <f>Table2_1[[#This Row],[Quantity Purchased]]*Table2_1[[#This Row],[UnitPrice]]*(1-Table2_1[[#This Row],[Discount]])</f>
        <v>3227.4</v>
      </c>
      <c r="Q469" s="33">
        <f>Table2_1[[#This Row],[Revenue]]-Table2_1[[#This Row],[COGS]]</f>
        <v>-32.599999999999909</v>
      </c>
      <c r="R469" s="39">
        <f>WEEKDAY(Table2_1[[#This Row],[Transaction  Date]])</f>
        <v>3</v>
      </c>
      <c r="S469" s="17" t="str">
        <f>IF(WEEKDAY(Table2_1[[#This Row],[Transaction  Date]],2)&lt;=5,"Weekday","Weekend")</f>
        <v>Weekday</v>
      </c>
      <c r="T469" s="37" t="str">
        <f>FLOOR(Table2_1[[#This Row],[Age]],15)&amp; "-"&amp; FLOOR(Table2_1[[#This Row],[Age]],15)+14</f>
        <v>75-89</v>
      </c>
    </row>
    <row r="470" spans="1:20" x14ac:dyDescent="0.3">
      <c r="A470" s="18">
        <v>45391</v>
      </c>
      <c r="B470" s="17" t="s">
        <v>1362</v>
      </c>
      <c r="C470" s="17" t="s">
        <v>26</v>
      </c>
      <c r="D470" s="18">
        <v>29735</v>
      </c>
      <c r="E470" s="16" t="s">
        <v>68</v>
      </c>
      <c r="F470" s="31">
        <v>187</v>
      </c>
      <c r="G470" s="17" t="s">
        <v>42</v>
      </c>
      <c r="H470" s="17" t="s">
        <v>52</v>
      </c>
      <c r="I470" s="17" t="s">
        <v>17</v>
      </c>
      <c r="J470" s="27">
        <v>0.1</v>
      </c>
      <c r="K470" s="17" t="s">
        <v>926</v>
      </c>
      <c r="L470" s="32">
        <v>10</v>
      </c>
      <c r="M470" s="32">
        <f>_xlfn.XLOOKUP(Table2_1[[#This Row],[Product Code]],Product_Code,Unit_Price,0)</f>
        <v>11</v>
      </c>
      <c r="N470" s="31">
        <f>DATEDIF(Table2_1[[#This Row],[Buyer Date of Birth]],Table2_1[[#This Row],[Transaction  Date]],"Y")</f>
        <v>42</v>
      </c>
      <c r="O470" s="33">
        <v>1870</v>
      </c>
      <c r="P470" s="33">
        <f>Table2_1[[#This Row],[Quantity Purchased]]*Table2_1[[#This Row],[UnitPrice]]*(1-Table2_1[[#This Row],[Discount]])</f>
        <v>1851.3</v>
      </c>
      <c r="Q470" s="33">
        <f>Table2_1[[#This Row],[Revenue]]-Table2_1[[#This Row],[COGS]]</f>
        <v>-18.700000000000045</v>
      </c>
      <c r="R470" s="39">
        <f>WEEKDAY(Table2_1[[#This Row],[Transaction  Date]])</f>
        <v>3</v>
      </c>
      <c r="S470" s="17" t="str">
        <f>IF(WEEKDAY(Table2_1[[#This Row],[Transaction  Date]],2)&lt;=5,"Weekday","Weekend")</f>
        <v>Weekday</v>
      </c>
      <c r="T470" s="37" t="str">
        <f>FLOOR(Table2_1[[#This Row],[Age]],15)&amp; "-"&amp; FLOOR(Table2_1[[#This Row],[Age]],15)+14</f>
        <v>30-44</v>
      </c>
    </row>
    <row r="471" spans="1:20" x14ac:dyDescent="0.3">
      <c r="A471" s="18">
        <v>45391</v>
      </c>
      <c r="B471" s="17" t="s">
        <v>1363</v>
      </c>
      <c r="C471" s="17" t="s">
        <v>83</v>
      </c>
      <c r="D471" s="18">
        <v>26745</v>
      </c>
      <c r="E471" s="16" t="s">
        <v>20</v>
      </c>
      <c r="F471" s="31">
        <v>112</v>
      </c>
      <c r="G471" s="17" t="s">
        <v>34</v>
      </c>
      <c r="H471" s="17" t="s">
        <v>52</v>
      </c>
      <c r="I471" s="17" t="s">
        <v>23</v>
      </c>
      <c r="J471" s="27">
        <v>0.1</v>
      </c>
      <c r="K471" s="17" t="s">
        <v>930</v>
      </c>
      <c r="L471" s="32">
        <v>14</v>
      </c>
      <c r="M471" s="32">
        <f>_xlfn.XLOOKUP(Table2_1[[#This Row],[Product Code]],Product_Code,Unit_Price,0)</f>
        <v>28</v>
      </c>
      <c r="N471" s="31">
        <f>DATEDIF(Table2_1[[#This Row],[Buyer Date of Birth]],Table2_1[[#This Row],[Transaction  Date]],"Y")</f>
        <v>51</v>
      </c>
      <c r="O471" s="33">
        <v>1568</v>
      </c>
      <c r="P471" s="33">
        <f>Table2_1[[#This Row],[Quantity Purchased]]*Table2_1[[#This Row],[UnitPrice]]*(1-Table2_1[[#This Row],[Discount]])</f>
        <v>2822.4</v>
      </c>
      <c r="Q471" s="33">
        <f>Table2_1[[#This Row],[Revenue]]-Table2_1[[#This Row],[COGS]]</f>
        <v>1254.4000000000001</v>
      </c>
      <c r="R471" s="39">
        <f>WEEKDAY(Table2_1[[#This Row],[Transaction  Date]])</f>
        <v>3</v>
      </c>
      <c r="S471" s="17" t="str">
        <f>IF(WEEKDAY(Table2_1[[#This Row],[Transaction  Date]],2)&lt;=5,"Weekday","Weekend")</f>
        <v>Weekday</v>
      </c>
      <c r="T471" s="37" t="str">
        <f>FLOOR(Table2_1[[#This Row],[Age]],15)&amp; "-"&amp; FLOOR(Table2_1[[#This Row],[Age]],15)+14</f>
        <v>45-59</v>
      </c>
    </row>
    <row r="472" spans="1:20" x14ac:dyDescent="0.3">
      <c r="A472" s="18">
        <v>45392</v>
      </c>
      <c r="B472" s="17" t="s">
        <v>1364</v>
      </c>
      <c r="C472" s="17" t="s">
        <v>78</v>
      </c>
      <c r="D472" s="18">
        <v>16545</v>
      </c>
      <c r="E472" s="16" t="s">
        <v>33</v>
      </c>
      <c r="F472" s="31">
        <v>308</v>
      </c>
      <c r="G472" s="17" t="s">
        <v>21</v>
      </c>
      <c r="H472" s="17" t="s">
        <v>28</v>
      </c>
      <c r="I472" s="17" t="s">
        <v>17</v>
      </c>
      <c r="J472" s="27">
        <v>0.1</v>
      </c>
      <c r="K472" s="17" t="s">
        <v>934</v>
      </c>
      <c r="L472" s="32">
        <v>10</v>
      </c>
      <c r="M472" s="32">
        <f>_xlfn.XLOOKUP(Table2_1[[#This Row],[Product Code]],Product_Code,Unit_Price,0)</f>
        <v>45</v>
      </c>
      <c r="N472" s="31">
        <f>DATEDIF(Table2_1[[#This Row],[Buyer Date of Birth]],Table2_1[[#This Row],[Transaction  Date]],"Y")</f>
        <v>78</v>
      </c>
      <c r="O472" s="33">
        <v>3080</v>
      </c>
      <c r="P472" s="33">
        <f>Table2_1[[#This Row],[Quantity Purchased]]*Table2_1[[#This Row],[UnitPrice]]*(1-Table2_1[[#This Row],[Discount]])</f>
        <v>12474</v>
      </c>
      <c r="Q472" s="33">
        <f>Table2_1[[#This Row],[Revenue]]-Table2_1[[#This Row],[COGS]]</f>
        <v>9394</v>
      </c>
      <c r="R472" s="39">
        <f>WEEKDAY(Table2_1[[#This Row],[Transaction  Date]])</f>
        <v>4</v>
      </c>
      <c r="S472" s="17" t="str">
        <f>IF(WEEKDAY(Table2_1[[#This Row],[Transaction  Date]],2)&lt;=5,"Weekday","Weekend")</f>
        <v>Weekday</v>
      </c>
      <c r="T472" s="37" t="str">
        <f>FLOOR(Table2_1[[#This Row],[Age]],15)&amp; "-"&amp; FLOOR(Table2_1[[#This Row],[Age]],15)+14</f>
        <v>75-89</v>
      </c>
    </row>
    <row r="473" spans="1:20" x14ac:dyDescent="0.3">
      <c r="A473" s="18">
        <v>45392</v>
      </c>
      <c r="B473" s="17" t="s">
        <v>1365</v>
      </c>
      <c r="C473" s="17" t="s">
        <v>32</v>
      </c>
      <c r="D473" s="18">
        <v>31363</v>
      </c>
      <c r="E473" s="16" t="s">
        <v>68</v>
      </c>
      <c r="F473" s="31">
        <v>309</v>
      </c>
      <c r="G473" s="17" t="s">
        <v>47</v>
      </c>
      <c r="H473" s="17" t="s">
        <v>48</v>
      </c>
      <c r="I473" s="17" t="s">
        <v>17</v>
      </c>
      <c r="J473" s="27">
        <v>0.1</v>
      </c>
      <c r="K473" s="17" t="s">
        <v>931</v>
      </c>
      <c r="L473" s="32">
        <v>7</v>
      </c>
      <c r="M473" s="32">
        <f>_xlfn.XLOOKUP(Table2_1[[#This Row],[Product Code]],Product_Code,Unit_Price,0)</f>
        <v>9</v>
      </c>
      <c r="N473" s="31">
        <f>DATEDIF(Table2_1[[#This Row],[Buyer Date of Birth]],Table2_1[[#This Row],[Transaction  Date]],"Y")</f>
        <v>38</v>
      </c>
      <c r="O473" s="33">
        <v>2163</v>
      </c>
      <c r="P473" s="33">
        <f>Table2_1[[#This Row],[Quantity Purchased]]*Table2_1[[#This Row],[UnitPrice]]*(1-Table2_1[[#This Row],[Discount]])</f>
        <v>2502.9</v>
      </c>
      <c r="Q473" s="33">
        <f>Table2_1[[#This Row],[Revenue]]-Table2_1[[#This Row],[COGS]]</f>
        <v>339.90000000000009</v>
      </c>
      <c r="R473" s="39">
        <f>WEEKDAY(Table2_1[[#This Row],[Transaction  Date]])</f>
        <v>4</v>
      </c>
      <c r="S473" s="17" t="str">
        <f>IF(WEEKDAY(Table2_1[[#This Row],[Transaction  Date]],2)&lt;=5,"Weekday","Weekend")</f>
        <v>Weekday</v>
      </c>
      <c r="T473" s="37" t="str">
        <f>FLOOR(Table2_1[[#This Row],[Age]],15)&amp; "-"&amp; FLOOR(Table2_1[[#This Row],[Age]],15)+14</f>
        <v>30-44</v>
      </c>
    </row>
    <row r="474" spans="1:20" x14ac:dyDescent="0.3">
      <c r="A474" s="18">
        <v>45392</v>
      </c>
      <c r="B474" s="17" t="s">
        <v>1366</v>
      </c>
      <c r="C474" s="17" t="s">
        <v>26</v>
      </c>
      <c r="D474" s="18">
        <v>27321</v>
      </c>
      <c r="E474" s="16" t="s">
        <v>14</v>
      </c>
      <c r="F474" s="31">
        <v>357</v>
      </c>
      <c r="G474" s="17" t="s">
        <v>65</v>
      </c>
      <c r="H474" s="17" t="s">
        <v>35</v>
      </c>
      <c r="I474" s="17" t="s">
        <v>17</v>
      </c>
      <c r="J474" s="27">
        <v>0.1</v>
      </c>
      <c r="K474" s="17" t="s">
        <v>928</v>
      </c>
      <c r="L474" s="32">
        <v>3</v>
      </c>
      <c r="M474" s="32">
        <f>_xlfn.XLOOKUP(Table2_1[[#This Row],[Product Code]],Product_Code,Unit_Price,0)</f>
        <v>5</v>
      </c>
      <c r="N474" s="31">
        <f>DATEDIF(Table2_1[[#This Row],[Buyer Date of Birth]],Table2_1[[#This Row],[Transaction  Date]],"Y")</f>
        <v>49</v>
      </c>
      <c r="O474" s="33">
        <v>1071</v>
      </c>
      <c r="P474" s="33">
        <f>Table2_1[[#This Row],[Quantity Purchased]]*Table2_1[[#This Row],[UnitPrice]]*(1-Table2_1[[#This Row],[Discount]])</f>
        <v>1606.5</v>
      </c>
      <c r="Q474" s="33">
        <f>Table2_1[[#This Row],[Revenue]]-Table2_1[[#This Row],[COGS]]</f>
        <v>535.5</v>
      </c>
      <c r="R474" s="39">
        <f>WEEKDAY(Table2_1[[#This Row],[Transaction  Date]])</f>
        <v>4</v>
      </c>
      <c r="S474" s="17" t="str">
        <f>IF(WEEKDAY(Table2_1[[#This Row],[Transaction  Date]],2)&lt;=5,"Weekday","Weekend")</f>
        <v>Weekday</v>
      </c>
      <c r="T474" s="37" t="str">
        <f>FLOOR(Table2_1[[#This Row],[Age]],15)&amp; "-"&amp; FLOOR(Table2_1[[#This Row],[Age]],15)+14</f>
        <v>45-59</v>
      </c>
    </row>
    <row r="475" spans="1:20" x14ac:dyDescent="0.3">
      <c r="A475" s="18">
        <v>45393</v>
      </c>
      <c r="B475" s="17" t="s">
        <v>1367</v>
      </c>
      <c r="C475" s="17" t="s">
        <v>71</v>
      </c>
      <c r="D475" s="18">
        <v>21086</v>
      </c>
      <c r="E475" s="16" t="s">
        <v>68</v>
      </c>
      <c r="F475" s="31">
        <v>425</v>
      </c>
      <c r="G475" s="17" t="s">
        <v>65</v>
      </c>
      <c r="H475" s="17" t="s">
        <v>28</v>
      </c>
      <c r="I475" s="17" t="s">
        <v>17</v>
      </c>
      <c r="J475" s="27">
        <v>0.1</v>
      </c>
      <c r="K475" s="17" t="s">
        <v>928</v>
      </c>
      <c r="L475" s="32">
        <v>3</v>
      </c>
      <c r="M475" s="32">
        <f>_xlfn.XLOOKUP(Table2_1[[#This Row],[Product Code]],Product_Code,Unit_Price,0)</f>
        <v>5</v>
      </c>
      <c r="N475" s="31">
        <f>DATEDIF(Table2_1[[#This Row],[Buyer Date of Birth]],Table2_1[[#This Row],[Transaction  Date]],"Y")</f>
        <v>66</v>
      </c>
      <c r="O475" s="33">
        <v>1275</v>
      </c>
      <c r="P475" s="33">
        <f>Table2_1[[#This Row],[Quantity Purchased]]*Table2_1[[#This Row],[UnitPrice]]*(1-Table2_1[[#This Row],[Discount]])</f>
        <v>1912.5</v>
      </c>
      <c r="Q475" s="33">
        <f>Table2_1[[#This Row],[Revenue]]-Table2_1[[#This Row],[COGS]]</f>
        <v>637.5</v>
      </c>
      <c r="R475" s="39">
        <f>WEEKDAY(Table2_1[[#This Row],[Transaction  Date]])</f>
        <v>5</v>
      </c>
      <c r="S475" s="17" t="str">
        <f>IF(WEEKDAY(Table2_1[[#This Row],[Transaction  Date]],2)&lt;=5,"Weekday","Weekend")</f>
        <v>Weekday</v>
      </c>
      <c r="T475" s="37" t="str">
        <f>FLOOR(Table2_1[[#This Row],[Age]],15)&amp; "-"&amp; FLOOR(Table2_1[[#This Row],[Age]],15)+14</f>
        <v>60-74</v>
      </c>
    </row>
    <row r="476" spans="1:20" x14ac:dyDescent="0.3">
      <c r="A476" s="18">
        <v>45393</v>
      </c>
      <c r="B476" s="17" t="s">
        <v>1368</v>
      </c>
      <c r="C476" s="17" t="s">
        <v>26</v>
      </c>
      <c r="D476" s="18">
        <v>29524</v>
      </c>
      <c r="E476" s="16" t="s">
        <v>14</v>
      </c>
      <c r="F476" s="31">
        <v>169</v>
      </c>
      <c r="G476" s="17" t="s">
        <v>47</v>
      </c>
      <c r="H476" s="17" t="s">
        <v>48</v>
      </c>
      <c r="I476" s="17" t="s">
        <v>17</v>
      </c>
      <c r="J476" s="27">
        <v>0.1</v>
      </c>
      <c r="K476" s="17" t="s">
        <v>931</v>
      </c>
      <c r="L476" s="32">
        <v>7</v>
      </c>
      <c r="M476" s="32">
        <f>_xlfn.XLOOKUP(Table2_1[[#This Row],[Product Code]],Product_Code,Unit_Price,0)</f>
        <v>9</v>
      </c>
      <c r="N476" s="31">
        <f>DATEDIF(Table2_1[[#This Row],[Buyer Date of Birth]],Table2_1[[#This Row],[Transaction  Date]],"Y")</f>
        <v>43</v>
      </c>
      <c r="O476" s="33">
        <v>1183</v>
      </c>
      <c r="P476" s="33">
        <f>Table2_1[[#This Row],[Quantity Purchased]]*Table2_1[[#This Row],[UnitPrice]]*(1-Table2_1[[#This Row],[Discount]])</f>
        <v>1368.9</v>
      </c>
      <c r="Q476" s="33">
        <f>Table2_1[[#This Row],[Revenue]]-Table2_1[[#This Row],[COGS]]</f>
        <v>185.90000000000009</v>
      </c>
      <c r="R476" s="39">
        <f>WEEKDAY(Table2_1[[#This Row],[Transaction  Date]])</f>
        <v>5</v>
      </c>
      <c r="S476" s="17" t="str">
        <f>IF(WEEKDAY(Table2_1[[#This Row],[Transaction  Date]],2)&lt;=5,"Weekday","Weekend")</f>
        <v>Weekday</v>
      </c>
      <c r="T476" s="37" t="str">
        <f>FLOOR(Table2_1[[#This Row],[Age]],15)&amp; "-"&amp; FLOOR(Table2_1[[#This Row],[Age]],15)+14</f>
        <v>30-44</v>
      </c>
    </row>
    <row r="477" spans="1:20" x14ac:dyDescent="0.3">
      <c r="A477" s="18">
        <v>45393</v>
      </c>
      <c r="B477" s="17" t="s">
        <v>1369</v>
      </c>
      <c r="C477" s="17" t="s">
        <v>78</v>
      </c>
      <c r="D477" s="18">
        <v>20671</v>
      </c>
      <c r="E477" s="16" t="s">
        <v>68</v>
      </c>
      <c r="F477" s="31">
        <v>31</v>
      </c>
      <c r="G477" s="17" t="s">
        <v>27</v>
      </c>
      <c r="H477" s="17" t="s">
        <v>43</v>
      </c>
      <c r="I477" s="17" t="s">
        <v>17</v>
      </c>
      <c r="J477" s="27">
        <v>0.1</v>
      </c>
      <c r="K477" s="17" t="s">
        <v>927</v>
      </c>
      <c r="L477" s="32">
        <v>18</v>
      </c>
      <c r="M477" s="32">
        <f>_xlfn.XLOOKUP(Table2_1[[#This Row],[Product Code]],Product_Code,Unit_Price,0)</f>
        <v>22</v>
      </c>
      <c r="N477" s="31">
        <f>DATEDIF(Table2_1[[#This Row],[Buyer Date of Birth]],Table2_1[[#This Row],[Transaction  Date]],"Y")</f>
        <v>67</v>
      </c>
      <c r="O477" s="33">
        <v>558</v>
      </c>
      <c r="P477" s="33">
        <f>Table2_1[[#This Row],[Quantity Purchased]]*Table2_1[[#This Row],[UnitPrice]]*(1-Table2_1[[#This Row],[Discount]])</f>
        <v>613.80000000000007</v>
      </c>
      <c r="Q477" s="33">
        <f>Table2_1[[#This Row],[Revenue]]-Table2_1[[#This Row],[COGS]]</f>
        <v>55.800000000000068</v>
      </c>
      <c r="R477" s="39">
        <f>WEEKDAY(Table2_1[[#This Row],[Transaction  Date]])</f>
        <v>5</v>
      </c>
      <c r="S477" s="17" t="str">
        <f>IF(WEEKDAY(Table2_1[[#This Row],[Transaction  Date]],2)&lt;=5,"Weekday","Weekend")</f>
        <v>Weekday</v>
      </c>
      <c r="T477" s="37" t="str">
        <f>FLOOR(Table2_1[[#This Row],[Age]],15)&amp; "-"&amp; FLOOR(Table2_1[[#This Row],[Age]],15)+14</f>
        <v>60-74</v>
      </c>
    </row>
    <row r="478" spans="1:20" x14ac:dyDescent="0.3">
      <c r="A478" s="18">
        <v>45394</v>
      </c>
      <c r="B478" s="17" t="s">
        <v>1370</v>
      </c>
      <c r="C478" s="17" t="s">
        <v>78</v>
      </c>
      <c r="D478" s="18">
        <v>38781</v>
      </c>
      <c r="E478" s="16" t="s">
        <v>20</v>
      </c>
      <c r="F478" s="31">
        <v>93</v>
      </c>
      <c r="G478" s="17" t="s">
        <v>64</v>
      </c>
      <c r="H478" s="17" t="s">
        <v>48</v>
      </c>
      <c r="I478" s="17" t="s">
        <v>17</v>
      </c>
      <c r="J478" s="27">
        <v>0.1</v>
      </c>
      <c r="K478" s="17" t="s">
        <v>933</v>
      </c>
      <c r="L478" s="32">
        <v>5</v>
      </c>
      <c r="M478" s="32">
        <f>_xlfn.XLOOKUP(Table2_1[[#This Row],[Product Code]],Product_Code,Unit_Price,0)</f>
        <v>7</v>
      </c>
      <c r="N478" s="31">
        <f>DATEDIF(Table2_1[[#This Row],[Buyer Date of Birth]],Table2_1[[#This Row],[Transaction  Date]],"Y")</f>
        <v>18</v>
      </c>
      <c r="O478" s="33">
        <v>465</v>
      </c>
      <c r="P478" s="33">
        <f>Table2_1[[#This Row],[Quantity Purchased]]*Table2_1[[#This Row],[UnitPrice]]*(1-Table2_1[[#This Row],[Discount]])</f>
        <v>585.9</v>
      </c>
      <c r="Q478" s="33">
        <f>Table2_1[[#This Row],[Revenue]]-Table2_1[[#This Row],[COGS]]</f>
        <v>120.89999999999998</v>
      </c>
      <c r="R478" s="39">
        <f>WEEKDAY(Table2_1[[#This Row],[Transaction  Date]])</f>
        <v>6</v>
      </c>
      <c r="S478" s="17" t="str">
        <f>IF(WEEKDAY(Table2_1[[#This Row],[Transaction  Date]],2)&lt;=5,"Weekday","Weekend")</f>
        <v>Weekday</v>
      </c>
      <c r="T478" s="37" t="str">
        <f>FLOOR(Table2_1[[#This Row],[Age]],15)&amp; "-"&amp; FLOOR(Table2_1[[#This Row],[Age]],15)+14</f>
        <v>15-29</v>
      </c>
    </row>
    <row r="479" spans="1:20" x14ac:dyDescent="0.3">
      <c r="A479" s="18">
        <v>45394</v>
      </c>
      <c r="B479" s="17" t="s">
        <v>1861</v>
      </c>
      <c r="C479" s="17" t="s">
        <v>46</v>
      </c>
      <c r="D479" s="18">
        <v>25621</v>
      </c>
      <c r="E479" s="16" t="s">
        <v>14</v>
      </c>
      <c r="F479" s="31">
        <v>316</v>
      </c>
      <c r="G479" s="17" t="s">
        <v>34</v>
      </c>
      <c r="H479" s="17" t="s">
        <v>52</v>
      </c>
      <c r="I479" s="17" t="s">
        <v>17</v>
      </c>
      <c r="J479" s="27">
        <v>0.1</v>
      </c>
      <c r="K479" s="17" t="s">
        <v>930</v>
      </c>
      <c r="L479" s="32">
        <v>14</v>
      </c>
      <c r="M479" s="32">
        <f>_xlfn.XLOOKUP(Table2_1[[#This Row],[Product Code]],Product_Code,Unit_Price,0)</f>
        <v>28</v>
      </c>
      <c r="N479" s="31">
        <f>DATEDIF(Table2_1[[#This Row],[Buyer Date of Birth]],Table2_1[[#This Row],[Transaction  Date]],"Y")</f>
        <v>54</v>
      </c>
      <c r="O479" s="33">
        <v>4424</v>
      </c>
      <c r="P479" s="33">
        <f>Table2_1[[#This Row],[Quantity Purchased]]*Table2_1[[#This Row],[UnitPrice]]*(1-Table2_1[[#This Row],[Discount]])</f>
        <v>7963.2</v>
      </c>
      <c r="Q479" s="33">
        <f>Table2_1[[#This Row],[Revenue]]-Table2_1[[#This Row],[COGS]]</f>
        <v>3539.2</v>
      </c>
      <c r="R479" s="39">
        <f>WEEKDAY(Table2_1[[#This Row],[Transaction  Date]])</f>
        <v>6</v>
      </c>
      <c r="S479" s="17" t="str">
        <f>IF(WEEKDAY(Table2_1[[#This Row],[Transaction  Date]],2)&lt;=5,"Weekday","Weekend")</f>
        <v>Weekday</v>
      </c>
      <c r="T479" s="37" t="str">
        <f>FLOOR(Table2_1[[#This Row],[Age]],15)&amp; "-"&amp; FLOOR(Table2_1[[#This Row],[Age]],15)+14</f>
        <v>45-59</v>
      </c>
    </row>
    <row r="480" spans="1:20" x14ac:dyDescent="0.3">
      <c r="A480" s="18">
        <v>45394</v>
      </c>
      <c r="B480" s="17" t="s">
        <v>1371</v>
      </c>
      <c r="C480" s="17" t="s">
        <v>71</v>
      </c>
      <c r="D480" s="18">
        <v>37751</v>
      </c>
      <c r="E480" s="16" t="s">
        <v>33</v>
      </c>
      <c r="F480" s="31">
        <v>275</v>
      </c>
      <c r="G480" s="17" t="s">
        <v>65</v>
      </c>
      <c r="H480" s="17" t="s">
        <v>28</v>
      </c>
      <c r="I480" s="17" t="s">
        <v>17</v>
      </c>
      <c r="J480" s="27">
        <v>0.1</v>
      </c>
      <c r="K480" s="17" t="s">
        <v>928</v>
      </c>
      <c r="L480" s="32">
        <v>3</v>
      </c>
      <c r="M480" s="32">
        <f>_xlfn.XLOOKUP(Table2_1[[#This Row],[Product Code]],Product_Code,Unit_Price,0)</f>
        <v>5</v>
      </c>
      <c r="N480" s="31">
        <f>DATEDIF(Table2_1[[#This Row],[Buyer Date of Birth]],Table2_1[[#This Row],[Transaction  Date]],"Y")</f>
        <v>20</v>
      </c>
      <c r="O480" s="33">
        <v>825</v>
      </c>
      <c r="P480" s="33">
        <f>Table2_1[[#This Row],[Quantity Purchased]]*Table2_1[[#This Row],[UnitPrice]]*(1-Table2_1[[#This Row],[Discount]])</f>
        <v>1237.5</v>
      </c>
      <c r="Q480" s="33">
        <f>Table2_1[[#This Row],[Revenue]]-Table2_1[[#This Row],[COGS]]</f>
        <v>412.5</v>
      </c>
      <c r="R480" s="39">
        <f>WEEKDAY(Table2_1[[#This Row],[Transaction  Date]])</f>
        <v>6</v>
      </c>
      <c r="S480" s="17" t="str">
        <f>IF(WEEKDAY(Table2_1[[#This Row],[Transaction  Date]],2)&lt;=5,"Weekday","Weekend")</f>
        <v>Weekday</v>
      </c>
      <c r="T480" s="37" t="str">
        <f>FLOOR(Table2_1[[#This Row],[Age]],15)&amp; "-"&amp; FLOOR(Table2_1[[#This Row],[Age]],15)+14</f>
        <v>15-29</v>
      </c>
    </row>
    <row r="481" spans="1:20" x14ac:dyDescent="0.3">
      <c r="A481" s="18">
        <v>45394</v>
      </c>
      <c r="B481" s="17" t="s">
        <v>1372</v>
      </c>
      <c r="C481" s="17" t="s">
        <v>38</v>
      </c>
      <c r="D481" s="18">
        <v>37652</v>
      </c>
      <c r="E481" s="16" t="s">
        <v>68</v>
      </c>
      <c r="F481" s="31">
        <v>275</v>
      </c>
      <c r="G481" s="17" t="s">
        <v>56</v>
      </c>
      <c r="H481" s="17" t="s">
        <v>48</v>
      </c>
      <c r="I481" s="17" t="s">
        <v>17</v>
      </c>
      <c r="J481" s="27">
        <v>0.1</v>
      </c>
      <c r="K481" s="17" t="s">
        <v>935</v>
      </c>
      <c r="L481" s="32">
        <v>18</v>
      </c>
      <c r="M481" s="32">
        <f>_xlfn.XLOOKUP(Table2_1[[#This Row],[Product Code]],Product_Code,Unit_Price,0)</f>
        <v>36</v>
      </c>
      <c r="N481" s="31">
        <f>DATEDIF(Table2_1[[#This Row],[Buyer Date of Birth]],Table2_1[[#This Row],[Transaction  Date]],"Y")</f>
        <v>21</v>
      </c>
      <c r="O481" s="33">
        <v>4950</v>
      </c>
      <c r="P481" s="33">
        <f>Table2_1[[#This Row],[Quantity Purchased]]*Table2_1[[#This Row],[UnitPrice]]*(1-Table2_1[[#This Row],[Discount]])</f>
        <v>8910</v>
      </c>
      <c r="Q481" s="33">
        <f>Table2_1[[#This Row],[Revenue]]-Table2_1[[#This Row],[COGS]]</f>
        <v>3960</v>
      </c>
      <c r="R481" s="39">
        <f>WEEKDAY(Table2_1[[#This Row],[Transaction  Date]])</f>
        <v>6</v>
      </c>
      <c r="S481" s="17" t="str">
        <f>IF(WEEKDAY(Table2_1[[#This Row],[Transaction  Date]],2)&lt;=5,"Weekday","Weekend")</f>
        <v>Weekday</v>
      </c>
      <c r="T481" s="37" t="str">
        <f>FLOOR(Table2_1[[#This Row],[Age]],15)&amp; "-"&amp; FLOOR(Table2_1[[#This Row],[Age]],15)+14</f>
        <v>15-29</v>
      </c>
    </row>
    <row r="482" spans="1:20" x14ac:dyDescent="0.3">
      <c r="A482" s="18">
        <v>45394</v>
      </c>
      <c r="B482" s="17" t="s">
        <v>1373</v>
      </c>
      <c r="C482" s="17" t="s">
        <v>55</v>
      </c>
      <c r="D482" s="18">
        <v>23602</v>
      </c>
      <c r="E482" s="16" t="s">
        <v>14</v>
      </c>
      <c r="F482" s="31">
        <v>371</v>
      </c>
      <c r="G482" s="17" t="s">
        <v>47</v>
      </c>
      <c r="H482" s="17" t="s">
        <v>48</v>
      </c>
      <c r="I482" s="17" t="s">
        <v>17</v>
      </c>
      <c r="J482" s="27">
        <v>0.1</v>
      </c>
      <c r="K482" s="17" t="s">
        <v>931</v>
      </c>
      <c r="L482" s="32">
        <v>7</v>
      </c>
      <c r="M482" s="32">
        <f>_xlfn.XLOOKUP(Table2_1[[#This Row],[Product Code]],Product_Code,Unit_Price,0)</f>
        <v>9</v>
      </c>
      <c r="N482" s="31">
        <f>DATEDIF(Table2_1[[#This Row],[Buyer Date of Birth]],Table2_1[[#This Row],[Transaction  Date]],"Y")</f>
        <v>59</v>
      </c>
      <c r="O482" s="33">
        <v>2597</v>
      </c>
      <c r="P482" s="33">
        <f>Table2_1[[#This Row],[Quantity Purchased]]*Table2_1[[#This Row],[UnitPrice]]*(1-Table2_1[[#This Row],[Discount]])</f>
        <v>3005.1</v>
      </c>
      <c r="Q482" s="33">
        <f>Table2_1[[#This Row],[Revenue]]-Table2_1[[#This Row],[COGS]]</f>
        <v>408.09999999999991</v>
      </c>
      <c r="R482" s="39">
        <f>WEEKDAY(Table2_1[[#This Row],[Transaction  Date]])</f>
        <v>6</v>
      </c>
      <c r="S482" s="17" t="str">
        <f>IF(WEEKDAY(Table2_1[[#This Row],[Transaction  Date]],2)&lt;=5,"Weekday","Weekend")</f>
        <v>Weekday</v>
      </c>
      <c r="T482" s="37" t="str">
        <f>FLOOR(Table2_1[[#This Row],[Age]],15)&amp; "-"&amp; FLOOR(Table2_1[[#This Row],[Age]],15)+14</f>
        <v>45-59</v>
      </c>
    </row>
    <row r="483" spans="1:20" x14ac:dyDescent="0.3">
      <c r="A483" s="18">
        <v>45394</v>
      </c>
      <c r="B483" s="17" t="s">
        <v>1374</v>
      </c>
      <c r="C483" s="17" t="s">
        <v>32</v>
      </c>
      <c r="D483" s="18">
        <v>35507</v>
      </c>
      <c r="E483" s="16" t="s">
        <v>68</v>
      </c>
      <c r="F483" s="31">
        <v>407</v>
      </c>
      <c r="G483" s="17" t="s">
        <v>59</v>
      </c>
      <c r="H483" s="17" t="s">
        <v>52</v>
      </c>
      <c r="I483" s="17" t="s">
        <v>17</v>
      </c>
      <c r="J483" s="27">
        <v>0.1</v>
      </c>
      <c r="K483" s="17" t="s">
        <v>932</v>
      </c>
      <c r="L483" s="32">
        <v>19</v>
      </c>
      <c r="M483" s="32">
        <f>_xlfn.XLOOKUP(Table2_1[[#This Row],[Product Code]],Product_Code,Unit_Price,0)</f>
        <v>23</v>
      </c>
      <c r="N483" s="31">
        <f>DATEDIF(Table2_1[[#This Row],[Buyer Date of Birth]],Table2_1[[#This Row],[Transaction  Date]],"Y")</f>
        <v>27</v>
      </c>
      <c r="O483" s="33">
        <v>7733</v>
      </c>
      <c r="P483" s="33">
        <f>Table2_1[[#This Row],[Quantity Purchased]]*Table2_1[[#This Row],[UnitPrice]]*(1-Table2_1[[#This Row],[Discount]])</f>
        <v>8424.9</v>
      </c>
      <c r="Q483" s="33">
        <f>Table2_1[[#This Row],[Revenue]]-Table2_1[[#This Row],[COGS]]</f>
        <v>691.89999999999964</v>
      </c>
      <c r="R483" s="39">
        <f>WEEKDAY(Table2_1[[#This Row],[Transaction  Date]])</f>
        <v>6</v>
      </c>
      <c r="S483" s="17" t="str">
        <f>IF(WEEKDAY(Table2_1[[#This Row],[Transaction  Date]],2)&lt;=5,"Weekday","Weekend")</f>
        <v>Weekday</v>
      </c>
      <c r="T483" s="37" t="str">
        <f>FLOOR(Table2_1[[#This Row],[Age]],15)&amp; "-"&amp; FLOOR(Table2_1[[#This Row],[Age]],15)+14</f>
        <v>15-29</v>
      </c>
    </row>
    <row r="484" spans="1:20" x14ac:dyDescent="0.3">
      <c r="A484" s="18">
        <v>45394</v>
      </c>
      <c r="B484" s="17" t="s">
        <v>1375</v>
      </c>
      <c r="C484" s="17" t="s">
        <v>51</v>
      </c>
      <c r="D484" s="18">
        <v>26696</v>
      </c>
      <c r="E484" s="16" t="s">
        <v>33</v>
      </c>
      <c r="F484" s="31">
        <v>283</v>
      </c>
      <c r="G484" s="17" t="s">
        <v>65</v>
      </c>
      <c r="H484" s="17" t="s">
        <v>28</v>
      </c>
      <c r="I484" s="17" t="s">
        <v>17</v>
      </c>
      <c r="J484" s="27">
        <v>0.1</v>
      </c>
      <c r="K484" s="17" t="s">
        <v>928</v>
      </c>
      <c r="L484" s="32">
        <v>3</v>
      </c>
      <c r="M484" s="32">
        <f>_xlfn.XLOOKUP(Table2_1[[#This Row],[Product Code]],Product_Code,Unit_Price,0)</f>
        <v>5</v>
      </c>
      <c r="N484" s="31">
        <f>DATEDIF(Table2_1[[#This Row],[Buyer Date of Birth]],Table2_1[[#This Row],[Transaction  Date]],"Y")</f>
        <v>51</v>
      </c>
      <c r="O484" s="33">
        <v>849</v>
      </c>
      <c r="P484" s="33">
        <f>Table2_1[[#This Row],[Quantity Purchased]]*Table2_1[[#This Row],[UnitPrice]]*(1-Table2_1[[#This Row],[Discount]])</f>
        <v>1273.5</v>
      </c>
      <c r="Q484" s="33">
        <f>Table2_1[[#This Row],[Revenue]]-Table2_1[[#This Row],[COGS]]</f>
        <v>424.5</v>
      </c>
      <c r="R484" s="39">
        <f>WEEKDAY(Table2_1[[#This Row],[Transaction  Date]])</f>
        <v>6</v>
      </c>
      <c r="S484" s="17" t="str">
        <f>IF(WEEKDAY(Table2_1[[#This Row],[Transaction  Date]],2)&lt;=5,"Weekday","Weekend")</f>
        <v>Weekday</v>
      </c>
      <c r="T484" s="37" t="str">
        <f>FLOOR(Table2_1[[#This Row],[Age]],15)&amp; "-"&amp; FLOOR(Table2_1[[#This Row],[Age]],15)+14</f>
        <v>45-59</v>
      </c>
    </row>
    <row r="485" spans="1:20" x14ac:dyDescent="0.3">
      <c r="A485" s="18">
        <v>45395</v>
      </c>
      <c r="B485" s="17" t="s">
        <v>1376</v>
      </c>
      <c r="C485" s="17" t="s">
        <v>32</v>
      </c>
      <c r="D485" s="18">
        <v>23729</v>
      </c>
      <c r="E485" s="16" t="s">
        <v>33</v>
      </c>
      <c r="F485" s="31">
        <v>205</v>
      </c>
      <c r="G485" s="17" t="s">
        <v>59</v>
      </c>
      <c r="H485" s="17" t="s">
        <v>35</v>
      </c>
      <c r="I485" s="17" t="s">
        <v>29</v>
      </c>
      <c r="J485" s="27">
        <v>0.1</v>
      </c>
      <c r="K485" s="17" t="s">
        <v>932</v>
      </c>
      <c r="L485" s="32">
        <v>19</v>
      </c>
      <c r="M485" s="32">
        <f>_xlfn.XLOOKUP(Table2_1[[#This Row],[Product Code]],Product_Code,Unit_Price,0)</f>
        <v>23</v>
      </c>
      <c r="N485" s="31">
        <f>DATEDIF(Table2_1[[#This Row],[Buyer Date of Birth]],Table2_1[[#This Row],[Transaction  Date]],"Y")</f>
        <v>59</v>
      </c>
      <c r="O485" s="33">
        <v>3895</v>
      </c>
      <c r="P485" s="33">
        <f>Table2_1[[#This Row],[Quantity Purchased]]*Table2_1[[#This Row],[UnitPrice]]*(1-Table2_1[[#This Row],[Discount]])</f>
        <v>4243.5</v>
      </c>
      <c r="Q485" s="33">
        <f>Table2_1[[#This Row],[Revenue]]-Table2_1[[#This Row],[COGS]]</f>
        <v>348.5</v>
      </c>
      <c r="R485" s="39">
        <f>WEEKDAY(Table2_1[[#This Row],[Transaction  Date]])</f>
        <v>7</v>
      </c>
      <c r="S485" s="17" t="str">
        <f>IF(WEEKDAY(Table2_1[[#This Row],[Transaction  Date]],2)&lt;=5,"Weekday","Weekend")</f>
        <v>Weekend</v>
      </c>
      <c r="T485" s="37" t="str">
        <f>FLOOR(Table2_1[[#This Row],[Age]],15)&amp; "-"&amp; FLOOR(Table2_1[[#This Row],[Age]],15)+14</f>
        <v>45-59</v>
      </c>
    </row>
    <row r="486" spans="1:20" x14ac:dyDescent="0.3">
      <c r="A486" s="18">
        <v>45395</v>
      </c>
      <c r="B486" s="17" t="s">
        <v>1377</v>
      </c>
      <c r="C486" s="17" t="s">
        <v>78</v>
      </c>
      <c r="D486" s="18">
        <v>38920</v>
      </c>
      <c r="E486" s="16" t="s">
        <v>33</v>
      </c>
      <c r="F486" s="31">
        <v>197</v>
      </c>
      <c r="G486" s="17" t="s">
        <v>27</v>
      </c>
      <c r="H486" s="17" t="s">
        <v>52</v>
      </c>
      <c r="I486" s="17" t="s">
        <v>29</v>
      </c>
      <c r="J486" s="27">
        <v>0.1</v>
      </c>
      <c r="K486" s="17" t="s">
        <v>927</v>
      </c>
      <c r="L486" s="32">
        <v>18</v>
      </c>
      <c r="M486" s="32">
        <f>_xlfn.XLOOKUP(Table2_1[[#This Row],[Product Code]],Product_Code,Unit_Price,0)</f>
        <v>22</v>
      </c>
      <c r="N486" s="31">
        <f>DATEDIF(Table2_1[[#This Row],[Buyer Date of Birth]],Table2_1[[#This Row],[Transaction  Date]],"Y")</f>
        <v>17</v>
      </c>
      <c r="O486" s="33">
        <v>3546</v>
      </c>
      <c r="P486" s="33">
        <f>Table2_1[[#This Row],[Quantity Purchased]]*Table2_1[[#This Row],[UnitPrice]]*(1-Table2_1[[#This Row],[Discount]])</f>
        <v>3900.6</v>
      </c>
      <c r="Q486" s="33">
        <f>Table2_1[[#This Row],[Revenue]]-Table2_1[[#This Row],[COGS]]</f>
        <v>354.59999999999991</v>
      </c>
      <c r="R486" s="39">
        <f>WEEKDAY(Table2_1[[#This Row],[Transaction  Date]])</f>
        <v>7</v>
      </c>
      <c r="S486" s="17" t="str">
        <f>IF(WEEKDAY(Table2_1[[#This Row],[Transaction  Date]],2)&lt;=5,"Weekday","Weekend")</f>
        <v>Weekend</v>
      </c>
      <c r="T486" s="37" t="str">
        <f>FLOOR(Table2_1[[#This Row],[Age]],15)&amp; "-"&amp; FLOOR(Table2_1[[#This Row],[Age]],15)+14</f>
        <v>15-29</v>
      </c>
    </row>
    <row r="487" spans="1:20" x14ac:dyDescent="0.3">
      <c r="A487" s="18">
        <v>45395</v>
      </c>
      <c r="B487" s="17" t="s">
        <v>1378</v>
      </c>
      <c r="C487" s="17" t="s">
        <v>83</v>
      </c>
      <c r="D487" s="18">
        <v>15936</v>
      </c>
      <c r="E487" s="16" t="s">
        <v>68</v>
      </c>
      <c r="F487" s="31">
        <v>291</v>
      </c>
      <c r="G487" s="17" t="s">
        <v>59</v>
      </c>
      <c r="H487" s="17" t="s">
        <v>48</v>
      </c>
      <c r="I487" s="17" t="s">
        <v>17</v>
      </c>
      <c r="J487" s="27">
        <v>0.1</v>
      </c>
      <c r="K487" s="17" t="s">
        <v>932</v>
      </c>
      <c r="L487" s="32">
        <v>19</v>
      </c>
      <c r="M487" s="32">
        <f>_xlfn.XLOOKUP(Table2_1[[#This Row],[Product Code]],Product_Code,Unit_Price,0)</f>
        <v>23</v>
      </c>
      <c r="N487" s="31">
        <f>DATEDIF(Table2_1[[#This Row],[Buyer Date of Birth]],Table2_1[[#This Row],[Transaction  Date]],"Y")</f>
        <v>80</v>
      </c>
      <c r="O487" s="33">
        <v>5529</v>
      </c>
      <c r="P487" s="33">
        <f>Table2_1[[#This Row],[Quantity Purchased]]*Table2_1[[#This Row],[UnitPrice]]*(1-Table2_1[[#This Row],[Discount]])</f>
        <v>6023.7</v>
      </c>
      <c r="Q487" s="33">
        <f>Table2_1[[#This Row],[Revenue]]-Table2_1[[#This Row],[COGS]]</f>
        <v>494.69999999999982</v>
      </c>
      <c r="R487" s="39">
        <f>WEEKDAY(Table2_1[[#This Row],[Transaction  Date]])</f>
        <v>7</v>
      </c>
      <c r="S487" s="17" t="str">
        <f>IF(WEEKDAY(Table2_1[[#This Row],[Transaction  Date]],2)&lt;=5,"Weekday","Weekend")</f>
        <v>Weekend</v>
      </c>
      <c r="T487" s="37" t="str">
        <f>FLOOR(Table2_1[[#This Row],[Age]],15)&amp; "-"&amp; FLOOR(Table2_1[[#This Row],[Age]],15)+14</f>
        <v>75-89</v>
      </c>
    </row>
    <row r="488" spans="1:20" x14ac:dyDescent="0.3">
      <c r="A488" s="18">
        <v>45395</v>
      </c>
      <c r="B488" s="17" t="s">
        <v>1379</v>
      </c>
      <c r="C488" s="17" t="s">
        <v>38</v>
      </c>
      <c r="D488" s="18">
        <v>16740</v>
      </c>
      <c r="E488" s="16" t="s">
        <v>33</v>
      </c>
      <c r="F488" s="31">
        <v>277</v>
      </c>
      <c r="G488" s="17" t="s">
        <v>15</v>
      </c>
      <c r="H488" s="17" t="s">
        <v>28</v>
      </c>
      <c r="I488" s="17" t="s">
        <v>17</v>
      </c>
      <c r="J488" s="27">
        <v>0.1</v>
      </c>
      <c r="K488" s="17" t="s">
        <v>929</v>
      </c>
      <c r="L488" s="32">
        <v>10</v>
      </c>
      <c r="M488" s="32">
        <f>_xlfn.XLOOKUP(Table2_1[[#This Row],[Product Code]],Product_Code,Unit_Price,0)</f>
        <v>14</v>
      </c>
      <c r="N488" s="31">
        <f>DATEDIF(Table2_1[[#This Row],[Buyer Date of Birth]],Table2_1[[#This Row],[Transaction  Date]],"Y")</f>
        <v>78</v>
      </c>
      <c r="O488" s="33">
        <v>2770</v>
      </c>
      <c r="P488" s="33">
        <f>Table2_1[[#This Row],[Quantity Purchased]]*Table2_1[[#This Row],[UnitPrice]]*(1-Table2_1[[#This Row],[Discount]])</f>
        <v>3490.2000000000003</v>
      </c>
      <c r="Q488" s="33">
        <f>Table2_1[[#This Row],[Revenue]]-Table2_1[[#This Row],[COGS]]</f>
        <v>720.20000000000027</v>
      </c>
      <c r="R488" s="39">
        <f>WEEKDAY(Table2_1[[#This Row],[Transaction  Date]])</f>
        <v>7</v>
      </c>
      <c r="S488" s="17" t="str">
        <f>IF(WEEKDAY(Table2_1[[#This Row],[Transaction  Date]],2)&lt;=5,"Weekday","Weekend")</f>
        <v>Weekend</v>
      </c>
      <c r="T488" s="37" t="str">
        <f>FLOOR(Table2_1[[#This Row],[Age]],15)&amp; "-"&amp; FLOOR(Table2_1[[#This Row],[Age]],15)+14</f>
        <v>75-89</v>
      </c>
    </row>
    <row r="489" spans="1:20" x14ac:dyDescent="0.3">
      <c r="A489" s="18">
        <v>45395</v>
      </c>
      <c r="B489" s="17" t="s">
        <v>1380</v>
      </c>
      <c r="C489" s="17" t="s">
        <v>94</v>
      </c>
      <c r="D489" s="18">
        <v>17897</v>
      </c>
      <c r="E489" s="16" t="s">
        <v>68</v>
      </c>
      <c r="F489" s="31">
        <v>90</v>
      </c>
      <c r="G489" s="17" t="s">
        <v>27</v>
      </c>
      <c r="H489" s="17" t="s">
        <v>52</v>
      </c>
      <c r="I489" s="17" t="s">
        <v>17</v>
      </c>
      <c r="J489" s="27">
        <v>0.1</v>
      </c>
      <c r="K489" s="17" t="s">
        <v>927</v>
      </c>
      <c r="L489" s="32">
        <v>18</v>
      </c>
      <c r="M489" s="32">
        <f>_xlfn.XLOOKUP(Table2_1[[#This Row],[Product Code]],Product_Code,Unit_Price,0)</f>
        <v>22</v>
      </c>
      <c r="N489" s="31">
        <f>DATEDIF(Table2_1[[#This Row],[Buyer Date of Birth]],Table2_1[[#This Row],[Transaction  Date]],"Y")</f>
        <v>75</v>
      </c>
      <c r="O489" s="33">
        <v>1620</v>
      </c>
      <c r="P489" s="33">
        <f>Table2_1[[#This Row],[Quantity Purchased]]*Table2_1[[#This Row],[UnitPrice]]*(1-Table2_1[[#This Row],[Discount]])</f>
        <v>1782</v>
      </c>
      <c r="Q489" s="33">
        <f>Table2_1[[#This Row],[Revenue]]-Table2_1[[#This Row],[COGS]]</f>
        <v>162</v>
      </c>
      <c r="R489" s="39">
        <f>WEEKDAY(Table2_1[[#This Row],[Transaction  Date]])</f>
        <v>7</v>
      </c>
      <c r="S489" s="17" t="str">
        <f>IF(WEEKDAY(Table2_1[[#This Row],[Transaction  Date]],2)&lt;=5,"Weekday","Weekend")</f>
        <v>Weekend</v>
      </c>
      <c r="T489" s="37" t="str">
        <f>FLOOR(Table2_1[[#This Row],[Age]],15)&amp; "-"&amp; FLOOR(Table2_1[[#This Row],[Age]],15)+14</f>
        <v>75-89</v>
      </c>
    </row>
    <row r="490" spans="1:20" x14ac:dyDescent="0.3">
      <c r="A490" s="18">
        <v>45395</v>
      </c>
      <c r="B490" s="17" t="s">
        <v>1381</v>
      </c>
      <c r="C490" s="17" t="s">
        <v>55</v>
      </c>
      <c r="D490" s="18">
        <v>34463</v>
      </c>
      <c r="E490" s="16" t="s">
        <v>14</v>
      </c>
      <c r="F490" s="31">
        <v>251</v>
      </c>
      <c r="G490" s="17" t="s">
        <v>34</v>
      </c>
      <c r="H490" s="17" t="s">
        <v>48</v>
      </c>
      <c r="I490" s="17" t="s">
        <v>17</v>
      </c>
      <c r="J490" s="27">
        <v>0.1</v>
      </c>
      <c r="K490" s="17" t="s">
        <v>930</v>
      </c>
      <c r="L490" s="32">
        <v>14</v>
      </c>
      <c r="M490" s="32">
        <f>_xlfn.XLOOKUP(Table2_1[[#This Row],[Product Code]],Product_Code,Unit_Price,0)</f>
        <v>28</v>
      </c>
      <c r="N490" s="31">
        <f>DATEDIF(Table2_1[[#This Row],[Buyer Date of Birth]],Table2_1[[#This Row],[Transaction  Date]],"Y")</f>
        <v>29</v>
      </c>
      <c r="O490" s="33">
        <v>3514</v>
      </c>
      <c r="P490" s="33">
        <f>Table2_1[[#This Row],[Quantity Purchased]]*Table2_1[[#This Row],[UnitPrice]]*(1-Table2_1[[#This Row],[Discount]])</f>
        <v>6325.2</v>
      </c>
      <c r="Q490" s="33">
        <f>Table2_1[[#This Row],[Revenue]]-Table2_1[[#This Row],[COGS]]</f>
        <v>2811.2</v>
      </c>
      <c r="R490" s="39">
        <f>WEEKDAY(Table2_1[[#This Row],[Transaction  Date]])</f>
        <v>7</v>
      </c>
      <c r="S490" s="17" t="str">
        <f>IF(WEEKDAY(Table2_1[[#This Row],[Transaction  Date]],2)&lt;=5,"Weekday","Weekend")</f>
        <v>Weekend</v>
      </c>
      <c r="T490" s="37" t="str">
        <f>FLOOR(Table2_1[[#This Row],[Age]],15)&amp; "-"&amp; FLOOR(Table2_1[[#This Row],[Age]],15)+14</f>
        <v>15-29</v>
      </c>
    </row>
    <row r="491" spans="1:20" x14ac:dyDescent="0.3">
      <c r="A491" s="18">
        <v>45395</v>
      </c>
      <c r="B491" s="17" t="s">
        <v>1382</v>
      </c>
      <c r="C491" s="17" t="s">
        <v>94</v>
      </c>
      <c r="D491" s="18">
        <v>28172</v>
      </c>
      <c r="E491" s="16" t="s">
        <v>14</v>
      </c>
      <c r="F491" s="31">
        <v>181</v>
      </c>
      <c r="G491" s="17" t="s">
        <v>34</v>
      </c>
      <c r="H491" s="17" t="s">
        <v>43</v>
      </c>
      <c r="I491" s="17" t="s">
        <v>17</v>
      </c>
      <c r="J491" s="27">
        <v>0.1</v>
      </c>
      <c r="K491" s="17" t="s">
        <v>930</v>
      </c>
      <c r="L491" s="32">
        <v>14</v>
      </c>
      <c r="M491" s="32">
        <f>_xlfn.XLOOKUP(Table2_1[[#This Row],[Product Code]],Product_Code,Unit_Price,0)</f>
        <v>28</v>
      </c>
      <c r="N491" s="31">
        <f>DATEDIF(Table2_1[[#This Row],[Buyer Date of Birth]],Table2_1[[#This Row],[Transaction  Date]],"Y")</f>
        <v>47</v>
      </c>
      <c r="O491" s="33">
        <v>2534</v>
      </c>
      <c r="P491" s="33">
        <f>Table2_1[[#This Row],[Quantity Purchased]]*Table2_1[[#This Row],[UnitPrice]]*(1-Table2_1[[#This Row],[Discount]])</f>
        <v>4561.2</v>
      </c>
      <c r="Q491" s="33">
        <f>Table2_1[[#This Row],[Revenue]]-Table2_1[[#This Row],[COGS]]</f>
        <v>2027.1999999999998</v>
      </c>
      <c r="R491" s="39">
        <f>WEEKDAY(Table2_1[[#This Row],[Transaction  Date]])</f>
        <v>7</v>
      </c>
      <c r="S491" s="17" t="str">
        <f>IF(WEEKDAY(Table2_1[[#This Row],[Transaction  Date]],2)&lt;=5,"Weekday","Weekend")</f>
        <v>Weekend</v>
      </c>
      <c r="T491" s="37" t="str">
        <f>FLOOR(Table2_1[[#This Row],[Age]],15)&amp; "-"&amp; FLOOR(Table2_1[[#This Row],[Age]],15)+14</f>
        <v>45-59</v>
      </c>
    </row>
    <row r="492" spans="1:20" x14ac:dyDescent="0.3">
      <c r="A492" s="18">
        <v>45395</v>
      </c>
      <c r="B492" s="17" t="s">
        <v>1383</v>
      </c>
      <c r="C492" s="17" t="s">
        <v>55</v>
      </c>
      <c r="D492" s="18">
        <v>29376</v>
      </c>
      <c r="E492" s="16" t="s">
        <v>14</v>
      </c>
      <c r="F492" s="31">
        <v>486</v>
      </c>
      <c r="G492" s="17" t="s">
        <v>64</v>
      </c>
      <c r="H492" s="17" t="s">
        <v>48</v>
      </c>
      <c r="I492" s="17" t="s">
        <v>17</v>
      </c>
      <c r="J492" s="27">
        <v>0.1</v>
      </c>
      <c r="K492" s="17" t="s">
        <v>933</v>
      </c>
      <c r="L492" s="32">
        <v>5</v>
      </c>
      <c r="M492" s="32">
        <f>_xlfn.XLOOKUP(Table2_1[[#This Row],[Product Code]],Product_Code,Unit_Price,0)</f>
        <v>7</v>
      </c>
      <c r="N492" s="31">
        <f>DATEDIF(Table2_1[[#This Row],[Buyer Date of Birth]],Table2_1[[#This Row],[Transaction  Date]],"Y")</f>
        <v>43</v>
      </c>
      <c r="O492" s="33">
        <v>2430</v>
      </c>
      <c r="P492" s="33">
        <f>Table2_1[[#This Row],[Quantity Purchased]]*Table2_1[[#This Row],[UnitPrice]]*(1-Table2_1[[#This Row],[Discount]])</f>
        <v>3061.8</v>
      </c>
      <c r="Q492" s="33">
        <f>Table2_1[[#This Row],[Revenue]]-Table2_1[[#This Row],[COGS]]</f>
        <v>631.80000000000018</v>
      </c>
      <c r="R492" s="39">
        <f>WEEKDAY(Table2_1[[#This Row],[Transaction  Date]])</f>
        <v>7</v>
      </c>
      <c r="S492" s="17" t="str">
        <f>IF(WEEKDAY(Table2_1[[#This Row],[Transaction  Date]],2)&lt;=5,"Weekday","Weekend")</f>
        <v>Weekend</v>
      </c>
      <c r="T492" s="37" t="str">
        <f>FLOOR(Table2_1[[#This Row],[Age]],15)&amp; "-"&amp; FLOOR(Table2_1[[#This Row],[Age]],15)+14</f>
        <v>30-44</v>
      </c>
    </row>
    <row r="493" spans="1:20" x14ac:dyDescent="0.3">
      <c r="A493" s="18">
        <v>45396</v>
      </c>
      <c r="B493" s="17" t="s">
        <v>1384</v>
      </c>
      <c r="C493" s="17" t="s">
        <v>55</v>
      </c>
      <c r="D493" s="18">
        <v>35948</v>
      </c>
      <c r="E493" s="16" t="s">
        <v>14</v>
      </c>
      <c r="F493" s="31">
        <v>21</v>
      </c>
      <c r="G493" s="17" t="s">
        <v>15</v>
      </c>
      <c r="H493" s="17" t="s">
        <v>43</v>
      </c>
      <c r="I493" s="17" t="s">
        <v>17</v>
      </c>
      <c r="J493" s="27">
        <v>0.1</v>
      </c>
      <c r="K493" s="17" t="s">
        <v>929</v>
      </c>
      <c r="L493" s="32">
        <v>10</v>
      </c>
      <c r="M493" s="32">
        <f>_xlfn.XLOOKUP(Table2_1[[#This Row],[Product Code]],Product_Code,Unit_Price,0)</f>
        <v>14</v>
      </c>
      <c r="N493" s="31">
        <f>DATEDIF(Table2_1[[#This Row],[Buyer Date of Birth]],Table2_1[[#This Row],[Transaction  Date]],"Y")</f>
        <v>25</v>
      </c>
      <c r="O493" s="33">
        <v>210</v>
      </c>
      <c r="P493" s="33">
        <f>Table2_1[[#This Row],[Quantity Purchased]]*Table2_1[[#This Row],[UnitPrice]]*(1-Table2_1[[#This Row],[Discount]])</f>
        <v>264.60000000000002</v>
      </c>
      <c r="Q493" s="33">
        <f>Table2_1[[#This Row],[Revenue]]-Table2_1[[#This Row],[COGS]]</f>
        <v>54.600000000000023</v>
      </c>
      <c r="R493" s="39">
        <f>WEEKDAY(Table2_1[[#This Row],[Transaction  Date]])</f>
        <v>1</v>
      </c>
      <c r="S493" s="17" t="str">
        <f>IF(WEEKDAY(Table2_1[[#This Row],[Transaction  Date]],2)&lt;=5,"Weekday","Weekend")</f>
        <v>Weekend</v>
      </c>
      <c r="T493" s="37" t="str">
        <f>FLOOR(Table2_1[[#This Row],[Age]],15)&amp; "-"&amp; FLOOR(Table2_1[[#This Row],[Age]],15)+14</f>
        <v>15-29</v>
      </c>
    </row>
    <row r="494" spans="1:20" x14ac:dyDescent="0.3">
      <c r="A494" s="18">
        <v>45396</v>
      </c>
      <c r="B494" s="17" t="s">
        <v>1385</v>
      </c>
      <c r="C494" s="17" t="s">
        <v>83</v>
      </c>
      <c r="D494" s="18">
        <v>27337</v>
      </c>
      <c r="E494" s="16" t="s">
        <v>33</v>
      </c>
      <c r="F494" s="31">
        <v>400</v>
      </c>
      <c r="G494" s="17" t="s">
        <v>27</v>
      </c>
      <c r="H494" s="17" t="s">
        <v>35</v>
      </c>
      <c r="I494" s="17" t="s">
        <v>17</v>
      </c>
      <c r="J494" s="27">
        <v>0.1</v>
      </c>
      <c r="K494" s="17" t="s">
        <v>927</v>
      </c>
      <c r="L494" s="32">
        <v>18</v>
      </c>
      <c r="M494" s="32">
        <f>_xlfn.XLOOKUP(Table2_1[[#This Row],[Product Code]],Product_Code,Unit_Price,0)</f>
        <v>22</v>
      </c>
      <c r="N494" s="31">
        <f>DATEDIF(Table2_1[[#This Row],[Buyer Date of Birth]],Table2_1[[#This Row],[Transaction  Date]],"Y")</f>
        <v>49</v>
      </c>
      <c r="O494" s="33">
        <v>7200</v>
      </c>
      <c r="P494" s="33">
        <f>Table2_1[[#This Row],[Quantity Purchased]]*Table2_1[[#This Row],[UnitPrice]]*(1-Table2_1[[#This Row],[Discount]])</f>
        <v>7920</v>
      </c>
      <c r="Q494" s="33">
        <f>Table2_1[[#This Row],[Revenue]]-Table2_1[[#This Row],[COGS]]</f>
        <v>720</v>
      </c>
      <c r="R494" s="39">
        <f>WEEKDAY(Table2_1[[#This Row],[Transaction  Date]])</f>
        <v>1</v>
      </c>
      <c r="S494" s="17" t="str">
        <f>IF(WEEKDAY(Table2_1[[#This Row],[Transaction  Date]],2)&lt;=5,"Weekday","Weekend")</f>
        <v>Weekend</v>
      </c>
      <c r="T494" s="37" t="str">
        <f>FLOOR(Table2_1[[#This Row],[Age]],15)&amp; "-"&amp; FLOOR(Table2_1[[#This Row],[Age]],15)+14</f>
        <v>45-59</v>
      </c>
    </row>
    <row r="495" spans="1:20" x14ac:dyDescent="0.3">
      <c r="A495" s="18">
        <v>45396</v>
      </c>
      <c r="B495" s="17" t="s">
        <v>1386</v>
      </c>
      <c r="C495" s="17" t="s">
        <v>26</v>
      </c>
      <c r="D495" s="18">
        <v>21509</v>
      </c>
      <c r="E495" s="16" t="s">
        <v>14</v>
      </c>
      <c r="F495" s="31">
        <v>52</v>
      </c>
      <c r="G495" s="17" t="s">
        <v>59</v>
      </c>
      <c r="H495" s="17" t="s">
        <v>48</v>
      </c>
      <c r="I495" s="17" t="s">
        <v>17</v>
      </c>
      <c r="J495" s="27">
        <v>0.1</v>
      </c>
      <c r="K495" s="17" t="s">
        <v>932</v>
      </c>
      <c r="L495" s="32">
        <v>19</v>
      </c>
      <c r="M495" s="32">
        <f>_xlfn.XLOOKUP(Table2_1[[#This Row],[Product Code]],Product_Code,Unit_Price,0)</f>
        <v>23</v>
      </c>
      <c r="N495" s="31">
        <f>DATEDIF(Table2_1[[#This Row],[Buyer Date of Birth]],Table2_1[[#This Row],[Transaction  Date]],"Y")</f>
        <v>65</v>
      </c>
      <c r="O495" s="33">
        <v>988</v>
      </c>
      <c r="P495" s="33">
        <f>Table2_1[[#This Row],[Quantity Purchased]]*Table2_1[[#This Row],[UnitPrice]]*(1-Table2_1[[#This Row],[Discount]])</f>
        <v>1076.4000000000001</v>
      </c>
      <c r="Q495" s="33">
        <f>Table2_1[[#This Row],[Revenue]]-Table2_1[[#This Row],[COGS]]</f>
        <v>88.400000000000091</v>
      </c>
      <c r="R495" s="39">
        <f>WEEKDAY(Table2_1[[#This Row],[Transaction  Date]])</f>
        <v>1</v>
      </c>
      <c r="S495" s="17" t="str">
        <f>IF(WEEKDAY(Table2_1[[#This Row],[Transaction  Date]],2)&lt;=5,"Weekday","Weekend")</f>
        <v>Weekend</v>
      </c>
      <c r="T495" s="37" t="str">
        <f>FLOOR(Table2_1[[#This Row],[Age]],15)&amp; "-"&amp; FLOOR(Table2_1[[#This Row],[Age]],15)+14</f>
        <v>60-74</v>
      </c>
    </row>
    <row r="496" spans="1:20" x14ac:dyDescent="0.3">
      <c r="A496" s="18">
        <v>45396</v>
      </c>
      <c r="B496" s="17" t="s">
        <v>1387</v>
      </c>
      <c r="C496" s="17" t="s">
        <v>46</v>
      </c>
      <c r="D496" s="18">
        <v>18760</v>
      </c>
      <c r="E496" s="16" t="s">
        <v>14</v>
      </c>
      <c r="F496" s="31">
        <v>209</v>
      </c>
      <c r="G496" s="17" t="s">
        <v>34</v>
      </c>
      <c r="H496" s="17" t="s">
        <v>48</v>
      </c>
      <c r="I496" s="17" t="s">
        <v>17</v>
      </c>
      <c r="J496" s="27">
        <v>0.1</v>
      </c>
      <c r="K496" s="17" t="s">
        <v>930</v>
      </c>
      <c r="L496" s="32">
        <v>14</v>
      </c>
      <c r="M496" s="32">
        <f>_xlfn.XLOOKUP(Table2_1[[#This Row],[Product Code]],Product_Code,Unit_Price,0)</f>
        <v>28</v>
      </c>
      <c r="N496" s="31">
        <f>DATEDIF(Table2_1[[#This Row],[Buyer Date of Birth]],Table2_1[[#This Row],[Transaction  Date]],"Y")</f>
        <v>72</v>
      </c>
      <c r="O496" s="33">
        <v>2926</v>
      </c>
      <c r="P496" s="33">
        <f>Table2_1[[#This Row],[Quantity Purchased]]*Table2_1[[#This Row],[UnitPrice]]*(1-Table2_1[[#This Row],[Discount]])</f>
        <v>5266.8</v>
      </c>
      <c r="Q496" s="33">
        <f>Table2_1[[#This Row],[Revenue]]-Table2_1[[#This Row],[COGS]]</f>
        <v>2340.8000000000002</v>
      </c>
      <c r="R496" s="39">
        <f>WEEKDAY(Table2_1[[#This Row],[Transaction  Date]])</f>
        <v>1</v>
      </c>
      <c r="S496" s="17" t="str">
        <f>IF(WEEKDAY(Table2_1[[#This Row],[Transaction  Date]],2)&lt;=5,"Weekday","Weekend")</f>
        <v>Weekend</v>
      </c>
      <c r="T496" s="37" t="str">
        <f>FLOOR(Table2_1[[#This Row],[Age]],15)&amp; "-"&amp; FLOOR(Table2_1[[#This Row],[Age]],15)+14</f>
        <v>60-74</v>
      </c>
    </row>
    <row r="497" spans="1:20" x14ac:dyDescent="0.3">
      <c r="A497" s="18">
        <v>45396</v>
      </c>
      <c r="B497" s="17" t="s">
        <v>1388</v>
      </c>
      <c r="C497" s="17" t="s">
        <v>26</v>
      </c>
      <c r="D497" s="18">
        <v>29805</v>
      </c>
      <c r="E497" s="16" t="s">
        <v>68</v>
      </c>
      <c r="F497" s="31">
        <v>181</v>
      </c>
      <c r="G497" s="17" t="s">
        <v>34</v>
      </c>
      <c r="H497" s="17" t="s">
        <v>32</v>
      </c>
      <c r="I497" s="17" t="s">
        <v>17</v>
      </c>
      <c r="J497" s="27">
        <v>0.1</v>
      </c>
      <c r="K497" s="17" t="s">
        <v>930</v>
      </c>
      <c r="L497" s="32">
        <v>14</v>
      </c>
      <c r="M497" s="32">
        <f>_xlfn.XLOOKUP(Table2_1[[#This Row],[Product Code]],Product_Code,Unit_Price,0)</f>
        <v>28</v>
      </c>
      <c r="N497" s="31">
        <f>DATEDIF(Table2_1[[#This Row],[Buyer Date of Birth]],Table2_1[[#This Row],[Transaction  Date]],"Y")</f>
        <v>42</v>
      </c>
      <c r="O497" s="33">
        <v>2534</v>
      </c>
      <c r="P497" s="33">
        <f>Table2_1[[#This Row],[Quantity Purchased]]*Table2_1[[#This Row],[UnitPrice]]*(1-Table2_1[[#This Row],[Discount]])</f>
        <v>4561.2</v>
      </c>
      <c r="Q497" s="33">
        <f>Table2_1[[#This Row],[Revenue]]-Table2_1[[#This Row],[COGS]]</f>
        <v>2027.1999999999998</v>
      </c>
      <c r="R497" s="39">
        <f>WEEKDAY(Table2_1[[#This Row],[Transaction  Date]])</f>
        <v>1</v>
      </c>
      <c r="S497" s="17" t="str">
        <f>IF(WEEKDAY(Table2_1[[#This Row],[Transaction  Date]],2)&lt;=5,"Weekday","Weekend")</f>
        <v>Weekend</v>
      </c>
      <c r="T497" s="37" t="str">
        <f>FLOOR(Table2_1[[#This Row],[Age]],15)&amp; "-"&amp; FLOOR(Table2_1[[#This Row],[Age]],15)+14</f>
        <v>30-44</v>
      </c>
    </row>
    <row r="498" spans="1:20" x14ac:dyDescent="0.3">
      <c r="A498" s="18">
        <v>45396</v>
      </c>
      <c r="B498" s="17" t="s">
        <v>1389</v>
      </c>
      <c r="C498" s="17" t="s">
        <v>94</v>
      </c>
      <c r="D498" s="18">
        <v>16727</v>
      </c>
      <c r="E498" s="16" t="s">
        <v>14</v>
      </c>
      <c r="F498" s="31">
        <v>385</v>
      </c>
      <c r="G498" s="17" t="s">
        <v>59</v>
      </c>
      <c r="H498" s="17" t="s">
        <v>43</v>
      </c>
      <c r="I498" s="17" t="s">
        <v>17</v>
      </c>
      <c r="J498" s="27">
        <v>0.1</v>
      </c>
      <c r="K498" s="17" t="s">
        <v>932</v>
      </c>
      <c r="L498" s="32">
        <v>19</v>
      </c>
      <c r="M498" s="32">
        <f>_xlfn.XLOOKUP(Table2_1[[#This Row],[Product Code]],Product_Code,Unit_Price,0)</f>
        <v>23</v>
      </c>
      <c r="N498" s="31">
        <f>DATEDIF(Table2_1[[#This Row],[Buyer Date of Birth]],Table2_1[[#This Row],[Transaction  Date]],"Y")</f>
        <v>78</v>
      </c>
      <c r="O498" s="33">
        <v>7315</v>
      </c>
      <c r="P498" s="33">
        <f>Table2_1[[#This Row],[Quantity Purchased]]*Table2_1[[#This Row],[UnitPrice]]*(1-Table2_1[[#This Row],[Discount]])</f>
        <v>7969.5</v>
      </c>
      <c r="Q498" s="33">
        <f>Table2_1[[#This Row],[Revenue]]-Table2_1[[#This Row],[COGS]]</f>
        <v>654.5</v>
      </c>
      <c r="R498" s="39">
        <f>WEEKDAY(Table2_1[[#This Row],[Transaction  Date]])</f>
        <v>1</v>
      </c>
      <c r="S498" s="17" t="str">
        <f>IF(WEEKDAY(Table2_1[[#This Row],[Transaction  Date]],2)&lt;=5,"Weekday","Weekend")</f>
        <v>Weekend</v>
      </c>
      <c r="T498" s="37" t="str">
        <f>FLOOR(Table2_1[[#This Row],[Age]],15)&amp; "-"&amp; FLOOR(Table2_1[[#This Row],[Age]],15)+14</f>
        <v>75-89</v>
      </c>
    </row>
    <row r="499" spans="1:20" x14ac:dyDescent="0.3">
      <c r="A499" s="18">
        <v>45397</v>
      </c>
      <c r="B499" s="17" t="s">
        <v>1390</v>
      </c>
      <c r="C499" s="17" t="s">
        <v>78</v>
      </c>
      <c r="D499" s="18">
        <v>25396</v>
      </c>
      <c r="E499" s="16" t="s">
        <v>20</v>
      </c>
      <c r="F499" s="31">
        <v>478</v>
      </c>
      <c r="G499" s="17" t="s">
        <v>27</v>
      </c>
      <c r="H499" s="17" t="s">
        <v>28</v>
      </c>
      <c r="I499" s="17" t="s">
        <v>29</v>
      </c>
      <c r="J499" s="27">
        <v>0.1</v>
      </c>
      <c r="K499" s="17" t="s">
        <v>927</v>
      </c>
      <c r="L499" s="32">
        <v>18</v>
      </c>
      <c r="M499" s="32">
        <f>_xlfn.XLOOKUP(Table2_1[[#This Row],[Product Code]],Product_Code,Unit_Price,0)</f>
        <v>22</v>
      </c>
      <c r="N499" s="31">
        <f>DATEDIF(Table2_1[[#This Row],[Buyer Date of Birth]],Table2_1[[#This Row],[Transaction  Date]],"Y")</f>
        <v>54</v>
      </c>
      <c r="O499" s="33">
        <v>8604</v>
      </c>
      <c r="P499" s="33">
        <f>Table2_1[[#This Row],[Quantity Purchased]]*Table2_1[[#This Row],[UnitPrice]]*(1-Table2_1[[#This Row],[Discount]])</f>
        <v>9464.4</v>
      </c>
      <c r="Q499" s="33">
        <f>Table2_1[[#This Row],[Revenue]]-Table2_1[[#This Row],[COGS]]</f>
        <v>860.39999999999964</v>
      </c>
      <c r="R499" s="39">
        <f>WEEKDAY(Table2_1[[#This Row],[Transaction  Date]])</f>
        <v>2</v>
      </c>
      <c r="S499" s="17" t="str">
        <f>IF(WEEKDAY(Table2_1[[#This Row],[Transaction  Date]],2)&lt;=5,"Weekday","Weekend")</f>
        <v>Weekday</v>
      </c>
      <c r="T499" s="37" t="str">
        <f>FLOOR(Table2_1[[#This Row],[Age]],15)&amp; "-"&amp; FLOOR(Table2_1[[#This Row],[Age]],15)+14</f>
        <v>45-59</v>
      </c>
    </row>
    <row r="500" spans="1:20" x14ac:dyDescent="0.3">
      <c r="A500" s="18">
        <v>45397</v>
      </c>
      <c r="B500" s="17" t="s">
        <v>1391</v>
      </c>
      <c r="C500" s="17" t="s">
        <v>32</v>
      </c>
      <c r="D500" s="18">
        <v>38029</v>
      </c>
      <c r="E500" s="16" t="s">
        <v>68</v>
      </c>
      <c r="F500" s="31">
        <v>495</v>
      </c>
      <c r="G500" s="17" t="s">
        <v>15</v>
      </c>
      <c r="H500" s="17" t="s">
        <v>39</v>
      </c>
      <c r="I500" s="17" t="s">
        <v>17</v>
      </c>
      <c r="J500" s="27">
        <v>0.1</v>
      </c>
      <c r="K500" s="17" t="s">
        <v>929</v>
      </c>
      <c r="L500" s="32">
        <v>10</v>
      </c>
      <c r="M500" s="32">
        <f>_xlfn.XLOOKUP(Table2_1[[#This Row],[Product Code]],Product_Code,Unit_Price,0)</f>
        <v>14</v>
      </c>
      <c r="N500" s="31">
        <f>DATEDIF(Table2_1[[#This Row],[Buyer Date of Birth]],Table2_1[[#This Row],[Transaction  Date]],"Y")</f>
        <v>20</v>
      </c>
      <c r="O500" s="33">
        <v>4950</v>
      </c>
      <c r="P500" s="33">
        <f>Table2_1[[#This Row],[Quantity Purchased]]*Table2_1[[#This Row],[UnitPrice]]*(1-Table2_1[[#This Row],[Discount]])</f>
        <v>6237</v>
      </c>
      <c r="Q500" s="33">
        <f>Table2_1[[#This Row],[Revenue]]-Table2_1[[#This Row],[COGS]]</f>
        <v>1287</v>
      </c>
      <c r="R500" s="39">
        <f>WEEKDAY(Table2_1[[#This Row],[Transaction  Date]])</f>
        <v>2</v>
      </c>
      <c r="S500" s="17" t="str">
        <f>IF(WEEKDAY(Table2_1[[#This Row],[Transaction  Date]],2)&lt;=5,"Weekday","Weekend")</f>
        <v>Weekday</v>
      </c>
      <c r="T500" s="37" t="str">
        <f>FLOOR(Table2_1[[#This Row],[Age]],15)&amp; "-"&amp; FLOOR(Table2_1[[#This Row],[Age]],15)+14</f>
        <v>15-29</v>
      </c>
    </row>
    <row r="501" spans="1:20" x14ac:dyDescent="0.3">
      <c r="A501" s="18">
        <v>45397</v>
      </c>
      <c r="B501" s="17" t="s">
        <v>1392</v>
      </c>
      <c r="C501" s="17" t="s">
        <v>32</v>
      </c>
      <c r="D501" s="18">
        <v>26177</v>
      </c>
      <c r="E501" s="16" t="s">
        <v>33</v>
      </c>
      <c r="F501" s="31">
        <v>15</v>
      </c>
      <c r="G501" s="17" t="s">
        <v>15</v>
      </c>
      <c r="H501" s="17" t="s">
        <v>52</v>
      </c>
      <c r="I501" s="17" t="s">
        <v>17</v>
      </c>
      <c r="J501" s="27">
        <v>0.1</v>
      </c>
      <c r="K501" s="17" t="s">
        <v>929</v>
      </c>
      <c r="L501" s="32">
        <v>10</v>
      </c>
      <c r="M501" s="32">
        <f>_xlfn.XLOOKUP(Table2_1[[#This Row],[Product Code]],Product_Code,Unit_Price,0)</f>
        <v>14</v>
      </c>
      <c r="N501" s="31">
        <f>DATEDIF(Table2_1[[#This Row],[Buyer Date of Birth]],Table2_1[[#This Row],[Transaction  Date]],"Y")</f>
        <v>52</v>
      </c>
      <c r="O501" s="33">
        <v>150</v>
      </c>
      <c r="P501" s="33">
        <f>Table2_1[[#This Row],[Quantity Purchased]]*Table2_1[[#This Row],[UnitPrice]]*(1-Table2_1[[#This Row],[Discount]])</f>
        <v>189</v>
      </c>
      <c r="Q501" s="33">
        <f>Table2_1[[#This Row],[Revenue]]-Table2_1[[#This Row],[COGS]]</f>
        <v>39</v>
      </c>
      <c r="R501" s="39">
        <f>WEEKDAY(Table2_1[[#This Row],[Transaction  Date]])</f>
        <v>2</v>
      </c>
      <c r="S501" s="17" t="str">
        <f>IF(WEEKDAY(Table2_1[[#This Row],[Transaction  Date]],2)&lt;=5,"Weekday","Weekend")</f>
        <v>Weekday</v>
      </c>
      <c r="T501" s="37" t="str">
        <f>FLOOR(Table2_1[[#This Row],[Age]],15)&amp; "-"&amp; FLOOR(Table2_1[[#This Row],[Age]],15)+14</f>
        <v>45-59</v>
      </c>
    </row>
    <row r="502" spans="1:20" x14ac:dyDescent="0.3">
      <c r="A502" s="18">
        <v>45397</v>
      </c>
      <c r="B502" s="17" t="s">
        <v>1393</v>
      </c>
      <c r="C502" s="17" t="s">
        <v>55</v>
      </c>
      <c r="D502" s="18">
        <v>28201</v>
      </c>
      <c r="E502" s="16" t="s">
        <v>20</v>
      </c>
      <c r="F502" s="31">
        <v>49</v>
      </c>
      <c r="G502" s="17" t="s">
        <v>15</v>
      </c>
      <c r="H502" s="17" t="s">
        <v>35</v>
      </c>
      <c r="I502" s="17" t="s">
        <v>17</v>
      </c>
      <c r="J502" s="27">
        <v>0.1</v>
      </c>
      <c r="K502" s="17" t="s">
        <v>929</v>
      </c>
      <c r="L502" s="32">
        <v>10</v>
      </c>
      <c r="M502" s="32">
        <f>_xlfn.XLOOKUP(Table2_1[[#This Row],[Product Code]],Product_Code,Unit_Price,0)</f>
        <v>14</v>
      </c>
      <c r="N502" s="31">
        <f>DATEDIF(Table2_1[[#This Row],[Buyer Date of Birth]],Table2_1[[#This Row],[Transaction  Date]],"Y")</f>
        <v>47</v>
      </c>
      <c r="O502" s="33">
        <v>490</v>
      </c>
      <c r="P502" s="33">
        <f>Table2_1[[#This Row],[Quantity Purchased]]*Table2_1[[#This Row],[UnitPrice]]*(1-Table2_1[[#This Row],[Discount]])</f>
        <v>617.4</v>
      </c>
      <c r="Q502" s="33">
        <f>Table2_1[[#This Row],[Revenue]]-Table2_1[[#This Row],[COGS]]</f>
        <v>127.39999999999998</v>
      </c>
      <c r="R502" s="39">
        <f>WEEKDAY(Table2_1[[#This Row],[Transaction  Date]])</f>
        <v>2</v>
      </c>
      <c r="S502" s="17" t="str">
        <f>IF(WEEKDAY(Table2_1[[#This Row],[Transaction  Date]],2)&lt;=5,"Weekday","Weekend")</f>
        <v>Weekday</v>
      </c>
      <c r="T502" s="37" t="str">
        <f>FLOOR(Table2_1[[#This Row],[Age]],15)&amp; "-"&amp; FLOOR(Table2_1[[#This Row],[Age]],15)+14</f>
        <v>45-59</v>
      </c>
    </row>
    <row r="503" spans="1:20" x14ac:dyDescent="0.3">
      <c r="A503" s="18">
        <v>45397</v>
      </c>
      <c r="B503" s="17" t="s">
        <v>1394</v>
      </c>
      <c r="C503" s="17" t="s">
        <v>46</v>
      </c>
      <c r="D503" s="18">
        <v>37706</v>
      </c>
      <c r="E503" s="16" t="s">
        <v>20</v>
      </c>
      <c r="F503" s="31">
        <v>476</v>
      </c>
      <c r="G503" s="17" t="s">
        <v>59</v>
      </c>
      <c r="H503" s="17" t="s">
        <v>52</v>
      </c>
      <c r="I503" s="17" t="s">
        <v>17</v>
      </c>
      <c r="J503" s="27">
        <v>0.1</v>
      </c>
      <c r="K503" s="17" t="s">
        <v>932</v>
      </c>
      <c r="L503" s="32">
        <v>19</v>
      </c>
      <c r="M503" s="32">
        <f>_xlfn.XLOOKUP(Table2_1[[#This Row],[Product Code]],Product_Code,Unit_Price,0)</f>
        <v>23</v>
      </c>
      <c r="N503" s="31">
        <f>DATEDIF(Table2_1[[#This Row],[Buyer Date of Birth]],Table2_1[[#This Row],[Transaction  Date]],"Y")</f>
        <v>21</v>
      </c>
      <c r="O503" s="33">
        <v>9044</v>
      </c>
      <c r="P503" s="33">
        <f>Table2_1[[#This Row],[Quantity Purchased]]*Table2_1[[#This Row],[UnitPrice]]*(1-Table2_1[[#This Row],[Discount]])</f>
        <v>9853.2000000000007</v>
      </c>
      <c r="Q503" s="33">
        <f>Table2_1[[#This Row],[Revenue]]-Table2_1[[#This Row],[COGS]]</f>
        <v>809.20000000000073</v>
      </c>
      <c r="R503" s="39">
        <f>WEEKDAY(Table2_1[[#This Row],[Transaction  Date]])</f>
        <v>2</v>
      </c>
      <c r="S503" s="17" t="str">
        <f>IF(WEEKDAY(Table2_1[[#This Row],[Transaction  Date]],2)&lt;=5,"Weekday","Weekend")</f>
        <v>Weekday</v>
      </c>
      <c r="T503" s="37" t="str">
        <f>FLOOR(Table2_1[[#This Row],[Age]],15)&amp; "-"&amp; FLOOR(Table2_1[[#This Row],[Age]],15)+14</f>
        <v>15-29</v>
      </c>
    </row>
    <row r="504" spans="1:20" x14ac:dyDescent="0.3">
      <c r="A504" s="18">
        <v>45398</v>
      </c>
      <c r="B504" s="17" t="s">
        <v>1395</v>
      </c>
      <c r="C504" s="17" t="s">
        <v>13</v>
      </c>
      <c r="D504" s="18">
        <v>32552</v>
      </c>
      <c r="E504" s="16" t="s">
        <v>14</v>
      </c>
      <c r="F504" s="31">
        <v>88</v>
      </c>
      <c r="G504" s="17" t="s">
        <v>15</v>
      </c>
      <c r="H504" s="17" t="s">
        <v>35</v>
      </c>
      <c r="I504" s="17" t="s">
        <v>29</v>
      </c>
      <c r="J504" s="27">
        <v>0.1</v>
      </c>
      <c r="K504" s="17" t="s">
        <v>929</v>
      </c>
      <c r="L504" s="32">
        <v>10</v>
      </c>
      <c r="M504" s="32">
        <f>_xlfn.XLOOKUP(Table2_1[[#This Row],[Product Code]],Product_Code,Unit_Price,0)</f>
        <v>14</v>
      </c>
      <c r="N504" s="31">
        <f>DATEDIF(Table2_1[[#This Row],[Buyer Date of Birth]],Table2_1[[#This Row],[Transaction  Date]],"Y")</f>
        <v>35</v>
      </c>
      <c r="O504" s="33">
        <v>880</v>
      </c>
      <c r="P504" s="33">
        <f>Table2_1[[#This Row],[Quantity Purchased]]*Table2_1[[#This Row],[UnitPrice]]*(1-Table2_1[[#This Row],[Discount]])</f>
        <v>1108.8</v>
      </c>
      <c r="Q504" s="33">
        <f>Table2_1[[#This Row],[Revenue]]-Table2_1[[#This Row],[COGS]]</f>
        <v>228.79999999999995</v>
      </c>
      <c r="R504" s="39">
        <f>WEEKDAY(Table2_1[[#This Row],[Transaction  Date]])</f>
        <v>3</v>
      </c>
      <c r="S504" s="17" t="str">
        <f>IF(WEEKDAY(Table2_1[[#This Row],[Transaction  Date]],2)&lt;=5,"Weekday","Weekend")</f>
        <v>Weekday</v>
      </c>
      <c r="T504" s="37" t="str">
        <f>FLOOR(Table2_1[[#This Row],[Age]],15)&amp; "-"&amp; FLOOR(Table2_1[[#This Row],[Age]],15)+14</f>
        <v>30-44</v>
      </c>
    </row>
    <row r="505" spans="1:20" x14ac:dyDescent="0.3">
      <c r="A505" s="18">
        <v>45398</v>
      </c>
      <c r="B505" s="17" t="s">
        <v>1396</v>
      </c>
      <c r="C505" s="17" t="s">
        <v>55</v>
      </c>
      <c r="D505" s="18">
        <v>28062</v>
      </c>
      <c r="E505" s="16" t="s">
        <v>68</v>
      </c>
      <c r="F505" s="31">
        <v>339</v>
      </c>
      <c r="G505" s="17" t="s">
        <v>65</v>
      </c>
      <c r="H505" s="17" t="s">
        <v>52</v>
      </c>
      <c r="I505" s="17" t="s">
        <v>17</v>
      </c>
      <c r="J505" s="27">
        <v>0.1</v>
      </c>
      <c r="K505" s="17" t="s">
        <v>928</v>
      </c>
      <c r="L505" s="32">
        <v>3</v>
      </c>
      <c r="M505" s="32">
        <f>_xlfn.XLOOKUP(Table2_1[[#This Row],[Product Code]],Product_Code,Unit_Price,0)</f>
        <v>5</v>
      </c>
      <c r="N505" s="31">
        <f>DATEDIF(Table2_1[[#This Row],[Buyer Date of Birth]],Table2_1[[#This Row],[Transaction  Date]],"Y")</f>
        <v>47</v>
      </c>
      <c r="O505" s="33">
        <v>1017</v>
      </c>
      <c r="P505" s="33">
        <f>Table2_1[[#This Row],[Quantity Purchased]]*Table2_1[[#This Row],[UnitPrice]]*(1-Table2_1[[#This Row],[Discount]])</f>
        <v>1525.5</v>
      </c>
      <c r="Q505" s="33">
        <f>Table2_1[[#This Row],[Revenue]]-Table2_1[[#This Row],[COGS]]</f>
        <v>508.5</v>
      </c>
      <c r="R505" s="39">
        <f>WEEKDAY(Table2_1[[#This Row],[Transaction  Date]])</f>
        <v>3</v>
      </c>
      <c r="S505" s="17" t="str">
        <f>IF(WEEKDAY(Table2_1[[#This Row],[Transaction  Date]],2)&lt;=5,"Weekday","Weekend")</f>
        <v>Weekday</v>
      </c>
      <c r="T505" s="37" t="str">
        <f>FLOOR(Table2_1[[#This Row],[Age]],15)&amp; "-"&amp; FLOOR(Table2_1[[#This Row],[Age]],15)+14</f>
        <v>45-59</v>
      </c>
    </row>
    <row r="506" spans="1:20" x14ac:dyDescent="0.3">
      <c r="A506" s="18">
        <v>45398</v>
      </c>
      <c r="B506" s="17" t="s">
        <v>1397</v>
      </c>
      <c r="C506" s="17" t="s">
        <v>78</v>
      </c>
      <c r="D506" s="18">
        <v>22465</v>
      </c>
      <c r="E506" s="16" t="s">
        <v>20</v>
      </c>
      <c r="F506" s="31">
        <v>83</v>
      </c>
      <c r="G506" s="17" t="s">
        <v>59</v>
      </c>
      <c r="H506" s="17" t="s">
        <v>35</v>
      </c>
      <c r="I506" s="17" t="s">
        <v>17</v>
      </c>
      <c r="J506" s="27">
        <v>0.1</v>
      </c>
      <c r="K506" s="17" t="s">
        <v>932</v>
      </c>
      <c r="L506" s="32">
        <v>19</v>
      </c>
      <c r="M506" s="32">
        <f>_xlfn.XLOOKUP(Table2_1[[#This Row],[Product Code]],Product_Code,Unit_Price,0)</f>
        <v>23</v>
      </c>
      <c r="N506" s="31">
        <f>DATEDIF(Table2_1[[#This Row],[Buyer Date of Birth]],Table2_1[[#This Row],[Transaction  Date]],"Y")</f>
        <v>62</v>
      </c>
      <c r="O506" s="33">
        <v>1577</v>
      </c>
      <c r="P506" s="33">
        <f>Table2_1[[#This Row],[Quantity Purchased]]*Table2_1[[#This Row],[UnitPrice]]*(1-Table2_1[[#This Row],[Discount]])</f>
        <v>1718.1000000000001</v>
      </c>
      <c r="Q506" s="33">
        <f>Table2_1[[#This Row],[Revenue]]-Table2_1[[#This Row],[COGS]]</f>
        <v>141.10000000000014</v>
      </c>
      <c r="R506" s="39">
        <f>WEEKDAY(Table2_1[[#This Row],[Transaction  Date]])</f>
        <v>3</v>
      </c>
      <c r="S506" s="17" t="str">
        <f>IF(WEEKDAY(Table2_1[[#This Row],[Transaction  Date]],2)&lt;=5,"Weekday","Weekend")</f>
        <v>Weekday</v>
      </c>
      <c r="T506" s="37" t="str">
        <f>FLOOR(Table2_1[[#This Row],[Age]],15)&amp; "-"&amp; FLOOR(Table2_1[[#This Row],[Age]],15)+14</f>
        <v>60-74</v>
      </c>
    </row>
    <row r="507" spans="1:20" x14ac:dyDescent="0.3">
      <c r="A507" s="18">
        <v>45398</v>
      </c>
      <c r="B507" s="17" t="s">
        <v>1398</v>
      </c>
      <c r="C507" s="17" t="s">
        <v>94</v>
      </c>
      <c r="D507" s="18">
        <v>37293</v>
      </c>
      <c r="E507" s="16" t="s">
        <v>68</v>
      </c>
      <c r="F507" s="31">
        <v>361</v>
      </c>
      <c r="G507" s="17" t="s">
        <v>56</v>
      </c>
      <c r="H507" s="17" t="s">
        <v>48</v>
      </c>
      <c r="I507" s="17" t="s">
        <v>17</v>
      </c>
      <c r="J507" s="27">
        <v>0.1</v>
      </c>
      <c r="K507" s="17" t="s">
        <v>935</v>
      </c>
      <c r="L507" s="32">
        <v>18</v>
      </c>
      <c r="M507" s="32">
        <f>_xlfn.XLOOKUP(Table2_1[[#This Row],[Product Code]],Product_Code,Unit_Price,0)</f>
        <v>36</v>
      </c>
      <c r="N507" s="31">
        <f>DATEDIF(Table2_1[[#This Row],[Buyer Date of Birth]],Table2_1[[#This Row],[Transaction  Date]],"Y")</f>
        <v>22</v>
      </c>
      <c r="O507" s="33">
        <v>6498</v>
      </c>
      <c r="P507" s="33">
        <f>Table2_1[[#This Row],[Quantity Purchased]]*Table2_1[[#This Row],[UnitPrice]]*(1-Table2_1[[#This Row],[Discount]])</f>
        <v>11696.4</v>
      </c>
      <c r="Q507" s="33">
        <f>Table2_1[[#This Row],[Revenue]]-Table2_1[[#This Row],[COGS]]</f>
        <v>5198.3999999999996</v>
      </c>
      <c r="R507" s="39">
        <f>WEEKDAY(Table2_1[[#This Row],[Transaction  Date]])</f>
        <v>3</v>
      </c>
      <c r="S507" s="17" t="str">
        <f>IF(WEEKDAY(Table2_1[[#This Row],[Transaction  Date]],2)&lt;=5,"Weekday","Weekend")</f>
        <v>Weekday</v>
      </c>
      <c r="T507" s="37" t="str">
        <f>FLOOR(Table2_1[[#This Row],[Age]],15)&amp; "-"&amp; FLOOR(Table2_1[[#This Row],[Age]],15)+14</f>
        <v>15-29</v>
      </c>
    </row>
    <row r="508" spans="1:20" x14ac:dyDescent="0.3">
      <c r="A508" s="18">
        <v>45398</v>
      </c>
      <c r="B508" s="17" t="s">
        <v>1399</v>
      </c>
      <c r="C508" s="17" t="s">
        <v>78</v>
      </c>
      <c r="D508" s="18">
        <v>19014</v>
      </c>
      <c r="E508" s="16" t="s">
        <v>33</v>
      </c>
      <c r="F508" s="31">
        <v>10</v>
      </c>
      <c r="G508" s="17" t="s">
        <v>21</v>
      </c>
      <c r="H508" s="17" t="s">
        <v>52</v>
      </c>
      <c r="I508" s="17" t="s">
        <v>17</v>
      </c>
      <c r="J508" s="27">
        <v>0.1</v>
      </c>
      <c r="K508" s="17" t="s">
        <v>934</v>
      </c>
      <c r="L508" s="32">
        <v>10</v>
      </c>
      <c r="M508" s="32">
        <f>_xlfn.XLOOKUP(Table2_1[[#This Row],[Product Code]],Product_Code,Unit_Price,0)</f>
        <v>45</v>
      </c>
      <c r="N508" s="31">
        <f>DATEDIF(Table2_1[[#This Row],[Buyer Date of Birth]],Table2_1[[#This Row],[Transaction  Date]],"Y")</f>
        <v>72</v>
      </c>
      <c r="O508" s="33">
        <v>100</v>
      </c>
      <c r="P508" s="33">
        <f>Table2_1[[#This Row],[Quantity Purchased]]*Table2_1[[#This Row],[UnitPrice]]*(1-Table2_1[[#This Row],[Discount]])</f>
        <v>405</v>
      </c>
      <c r="Q508" s="33">
        <f>Table2_1[[#This Row],[Revenue]]-Table2_1[[#This Row],[COGS]]</f>
        <v>305</v>
      </c>
      <c r="R508" s="39">
        <f>WEEKDAY(Table2_1[[#This Row],[Transaction  Date]])</f>
        <v>3</v>
      </c>
      <c r="S508" s="17" t="str">
        <f>IF(WEEKDAY(Table2_1[[#This Row],[Transaction  Date]],2)&lt;=5,"Weekday","Weekend")</f>
        <v>Weekday</v>
      </c>
      <c r="T508" s="37" t="str">
        <f>FLOOR(Table2_1[[#This Row],[Age]],15)&amp; "-"&amp; FLOOR(Table2_1[[#This Row],[Age]],15)+14</f>
        <v>60-74</v>
      </c>
    </row>
    <row r="509" spans="1:20" x14ac:dyDescent="0.3">
      <c r="A509" s="18">
        <v>45399</v>
      </c>
      <c r="B509" s="17" t="s">
        <v>1400</v>
      </c>
      <c r="C509" s="17" t="s">
        <v>13</v>
      </c>
      <c r="D509" s="18">
        <v>33580</v>
      </c>
      <c r="E509" s="16" t="s">
        <v>14</v>
      </c>
      <c r="F509" s="31">
        <v>436</v>
      </c>
      <c r="G509" s="17" t="s">
        <v>47</v>
      </c>
      <c r="H509" s="17" t="s">
        <v>48</v>
      </c>
      <c r="I509" s="17" t="s">
        <v>17</v>
      </c>
      <c r="J509" s="27">
        <v>0.1</v>
      </c>
      <c r="K509" s="17" t="s">
        <v>931</v>
      </c>
      <c r="L509" s="32">
        <v>7</v>
      </c>
      <c r="M509" s="32">
        <f>_xlfn.XLOOKUP(Table2_1[[#This Row],[Product Code]],Product_Code,Unit_Price,0)</f>
        <v>9</v>
      </c>
      <c r="N509" s="31">
        <f>DATEDIF(Table2_1[[#This Row],[Buyer Date of Birth]],Table2_1[[#This Row],[Transaction  Date]],"Y")</f>
        <v>32</v>
      </c>
      <c r="O509" s="33">
        <v>3052</v>
      </c>
      <c r="P509" s="33">
        <f>Table2_1[[#This Row],[Quantity Purchased]]*Table2_1[[#This Row],[UnitPrice]]*(1-Table2_1[[#This Row],[Discount]])</f>
        <v>3531.6</v>
      </c>
      <c r="Q509" s="33">
        <f>Table2_1[[#This Row],[Revenue]]-Table2_1[[#This Row],[COGS]]</f>
        <v>479.59999999999991</v>
      </c>
      <c r="R509" s="39">
        <f>WEEKDAY(Table2_1[[#This Row],[Transaction  Date]])</f>
        <v>4</v>
      </c>
      <c r="S509" s="17" t="str">
        <f>IF(WEEKDAY(Table2_1[[#This Row],[Transaction  Date]],2)&lt;=5,"Weekday","Weekend")</f>
        <v>Weekday</v>
      </c>
      <c r="T509" s="37" t="str">
        <f>FLOOR(Table2_1[[#This Row],[Age]],15)&amp; "-"&amp; FLOOR(Table2_1[[#This Row],[Age]],15)+14</f>
        <v>30-44</v>
      </c>
    </row>
    <row r="510" spans="1:20" x14ac:dyDescent="0.3">
      <c r="A510" s="18">
        <v>45399</v>
      </c>
      <c r="B510" s="17" t="s">
        <v>1401</v>
      </c>
      <c r="C510" s="17" t="s">
        <v>51</v>
      </c>
      <c r="D510" s="18">
        <v>34453</v>
      </c>
      <c r="E510" s="16" t="s">
        <v>68</v>
      </c>
      <c r="F510" s="31">
        <v>491</v>
      </c>
      <c r="G510" s="17" t="s">
        <v>27</v>
      </c>
      <c r="H510" s="17" t="s">
        <v>52</v>
      </c>
      <c r="I510" s="17" t="s">
        <v>17</v>
      </c>
      <c r="J510" s="27">
        <v>0.1</v>
      </c>
      <c r="K510" s="17" t="s">
        <v>927</v>
      </c>
      <c r="L510" s="32">
        <v>18</v>
      </c>
      <c r="M510" s="32">
        <f>_xlfn.XLOOKUP(Table2_1[[#This Row],[Product Code]],Product_Code,Unit_Price,0)</f>
        <v>22</v>
      </c>
      <c r="N510" s="31">
        <f>DATEDIF(Table2_1[[#This Row],[Buyer Date of Birth]],Table2_1[[#This Row],[Transaction  Date]],"Y")</f>
        <v>29</v>
      </c>
      <c r="O510" s="33">
        <v>8838</v>
      </c>
      <c r="P510" s="33">
        <f>Table2_1[[#This Row],[Quantity Purchased]]*Table2_1[[#This Row],[UnitPrice]]*(1-Table2_1[[#This Row],[Discount]])</f>
        <v>9721.8000000000011</v>
      </c>
      <c r="Q510" s="33">
        <f>Table2_1[[#This Row],[Revenue]]-Table2_1[[#This Row],[COGS]]</f>
        <v>883.80000000000109</v>
      </c>
      <c r="R510" s="39">
        <f>WEEKDAY(Table2_1[[#This Row],[Transaction  Date]])</f>
        <v>4</v>
      </c>
      <c r="S510" s="17" t="str">
        <f>IF(WEEKDAY(Table2_1[[#This Row],[Transaction  Date]],2)&lt;=5,"Weekday","Weekend")</f>
        <v>Weekday</v>
      </c>
      <c r="T510" s="37" t="str">
        <f>FLOOR(Table2_1[[#This Row],[Age]],15)&amp; "-"&amp; FLOOR(Table2_1[[#This Row],[Age]],15)+14</f>
        <v>15-29</v>
      </c>
    </row>
    <row r="511" spans="1:20" x14ac:dyDescent="0.3">
      <c r="A511" s="18">
        <v>45399</v>
      </c>
      <c r="B511" s="17" t="s">
        <v>1402</v>
      </c>
      <c r="C511" s="17" t="s">
        <v>55</v>
      </c>
      <c r="D511" s="18">
        <v>31714</v>
      </c>
      <c r="E511" s="16" t="s">
        <v>20</v>
      </c>
      <c r="F511" s="31">
        <v>419</v>
      </c>
      <c r="G511" s="17" t="s">
        <v>65</v>
      </c>
      <c r="H511" s="17" t="s">
        <v>52</v>
      </c>
      <c r="I511" s="17" t="s">
        <v>17</v>
      </c>
      <c r="J511" s="27">
        <v>0.1</v>
      </c>
      <c r="K511" s="17" t="s">
        <v>928</v>
      </c>
      <c r="L511" s="32">
        <v>3</v>
      </c>
      <c r="M511" s="32">
        <f>_xlfn.XLOOKUP(Table2_1[[#This Row],[Product Code]],Product_Code,Unit_Price,0)</f>
        <v>5</v>
      </c>
      <c r="N511" s="31">
        <f>DATEDIF(Table2_1[[#This Row],[Buyer Date of Birth]],Table2_1[[#This Row],[Transaction  Date]],"Y")</f>
        <v>37</v>
      </c>
      <c r="O511" s="33">
        <v>1257</v>
      </c>
      <c r="P511" s="33">
        <f>Table2_1[[#This Row],[Quantity Purchased]]*Table2_1[[#This Row],[UnitPrice]]*(1-Table2_1[[#This Row],[Discount]])</f>
        <v>1885.5</v>
      </c>
      <c r="Q511" s="33">
        <f>Table2_1[[#This Row],[Revenue]]-Table2_1[[#This Row],[COGS]]</f>
        <v>628.5</v>
      </c>
      <c r="R511" s="39">
        <f>WEEKDAY(Table2_1[[#This Row],[Transaction  Date]])</f>
        <v>4</v>
      </c>
      <c r="S511" s="17" t="str">
        <f>IF(WEEKDAY(Table2_1[[#This Row],[Transaction  Date]],2)&lt;=5,"Weekday","Weekend")</f>
        <v>Weekday</v>
      </c>
      <c r="T511" s="37" t="str">
        <f>FLOOR(Table2_1[[#This Row],[Age]],15)&amp; "-"&amp; FLOOR(Table2_1[[#This Row],[Age]],15)+14</f>
        <v>30-44</v>
      </c>
    </row>
    <row r="512" spans="1:20" x14ac:dyDescent="0.3">
      <c r="A512" s="18">
        <v>45399</v>
      </c>
      <c r="B512" s="17" t="s">
        <v>1403</v>
      </c>
      <c r="C512" s="17" t="s">
        <v>51</v>
      </c>
      <c r="D512" s="18">
        <v>33322</v>
      </c>
      <c r="E512" s="16" t="s">
        <v>20</v>
      </c>
      <c r="F512" s="31">
        <v>188</v>
      </c>
      <c r="G512" s="17" t="s">
        <v>21</v>
      </c>
      <c r="H512" s="17" t="s">
        <v>52</v>
      </c>
      <c r="I512" s="17" t="s">
        <v>17</v>
      </c>
      <c r="J512" s="27">
        <v>0.1</v>
      </c>
      <c r="K512" s="17" t="s">
        <v>934</v>
      </c>
      <c r="L512" s="32">
        <v>10</v>
      </c>
      <c r="M512" s="32">
        <f>_xlfn.XLOOKUP(Table2_1[[#This Row],[Product Code]],Product_Code,Unit_Price,0)</f>
        <v>45</v>
      </c>
      <c r="N512" s="31">
        <f>DATEDIF(Table2_1[[#This Row],[Buyer Date of Birth]],Table2_1[[#This Row],[Transaction  Date]],"Y")</f>
        <v>33</v>
      </c>
      <c r="O512" s="33">
        <v>1880</v>
      </c>
      <c r="P512" s="33">
        <f>Table2_1[[#This Row],[Quantity Purchased]]*Table2_1[[#This Row],[UnitPrice]]*(1-Table2_1[[#This Row],[Discount]])</f>
        <v>7614</v>
      </c>
      <c r="Q512" s="33">
        <f>Table2_1[[#This Row],[Revenue]]-Table2_1[[#This Row],[COGS]]</f>
        <v>5734</v>
      </c>
      <c r="R512" s="39">
        <f>WEEKDAY(Table2_1[[#This Row],[Transaction  Date]])</f>
        <v>4</v>
      </c>
      <c r="S512" s="17" t="str">
        <f>IF(WEEKDAY(Table2_1[[#This Row],[Transaction  Date]],2)&lt;=5,"Weekday","Weekend")</f>
        <v>Weekday</v>
      </c>
      <c r="T512" s="37" t="str">
        <f>FLOOR(Table2_1[[#This Row],[Age]],15)&amp; "-"&amp; FLOOR(Table2_1[[#This Row],[Age]],15)+14</f>
        <v>30-44</v>
      </c>
    </row>
    <row r="513" spans="1:20" x14ac:dyDescent="0.3">
      <c r="A513" s="18">
        <v>45399</v>
      </c>
      <c r="B513" s="17" t="s">
        <v>1404</v>
      </c>
      <c r="C513" s="17" t="s">
        <v>55</v>
      </c>
      <c r="D513" s="18">
        <v>36692</v>
      </c>
      <c r="E513" s="16" t="s">
        <v>33</v>
      </c>
      <c r="F513" s="31">
        <v>145</v>
      </c>
      <c r="G513" s="17" t="s">
        <v>34</v>
      </c>
      <c r="H513" s="17" t="s">
        <v>48</v>
      </c>
      <c r="I513" s="17" t="s">
        <v>17</v>
      </c>
      <c r="J513" s="27">
        <v>0.1</v>
      </c>
      <c r="K513" s="17" t="s">
        <v>930</v>
      </c>
      <c r="L513" s="32">
        <v>14</v>
      </c>
      <c r="M513" s="32">
        <f>_xlfn.XLOOKUP(Table2_1[[#This Row],[Product Code]],Product_Code,Unit_Price,0)</f>
        <v>28</v>
      </c>
      <c r="N513" s="31">
        <f>DATEDIF(Table2_1[[#This Row],[Buyer Date of Birth]],Table2_1[[#This Row],[Transaction  Date]],"Y")</f>
        <v>23</v>
      </c>
      <c r="O513" s="33">
        <v>2030</v>
      </c>
      <c r="P513" s="33">
        <f>Table2_1[[#This Row],[Quantity Purchased]]*Table2_1[[#This Row],[UnitPrice]]*(1-Table2_1[[#This Row],[Discount]])</f>
        <v>3654</v>
      </c>
      <c r="Q513" s="33">
        <f>Table2_1[[#This Row],[Revenue]]-Table2_1[[#This Row],[COGS]]</f>
        <v>1624</v>
      </c>
      <c r="R513" s="39">
        <f>WEEKDAY(Table2_1[[#This Row],[Transaction  Date]])</f>
        <v>4</v>
      </c>
      <c r="S513" s="17" t="str">
        <f>IF(WEEKDAY(Table2_1[[#This Row],[Transaction  Date]],2)&lt;=5,"Weekday","Weekend")</f>
        <v>Weekday</v>
      </c>
      <c r="T513" s="37" t="str">
        <f>FLOOR(Table2_1[[#This Row],[Age]],15)&amp; "-"&amp; FLOOR(Table2_1[[#This Row],[Age]],15)+14</f>
        <v>15-29</v>
      </c>
    </row>
    <row r="514" spans="1:20" x14ac:dyDescent="0.3">
      <c r="A514" s="18">
        <v>45399</v>
      </c>
      <c r="B514" s="17" t="s">
        <v>1405</v>
      </c>
      <c r="C514" s="17" t="s">
        <v>26</v>
      </c>
      <c r="D514" s="18">
        <v>28096</v>
      </c>
      <c r="E514" s="16" t="s">
        <v>33</v>
      </c>
      <c r="F514" s="31">
        <v>16</v>
      </c>
      <c r="G514" s="17" t="s">
        <v>42</v>
      </c>
      <c r="H514" s="17" t="s">
        <v>35</v>
      </c>
      <c r="I514" s="17" t="s">
        <v>17</v>
      </c>
      <c r="J514" s="27">
        <v>0.1</v>
      </c>
      <c r="K514" s="17" t="s">
        <v>926</v>
      </c>
      <c r="L514" s="32">
        <v>10</v>
      </c>
      <c r="M514" s="32">
        <f>_xlfn.XLOOKUP(Table2_1[[#This Row],[Product Code]],Product_Code,Unit_Price,0)</f>
        <v>11</v>
      </c>
      <c r="N514" s="31">
        <f>DATEDIF(Table2_1[[#This Row],[Buyer Date of Birth]],Table2_1[[#This Row],[Transaction  Date]],"Y")</f>
        <v>47</v>
      </c>
      <c r="O514" s="33">
        <v>160</v>
      </c>
      <c r="P514" s="33">
        <f>Table2_1[[#This Row],[Quantity Purchased]]*Table2_1[[#This Row],[UnitPrice]]*(1-Table2_1[[#This Row],[Discount]])</f>
        <v>158.4</v>
      </c>
      <c r="Q514" s="33">
        <f>Table2_1[[#This Row],[Revenue]]-Table2_1[[#This Row],[COGS]]</f>
        <v>-1.5999999999999943</v>
      </c>
      <c r="R514" s="39">
        <f>WEEKDAY(Table2_1[[#This Row],[Transaction  Date]])</f>
        <v>4</v>
      </c>
      <c r="S514" s="17" t="str">
        <f>IF(WEEKDAY(Table2_1[[#This Row],[Transaction  Date]],2)&lt;=5,"Weekday","Weekend")</f>
        <v>Weekday</v>
      </c>
      <c r="T514" s="37" t="str">
        <f>FLOOR(Table2_1[[#This Row],[Age]],15)&amp; "-"&amp; FLOOR(Table2_1[[#This Row],[Age]],15)+14</f>
        <v>45-59</v>
      </c>
    </row>
    <row r="515" spans="1:20" x14ac:dyDescent="0.3">
      <c r="A515" s="18">
        <v>45400</v>
      </c>
      <c r="B515" s="17" t="s">
        <v>1406</v>
      </c>
      <c r="C515" s="17" t="s">
        <v>32</v>
      </c>
      <c r="D515" s="18">
        <v>20158</v>
      </c>
      <c r="E515" s="16" t="s">
        <v>14</v>
      </c>
      <c r="F515" s="31">
        <v>216</v>
      </c>
      <c r="G515" s="17" t="s">
        <v>34</v>
      </c>
      <c r="H515" s="17" t="s">
        <v>48</v>
      </c>
      <c r="I515" s="17" t="s">
        <v>17</v>
      </c>
      <c r="J515" s="27">
        <v>0.1</v>
      </c>
      <c r="K515" s="17" t="s">
        <v>930</v>
      </c>
      <c r="L515" s="32">
        <v>14</v>
      </c>
      <c r="M515" s="32">
        <f>_xlfn.XLOOKUP(Table2_1[[#This Row],[Product Code]],Product_Code,Unit_Price,0)</f>
        <v>28</v>
      </c>
      <c r="N515" s="31">
        <f>DATEDIF(Table2_1[[#This Row],[Buyer Date of Birth]],Table2_1[[#This Row],[Transaction  Date]],"Y")</f>
        <v>69</v>
      </c>
      <c r="O515" s="33">
        <v>3024</v>
      </c>
      <c r="P515" s="33">
        <f>Table2_1[[#This Row],[Quantity Purchased]]*Table2_1[[#This Row],[UnitPrice]]*(1-Table2_1[[#This Row],[Discount]])</f>
        <v>5443.2</v>
      </c>
      <c r="Q515" s="33">
        <f>Table2_1[[#This Row],[Revenue]]-Table2_1[[#This Row],[COGS]]</f>
        <v>2419.1999999999998</v>
      </c>
      <c r="R515" s="39">
        <f>WEEKDAY(Table2_1[[#This Row],[Transaction  Date]])</f>
        <v>5</v>
      </c>
      <c r="S515" s="17" t="str">
        <f>IF(WEEKDAY(Table2_1[[#This Row],[Transaction  Date]],2)&lt;=5,"Weekday","Weekend")</f>
        <v>Weekday</v>
      </c>
      <c r="T515" s="37" t="str">
        <f>FLOOR(Table2_1[[#This Row],[Age]],15)&amp; "-"&amp; FLOOR(Table2_1[[#This Row],[Age]],15)+14</f>
        <v>60-74</v>
      </c>
    </row>
    <row r="516" spans="1:20" x14ac:dyDescent="0.3">
      <c r="A516" s="18">
        <v>45400</v>
      </c>
      <c r="B516" s="17" t="s">
        <v>1407</v>
      </c>
      <c r="C516" s="17" t="s">
        <v>94</v>
      </c>
      <c r="D516" s="18">
        <v>16967</v>
      </c>
      <c r="E516" s="16" t="s">
        <v>33</v>
      </c>
      <c r="F516" s="31">
        <v>16</v>
      </c>
      <c r="G516" s="17" t="s">
        <v>42</v>
      </c>
      <c r="H516" s="17" t="s">
        <v>48</v>
      </c>
      <c r="I516" s="17" t="s">
        <v>17</v>
      </c>
      <c r="J516" s="27">
        <v>0.1</v>
      </c>
      <c r="K516" s="17" t="s">
        <v>926</v>
      </c>
      <c r="L516" s="32">
        <v>10</v>
      </c>
      <c r="M516" s="32">
        <f>_xlfn.XLOOKUP(Table2_1[[#This Row],[Product Code]],Product_Code,Unit_Price,0)</f>
        <v>11</v>
      </c>
      <c r="N516" s="31">
        <f>DATEDIF(Table2_1[[#This Row],[Buyer Date of Birth]],Table2_1[[#This Row],[Transaction  Date]],"Y")</f>
        <v>77</v>
      </c>
      <c r="O516" s="33">
        <v>160</v>
      </c>
      <c r="P516" s="33">
        <f>Table2_1[[#This Row],[Quantity Purchased]]*Table2_1[[#This Row],[UnitPrice]]*(1-Table2_1[[#This Row],[Discount]])</f>
        <v>158.4</v>
      </c>
      <c r="Q516" s="33">
        <f>Table2_1[[#This Row],[Revenue]]-Table2_1[[#This Row],[COGS]]</f>
        <v>-1.5999999999999943</v>
      </c>
      <c r="R516" s="39">
        <f>WEEKDAY(Table2_1[[#This Row],[Transaction  Date]])</f>
        <v>5</v>
      </c>
      <c r="S516" s="17" t="str">
        <f>IF(WEEKDAY(Table2_1[[#This Row],[Transaction  Date]],2)&lt;=5,"Weekday","Weekend")</f>
        <v>Weekday</v>
      </c>
      <c r="T516" s="37" t="str">
        <f>FLOOR(Table2_1[[#This Row],[Age]],15)&amp; "-"&amp; FLOOR(Table2_1[[#This Row],[Age]],15)+14</f>
        <v>75-89</v>
      </c>
    </row>
    <row r="517" spans="1:20" x14ac:dyDescent="0.3">
      <c r="A517" s="18">
        <v>45400</v>
      </c>
      <c r="B517" s="17" t="s">
        <v>1408</v>
      </c>
      <c r="C517" s="17" t="s">
        <v>71</v>
      </c>
      <c r="D517" s="18">
        <v>28976</v>
      </c>
      <c r="E517" s="16" t="s">
        <v>20</v>
      </c>
      <c r="F517" s="31">
        <v>375</v>
      </c>
      <c r="G517" s="17" t="s">
        <v>64</v>
      </c>
      <c r="H517" s="17" t="s">
        <v>52</v>
      </c>
      <c r="I517" s="17" t="s">
        <v>17</v>
      </c>
      <c r="J517" s="27">
        <v>0.1</v>
      </c>
      <c r="K517" s="17" t="s">
        <v>933</v>
      </c>
      <c r="L517" s="32">
        <v>5</v>
      </c>
      <c r="M517" s="32">
        <f>_xlfn.XLOOKUP(Table2_1[[#This Row],[Product Code]],Product_Code,Unit_Price,0)</f>
        <v>7</v>
      </c>
      <c r="N517" s="31">
        <f>DATEDIF(Table2_1[[#This Row],[Buyer Date of Birth]],Table2_1[[#This Row],[Transaction  Date]],"Y")</f>
        <v>44</v>
      </c>
      <c r="O517" s="33">
        <v>1875</v>
      </c>
      <c r="P517" s="33">
        <f>Table2_1[[#This Row],[Quantity Purchased]]*Table2_1[[#This Row],[UnitPrice]]*(1-Table2_1[[#This Row],[Discount]])</f>
        <v>2362.5</v>
      </c>
      <c r="Q517" s="33">
        <f>Table2_1[[#This Row],[Revenue]]-Table2_1[[#This Row],[COGS]]</f>
        <v>487.5</v>
      </c>
      <c r="R517" s="39">
        <f>WEEKDAY(Table2_1[[#This Row],[Transaction  Date]])</f>
        <v>5</v>
      </c>
      <c r="S517" s="17" t="str">
        <f>IF(WEEKDAY(Table2_1[[#This Row],[Transaction  Date]],2)&lt;=5,"Weekday","Weekend")</f>
        <v>Weekday</v>
      </c>
      <c r="T517" s="37" t="str">
        <f>FLOOR(Table2_1[[#This Row],[Age]],15)&amp; "-"&amp; FLOOR(Table2_1[[#This Row],[Age]],15)+14</f>
        <v>30-44</v>
      </c>
    </row>
    <row r="518" spans="1:20" x14ac:dyDescent="0.3">
      <c r="A518" s="18">
        <v>45400</v>
      </c>
      <c r="B518" s="17" t="s">
        <v>1409</v>
      </c>
      <c r="C518" s="17" t="s">
        <v>71</v>
      </c>
      <c r="D518" s="18" t="s">
        <v>32</v>
      </c>
      <c r="E518" s="16" t="s">
        <v>14</v>
      </c>
      <c r="F518" s="31">
        <v>288</v>
      </c>
      <c r="G518" s="17" t="s">
        <v>47</v>
      </c>
      <c r="H518" s="17" t="s">
        <v>32</v>
      </c>
      <c r="I518" s="17" t="s">
        <v>17</v>
      </c>
      <c r="J518" s="27">
        <v>0.1</v>
      </c>
      <c r="K518" s="17" t="s">
        <v>931</v>
      </c>
      <c r="L518" s="32">
        <v>7</v>
      </c>
      <c r="M518" s="32">
        <f>_xlfn.XLOOKUP(Table2_1[[#This Row],[Product Code]],Product_Code,Unit_Price,0)</f>
        <v>9</v>
      </c>
      <c r="N518" s="31" t="e">
        <f>DATEDIF(Table2_1[[#This Row],[Buyer Date of Birth]],Table2_1[[#This Row],[Transaction  Date]],"Y")</f>
        <v>#VALUE!</v>
      </c>
      <c r="O518" s="33">
        <v>2016</v>
      </c>
      <c r="P518" s="33">
        <f>Table2_1[[#This Row],[Quantity Purchased]]*Table2_1[[#This Row],[UnitPrice]]*(1-Table2_1[[#This Row],[Discount]])</f>
        <v>2332.8000000000002</v>
      </c>
      <c r="Q518" s="33">
        <f>Table2_1[[#This Row],[Revenue]]-Table2_1[[#This Row],[COGS]]</f>
        <v>316.80000000000018</v>
      </c>
      <c r="R518" s="39">
        <f>WEEKDAY(Table2_1[[#This Row],[Transaction  Date]])</f>
        <v>5</v>
      </c>
      <c r="S518" s="17" t="str">
        <f>IF(WEEKDAY(Table2_1[[#This Row],[Transaction  Date]],2)&lt;=5,"Weekday","Weekend")</f>
        <v>Weekday</v>
      </c>
      <c r="T518" s="37" t="e">
        <f>FLOOR(Table2_1[[#This Row],[Age]],15)&amp; "-"&amp; FLOOR(Table2_1[[#This Row],[Age]],15)+14</f>
        <v>#VALUE!</v>
      </c>
    </row>
    <row r="519" spans="1:20" x14ac:dyDescent="0.3">
      <c r="A519" s="18">
        <v>45400</v>
      </c>
      <c r="B519" s="17" t="s">
        <v>1410</v>
      </c>
      <c r="C519" s="17" t="s">
        <v>55</v>
      </c>
      <c r="D519" s="18">
        <v>30473</v>
      </c>
      <c r="E519" s="16" t="s">
        <v>33</v>
      </c>
      <c r="F519" s="31">
        <v>276</v>
      </c>
      <c r="G519" s="17" t="s">
        <v>64</v>
      </c>
      <c r="H519" s="17" t="s">
        <v>28</v>
      </c>
      <c r="I519" s="17" t="s">
        <v>17</v>
      </c>
      <c r="J519" s="27">
        <v>0.1</v>
      </c>
      <c r="K519" s="17" t="s">
        <v>933</v>
      </c>
      <c r="L519" s="32">
        <v>5</v>
      </c>
      <c r="M519" s="32">
        <f>_xlfn.XLOOKUP(Table2_1[[#This Row],[Product Code]],Product_Code,Unit_Price,0)</f>
        <v>7</v>
      </c>
      <c r="N519" s="31">
        <f>DATEDIF(Table2_1[[#This Row],[Buyer Date of Birth]],Table2_1[[#This Row],[Transaction  Date]],"Y")</f>
        <v>40</v>
      </c>
      <c r="O519" s="33">
        <v>1380</v>
      </c>
      <c r="P519" s="33">
        <f>Table2_1[[#This Row],[Quantity Purchased]]*Table2_1[[#This Row],[UnitPrice]]*(1-Table2_1[[#This Row],[Discount]])</f>
        <v>1738.8</v>
      </c>
      <c r="Q519" s="33">
        <f>Table2_1[[#This Row],[Revenue]]-Table2_1[[#This Row],[COGS]]</f>
        <v>358.79999999999995</v>
      </c>
      <c r="R519" s="39">
        <f>WEEKDAY(Table2_1[[#This Row],[Transaction  Date]])</f>
        <v>5</v>
      </c>
      <c r="S519" s="17" t="str">
        <f>IF(WEEKDAY(Table2_1[[#This Row],[Transaction  Date]],2)&lt;=5,"Weekday","Weekend")</f>
        <v>Weekday</v>
      </c>
      <c r="T519" s="37" t="str">
        <f>FLOOR(Table2_1[[#This Row],[Age]],15)&amp; "-"&amp; FLOOR(Table2_1[[#This Row],[Age]],15)+14</f>
        <v>30-44</v>
      </c>
    </row>
    <row r="520" spans="1:20" x14ac:dyDescent="0.3">
      <c r="A520" s="18">
        <v>45401</v>
      </c>
      <c r="B520" s="17" t="s">
        <v>1862</v>
      </c>
      <c r="C520" s="17" t="s">
        <v>13</v>
      </c>
      <c r="D520" s="18">
        <v>37721</v>
      </c>
      <c r="E520" s="16" t="s">
        <v>68</v>
      </c>
      <c r="F520" s="31">
        <v>242</v>
      </c>
      <c r="G520" s="17" t="s">
        <v>64</v>
      </c>
      <c r="H520" s="17" t="s">
        <v>52</v>
      </c>
      <c r="I520" s="17" t="s">
        <v>17</v>
      </c>
      <c r="J520" s="27">
        <v>0.1</v>
      </c>
      <c r="K520" s="17" t="s">
        <v>933</v>
      </c>
      <c r="L520" s="32">
        <v>5</v>
      </c>
      <c r="M520" s="32">
        <f>_xlfn.XLOOKUP(Table2_1[[#This Row],[Product Code]],Product_Code,Unit_Price,0)</f>
        <v>7</v>
      </c>
      <c r="N520" s="31">
        <f>DATEDIF(Table2_1[[#This Row],[Buyer Date of Birth]],Table2_1[[#This Row],[Transaction  Date]],"Y")</f>
        <v>21</v>
      </c>
      <c r="O520" s="33">
        <v>1210</v>
      </c>
      <c r="P520" s="33">
        <f>Table2_1[[#This Row],[Quantity Purchased]]*Table2_1[[#This Row],[UnitPrice]]*(1-Table2_1[[#This Row],[Discount]])</f>
        <v>1524.6000000000001</v>
      </c>
      <c r="Q520" s="33">
        <f>Table2_1[[#This Row],[Revenue]]-Table2_1[[#This Row],[COGS]]</f>
        <v>314.60000000000014</v>
      </c>
      <c r="R520" s="39">
        <f>WEEKDAY(Table2_1[[#This Row],[Transaction  Date]])</f>
        <v>6</v>
      </c>
      <c r="S520" s="17" t="str">
        <f>IF(WEEKDAY(Table2_1[[#This Row],[Transaction  Date]],2)&lt;=5,"Weekday","Weekend")</f>
        <v>Weekday</v>
      </c>
      <c r="T520" s="37" t="str">
        <f>FLOOR(Table2_1[[#This Row],[Age]],15)&amp; "-"&amp; FLOOR(Table2_1[[#This Row],[Age]],15)+14</f>
        <v>15-29</v>
      </c>
    </row>
    <row r="521" spans="1:20" x14ac:dyDescent="0.3">
      <c r="A521" s="18">
        <v>45401</v>
      </c>
      <c r="B521" s="17" t="s">
        <v>1411</v>
      </c>
      <c r="C521" s="17" t="s">
        <v>78</v>
      </c>
      <c r="D521" s="18">
        <v>16610</v>
      </c>
      <c r="E521" s="16" t="s">
        <v>14</v>
      </c>
      <c r="F521" s="31">
        <v>173</v>
      </c>
      <c r="G521" s="17" t="s">
        <v>64</v>
      </c>
      <c r="H521" s="17" t="s">
        <v>48</v>
      </c>
      <c r="I521" s="17" t="s">
        <v>17</v>
      </c>
      <c r="J521" s="27">
        <v>0.1</v>
      </c>
      <c r="K521" s="17" t="s">
        <v>933</v>
      </c>
      <c r="L521" s="32">
        <v>5</v>
      </c>
      <c r="M521" s="32">
        <f>_xlfn.XLOOKUP(Table2_1[[#This Row],[Product Code]],Product_Code,Unit_Price,0)</f>
        <v>7</v>
      </c>
      <c r="N521" s="31">
        <f>DATEDIF(Table2_1[[#This Row],[Buyer Date of Birth]],Table2_1[[#This Row],[Transaction  Date]],"Y")</f>
        <v>78</v>
      </c>
      <c r="O521" s="33">
        <v>865</v>
      </c>
      <c r="P521" s="33">
        <f>Table2_1[[#This Row],[Quantity Purchased]]*Table2_1[[#This Row],[UnitPrice]]*(1-Table2_1[[#This Row],[Discount]])</f>
        <v>1089.9000000000001</v>
      </c>
      <c r="Q521" s="33">
        <f>Table2_1[[#This Row],[Revenue]]-Table2_1[[#This Row],[COGS]]</f>
        <v>224.90000000000009</v>
      </c>
      <c r="R521" s="39">
        <f>WEEKDAY(Table2_1[[#This Row],[Transaction  Date]])</f>
        <v>6</v>
      </c>
      <c r="S521" s="17" t="str">
        <f>IF(WEEKDAY(Table2_1[[#This Row],[Transaction  Date]],2)&lt;=5,"Weekday","Weekend")</f>
        <v>Weekday</v>
      </c>
      <c r="T521" s="37" t="str">
        <f>FLOOR(Table2_1[[#This Row],[Age]],15)&amp; "-"&amp; FLOOR(Table2_1[[#This Row],[Age]],15)+14</f>
        <v>75-89</v>
      </c>
    </row>
    <row r="522" spans="1:20" x14ac:dyDescent="0.3">
      <c r="A522" s="18">
        <v>45401</v>
      </c>
      <c r="B522" s="17" t="s">
        <v>1863</v>
      </c>
      <c r="C522" s="17" t="s">
        <v>71</v>
      </c>
      <c r="D522" s="18">
        <v>38923</v>
      </c>
      <c r="E522" s="16" t="s">
        <v>68</v>
      </c>
      <c r="F522" s="31">
        <v>431</v>
      </c>
      <c r="G522" s="17" t="s">
        <v>34</v>
      </c>
      <c r="H522" s="17" t="s">
        <v>52</v>
      </c>
      <c r="I522" s="17" t="s">
        <v>17</v>
      </c>
      <c r="J522" s="27">
        <v>0.1</v>
      </c>
      <c r="K522" s="17" t="s">
        <v>930</v>
      </c>
      <c r="L522" s="32">
        <v>14</v>
      </c>
      <c r="M522" s="32">
        <f>_xlfn.XLOOKUP(Table2_1[[#This Row],[Product Code]],Product_Code,Unit_Price,0)</f>
        <v>28</v>
      </c>
      <c r="N522" s="31">
        <f>DATEDIF(Table2_1[[#This Row],[Buyer Date of Birth]],Table2_1[[#This Row],[Transaction  Date]],"Y")</f>
        <v>17</v>
      </c>
      <c r="O522" s="33">
        <v>6034</v>
      </c>
      <c r="P522" s="33">
        <f>Table2_1[[#This Row],[Quantity Purchased]]*Table2_1[[#This Row],[UnitPrice]]*(1-Table2_1[[#This Row],[Discount]])</f>
        <v>10861.2</v>
      </c>
      <c r="Q522" s="33">
        <f>Table2_1[[#This Row],[Revenue]]-Table2_1[[#This Row],[COGS]]</f>
        <v>4827.2000000000007</v>
      </c>
      <c r="R522" s="39">
        <f>WEEKDAY(Table2_1[[#This Row],[Transaction  Date]])</f>
        <v>6</v>
      </c>
      <c r="S522" s="17" t="str">
        <f>IF(WEEKDAY(Table2_1[[#This Row],[Transaction  Date]],2)&lt;=5,"Weekday","Weekend")</f>
        <v>Weekday</v>
      </c>
      <c r="T522" s="37" t="str">
        <f>FLOOR(Table2_1[[#This Row],[Age]],15)&amp; "-"&amp; FLOOR(Table2_1[[#This Row],[Age]],15)+14</f>
        <v>15-29</v>
      </c>
    </row>
    <row r="523" spans="1:20" x14ac:dyDescent="0.3">
      <c r="A523" s="18">
        <v>45401</v>
      </c>
      <c r="B523" s="17" t="s">
        <v>1412</v>
      </c>
      <c r="C523" s="17" t="s">
        <v>32</v>
      </c>
      <c r="D523" s="18">
        <v>26871</v>
      </c>
      <c r="E523" s="16" t="s">
        <v>68</v>
      </c>
      <c r="F523" s="31">
        <v>399</v>
      </c>
      <c r="G523" s="17" t="s">
        <v>34</v>
      </c>
      <c r="H523" s="17" t="s">
        <v>52</v>
      </c>
      <c r="I523" s="17" t="s">
        <v>17</v>
      </c>
      <c r="J523" s="27">
        <v>0.1</v>
      </c>
      <c r="K523" s="17" t="s">
        <v>930</v>
      </c>
      <c r="L523" s="32">
        <v>14</v>
      </c>
      <c r="M523" s="32">
        <f>_xlfn.XLOOKUP(Table2_1[[#This Row],[Product Code]],Product_Code,Unit_Price,0)</f>
        <v>28</v>
      </c>
      <c r="N523" s="31">
        <f>DATEDIF(Table2_1[[#This Row],[Buyer Date of Birth]],Table2_1[[#This Row],[Transaction  Date]],"Y")</f>
        <v>50</v>
      </c>
      <c r="O523" s="33">
        <v>5586</v>
      </c>
      <c r="P523" s="33">
        <f>Table2_1[[#This Row],[Quantity Purchased]]*Table2_1[[#This Row],[UnitPrice]]*(1-Table2_1[[#This Row],[Discount]])</f>
        <v>10054.800000000001</v>
      </c>
      <c r="Q523" s="33">
        <f>Table2_1[[#This Row],[Revenue]]-Table2_1[[#This Row],[COGS]]</f>
        <v>4468.8000000000011</v>
      </c>
      <c r="R523" s="39">
        <f>WEEKDAY(Table2_1[[#This Row],[Transaction  Date]])</f>
        <v>6</v>
      </c>
      <c r="S523" s="17" t="str">
        <f>IF(WEEKDAY(Table2_1[[#This Row],[Transaction  Date]],2)&lt;=5,"Weekday","Weekend")</f>
        <v>Weekday</v>
      </c>
      <c r="T523" s="37" t="str">
        <f>FLOOR(Table2_1[[#This Row],[Age]],15)&amp; "-"&amp; FLOOR(Table2_1[[#This Row],[Age]],15)+14</f>
        <v>45-59</v>
      </c>
    </row>
    <row r="524" spans="1:20" x14ac:dyDescent="0.3">
      <c r="A524" s="18">
        <v>45401</v>
      </c>
      <c r="B524" s="17" t="s">
        <v>1413</v>
      </c>
      <c r="C524" s="17" t="s">
        <v>32</v>
      </c>
      <c r="D524" s="18">
        <v>29470</v>
      </c>
      <c r="E524" s="16" t="s">
        <v>14</v>
      </c>
      <c r="F524" s="31">
        <v>336</v>
      </c>
      <c r="G524" s="17" t="s">
        <v>47</v>
      </c>
      <c r="H524" s="17" t="s">
        <v>48</v>
      </c>
      <c r="I524" s="17" t="s">
        <v>17</v>
      </c>
      <c r="J524" s="27">
        <v>0.1</v>
      </c>
      <c r="K524" s="17" t="s">
        <v>931</v>
      </c>
      <c r="L524" s="32">
        <v>7</v>
      </c>
      <c r="M524" s="32">
        <f>_xlfn.XLOOKUP(Table2_1[[#This Row],[Product Code]],Product_Code,Unit_Price,0)</f>
        <v>9</v>
      </c>
      <c r="N524" s="31">
        <f>DATEDIF(Table2_1[[#This Row],[Buyer Date of Birth]],Table2_1[[#This Row],[Transaction  Date]],"Y")</f>
        <v>43</v>
      </c>
      <c r="O524" s="33">
        <v>2352</v>
      </c>
      <c r="P524" s="33">
        <f>Table2_1[[#This Row],[Quantity Purchased]]*Table2_1[[#This Row],[UnitPrice]]*(1-Table2_1[[#This Row],[Discount]])</f>
        <v>2721.6</v>
      </c>
      <c r="Q524" s="33">
        <f>Table2_1[[#This Row],[Revenue]]-Table2_1[[#This Row],[COGS]]</f>
        <v>369.59999999999991</v>
      </c>
      <c r="R524" s="39">
        <f>WEEKDAY(Table2_1[[#This Row],[Transaction  Date]])</f>
        <v>6</v>
      </c>
      <c r="S524" s="17" t="str">
        <f>IF(WEEKDAY(Table2_1[[#This Row],[Transaction  Date]],2)&lt;=5,"Weekday","Weekend")</f>
        <v>Weekday</v>
      </c>
      <c r="T524" s="37" t="str">
        <f>FLOOR(Table2_1[[#This Row],[Age]],15)&amp; "-"&amp; FLOOR(Table2_1[[#This Row],[Age]],15)+14</f>
        <v>30-44</v>
      </c>
    </row>
    <row r="525" spans="1:20" x14ac:dyDescent="0.3">
      <c r="A525" s="18">
        <v>45401</v>
      </c>
      <c r="B525" s="17" t="s">
        <v>1414</v>
      </c>
      <c r="C525" s="17" t="s">
        <v>51</v>
      </c>
      <c r="D525" s="18">
        <v>23996</v>
      </c>
      <c r="E525" s="16" t="s">
        <v>14</v>
      </c>
      <c r="F525" s="31">
        <v>354</v>
      </c>
      <c r="G525" s="17" t="s">
        <v>47</v>
      </c>
      <c r="H525" s="17" t="s">
        <v>48</v>
      </c>
      <c r="I525" s="17" t="s">
        <v>17</v>
      </c>
      <c r="J525" s="27">
        <v>0.1</v>
      </c>
      <c r="K525" s="17" t="s">
        <v>931</v>
      </c>
      <c r="L525" s="32">
        <v>7</v>
      </c>
      <c r="M525" s="32">
        <f>_xlfn.XLOOKUP(Table2_1[[#This Row],[Product Code]],Product_Code,Unit_Price,0)</f>
        <v>9</v>
      </c>
      <c r="N525" s="31">
        <f>DATEDIF(Table2_1[[#This Row],[Buyer Date of Birth]],Table2_1[[#This Row],[Transaction  Date]],"Y")</f>
        <v>58</v>
      </c>
      <c r="O525" s="33">
        <v>2478</v>
      </c>
      <c r="P525" s="33">
        <f>Table2_1[[#This Row],[Quantity Purchased]]*Table2_1[[#This Row],[UnitPrice]]*(1-Table2_1[[#This Row],[Discount]])</f>
        <v>2867.4</v>
      </c>
      <c r="Q525" s="33">
        <f>Table2_1[[#This Row],[Revenue]]-Table2_1[[#This Row],[COGS]]</f>
        <v>389.40000000000009</v>
      </c>
      <c r="R525" s="39">
        <f>WEEKDAY(Table2_1[[#This Row],[Transaction  Date]])</f>
        <v>6</v>
      </c>
      <c r="S525" s="17" t="str">
        <f>IF(WEEKDAY(Table2_1[[#This Row],[Transaction  Date]],2)&lt;=5,"Weekday","Weekend")</f>
        <v>Weekday</v>
      </c>
      <c r="T525" s="37" t="str">
        <f>FLOOR(Table2_1[[#This Row],[Age]],15)&amp; "-"&amp; FLOOR(Table2_1[[#This Row],[Age]],15)+14</f>
        <v>45-59</v>
      </c>
    </row>
    <row r="526" spans="1:20" x14ac:dyDescent="0.3">
      <c r="A526" s="18">
        <v>45402</v>
      </c>
      <c r="B526" s="17" t="s">
        <v>1415</v>
      </c>
      <c r="C526" s="17" t="s">
        <v>51</v>
      </c>
      <c r="D526" s="18">
        <v>21485</v>
      </c>
      <c r="E526" s="16" t="s">
        <v>68</v>
      </c>
      <c r="F526" s="31">
        <v>234</v>
      </c>
      <c r="G526" s="17" t="s">
        <v>15</v>
      </c>
      <c r="H526" s="17" t="s">
        <v>52</v>
      </c>
      <c r="I526" s="17" t="s">
        <v>17</v>
      </c>
      <c r="J526" s="27">
        <v>0.1</v>
      </c>
      <c r="K526" s="17" t="s">
        <v>929</v>
      </c>
      <c r="L526" s="32">
        <v>10</v>
      </c>
      <c r="M526" s="32">
        <f>_xlfn.XLOOKUP(Table2_1[[#This Row],[Product Code]],Product_Code,Unit_Price,0)</f>
        <v>14</v>
      </c>
      <c r="N526" s="31">
        <f>DATEDIF(Table2_1[[#This Row],[Buyer Date of Birth]],Table2_1[[#This Row],[Transaction  Date]],"Y")</f>
        <v>65</v>
      </c>
      <c r="O526" s="33">
        <v>2340</v>
      </c>
      <c r="P526" s="33">
        <f>Table2_1[[#This Row],[Quantity Purchased]]*Table2_1[[#This Row],[UnitPrice]]*(1-Table2_1[[#This Row],[Discount]])</f>
        <v>2948.4</v>
      </c>
      <c r="Q526" s="33">
        <f>Table2_1[[#This Row],[Revenue]]-Table2_1[[#This Row],[COGS]]</f>
        <v>608.40000000000009</v>
      </c>
      <c r="R526" s="39">
        <f>WEEKDAY(Table2_1[[#This Row],[Transaction  Date]])</f>
        <v>7</v>
      </c>
      <c r="S526" s="17" t="str">
        <f>IF(WEEKDAY(Table2_1[[#This Row],[Transaction  Date]],2)&lt;=5,"Weekday","Weekend")</f>
        <v>Weekend</v>
      </c>
      <c r="T526" s="37" t="str">
        <f>FLOOR(Table2_1[[#This Row],[Age]],15)&amp; "-"&amp; FLOOR(Table2_1[[#This Row],[Age]],15)+14</f>
        <v>60-74</v>
      </c>
    </row>
    <row r="527" spans="1:20" x14ac:dyDescent="0.3">
      <c r="A527" s="18">
        <v>45402</v>
      </c>
      <c r="B527" s="17" t="s">
        <v>1416</v>
      </c>
      <c r="C527" s="17" t="s">
        <v>83</v>
      </c>
      <c r="D527" s="18">
        <v>35400</v>
      </c>
      <c r="E527" s="16" t="s">
        <v>14</v>
      </c>
      <c r="F527" s="31">
        <v>476</v>
      </c>
      <c r="G527" s="17" t="s">
        <v>27</v>
      </c>
      <c r="H527" s="17" t="s">
        <v>43</v>
      </c>
      <c r="I527" s="17" t="s">
        <v>17</v>
      </c>
      <c r="J527" s="27">
        <v>0.1</v>
      </c>
      <c r="K527" s="17" t="s">
        <v>927</v>
      </c>
      <c r="L527" s="32">
        <v>18</v>
      </c>
      <c r="M527" s="32">
        <f>_xlfn.XLOOKUP(Table2_1[[#This Row],[Product Code]],Product_Code,Unit_Price,0)</f>
        <v>22</v>
      </c>
      <c r="N527" s="31">
        <f>DATEDIF(Table2_1[[#This Row],[Buyer Date of Birth]],Table2_1[[#This Row],[Transaction  Date]],"Y")</f>
        <v>27</v>
      </c>
      <c r="O527" s="33">
        <v>8568</v>
      </c>
      <c r="P527" s="33">
        <f>Table2_1[[#This Row],[Quantity Purchased]]*Table2_1[[#This Row],[UnitPrice]]*(1-Table2_1[[#This Row],[Discount]])</f>
        <v>9424.8000000000011</v>
      </c>
      <c r="Q527" s="33">
        <f>Table2_1[[#This Row],[Revenue]]-Table2_1[[#This Row],[COGS]]</f>
        <v>856.80000000000109</v>
      </c>
      <c r="R527" s="39">
        <f>WEEKDAY(Table2_1[[#This Row],[Transaction  Date]])</f>
        <v>7</v>
      </c>
      <c r="S527" s="17" t="str">
        <f>IF(WEEKDAY(Table2_1[[#This Row],[Transaction  Date]],2)&lt;=5,"Weekday","Weekend")</f>
        <v>Weekend</v>
      </c>
      <c r="T527" s="37" t="str">
        <f>FLOOR(Table2_1[[#This Row],[Age]],15)&amp; "-"&amp; FLOOR(Table2_1[[#This Row],[Age]],15)+14</f>
        <v>15-29</v>
      </c>
    </row>
    <row r="528" spans="1:20" x14ac:dyDescent="0.3">
      <c r="A528" s="18">
        <v>45403</v>
      </c>
      <c r="B528" s="17" t="s">
        <v>1417</v>
      </c>
      <c r="C528" s="17" t="s">
        <v>55</v>
      </c>
      <c r="D528" s="18">
        <v>34304</v>
      </c>
      <c r="E528" s="16" t="s">
        <v>68</v>
      </c>
      <c r="F528" s="31">
        <v>266</v>
      </c>
      <c r="G528" s="17" t="s">
        <v>47</v>
      </c>
      <c r="H528" s="17" t="s">
        <v>48</v>
      </c>
      <c r="I528" s="17" t="s">
        <v>17</v>
      </c>
      <c r="J528" s="27">
        <v>0.1</v>
      </c>
      <c r="K528" s="17" t="s">
        <v>931</v>
      </c>
      <c r="L528" s="32">
        <v>7</v>
      </c>
      <c r="M528" s="32">
        <f>_xlfn.XLOOKUP(Table2_1[[#This Row],[Product Code]],Product_Code,Unit_Price,0)</f>
        <v>9</v>
      </c>
      <c r="N528" s="31">
        <f>DATEDIF(Table2_1[[#This Row],[Buyer Date of Birth]],Table2_1[[#This Row],[Transaction  Date]],"Y")</f>
        <v>30</v>
      </c>
      <c r="O528" s="33">
        <v>1862</v>
      </c>
      <c r="P528" s="33">
        <f>Table2_1[[#This Row],[Quantity Purchased]]*Table2_1[[#This Row],[UnitPrice]]*(1-Table2_1[[#This Row],[Discount]])</f>
        <v>2154.6</v>
      </c>
      <c r="Q528" s="33">
        <f>Table2_1[[#This Row],[Revenue]]-Table2_1[[#This Row],[COGS]]</f>
        <v>292.59999999999991</v>
      </c>
      <c r="R528" s="39">
        <f>WEEKDAY(Table2_1[[#This Row],[Transaction  Date]])</f>
        <v>1</v>
      </c>
      <c r="S528" s="17" t="str">
        <f>IF(WEEKDAY(Table2_1[[#This Row],[Transaction  Date]],2)&lt;=5,"Weekday","Weekend")</f>
        <v>Weekend</v>
      </c>
      <c r="T528" s="37" t="str">
        <f>FLOOR(Table2_1[[#This Row],[Age]],15)&amp; "-"&amp; FLOOR(Table2_1[[#This Row],[Age]],15)+14</f>
        <v>30-44</v>
      </c>
    </row>
    <row r="529" spans="1:20" x14ac:dyDescent="0.3">
      <c r="A529" s="18">
        <v>45403</v>
      </c>
      <c r="B529" s="17" t="s">
        <v>1418</v>
      </c>
      <c r="C529" s="17" t="s">
        <v>46</v>
      </c>
      <c r="D529" s="18">
        <v>27616</v>
      </c>
      <c r="E529" s="16" t="s">
        <v>33</v>
      </c>
      <c r="F529" s="31">
        <v>359</v>
      </c>
      <c r="G529" s="17" t="s">
        <v>47</v>
      </c>
      <c r="H529" s="17" t="s">
        <v>48</v>
      </c>
      <c r="I529" s="17" t="s">
        <v>17</v>
      </c>
      <c r="J529" s="27">
        <v>0.1</v>
      </c>
      <c r="K529" s="17" t="s">
        <v>931</v>
      </c>
      <c r="L529" s="32">
        <v>7</v>
      </c>
      <c r="M529" s="32">
        <f>_xlfn.XLOOKUP(Table2_1[[#This Row],[Product Code]],Product_Code,Unit_Price,0)</f>
        <v>9</v>
      </c>
      <c r="N529" s="31">
        <f>DATEDIF(Table2_1[[#This Row],[Buyer Date of Birth]],Table2_1[[#This Row],[Transaction  Date]],"Y")</f>
        <v>48</v>
      </c>
      <c r="O529" s="33">
        <v>2513</v>
      </c>
      <c r="P529" s="33">
        <f>Table2_1[[#This Row],[Quantity Purchased]]*Table2_1[[#This Row],[UnitPrice]]*(1-Table2_1[[#This Row],[Discount]])</f>
        <v>2907.9</v>
      </c>
      <c r="Q529" s="33">
        <f>Table2_1[[#This Row],[Revenue]]-Table2_1[[#This Row],[COGS]]</f>
        <v>394.90000000000009</v>
      </c>
      <c r="R529" s="39">
        <f>WEEKDAY(Table2_1[[#This Row],[Transaction  Date]])</f>
        <v>1</v>
      </c>
      <c r="S529" s="17" t="str">
        <f>IF(WEEKDAY(Table2_1[[#This Row],[Transaction  Date]],2)&lt;=5,"Weekday","Weekend")</f>
        <v>Weekend</v>
      </c>
      <c r="T529" s="37" t="str">
        <f>FLOOR(Table2_1[[#This Row],[Age]],15)&amp; "-"&amp; FLOOR(Table2_1[[#This Row],[Age]],15)+14</f>
        <v>45-59</v>
      </c>
    </row>
    <row r="530" spans="1:20" x14ac:dyDescent="0.3">
      <c r="A530" s="18">
        <v>45403</v>
      </c>
      <c r="B530" s="17" t="s">
        <v>1419</v>
      </c>
      <c r="C530" s="17" t="s">
        <v>83</v>
      </c>
      <c r="D530" s="18">
        <v>32754</v>
      </c>
      <c r="E530" s="16" t="s">
        <v>68</v>
      </c>
      <c r="F530" s="31">
        <v>284</v>
      </c>
      <c r="G530" s="17" t="s">
        <v>27</v>
      </c>
      <c r="H530" s="17" t="s">
        <v>35</v>
      </c>
      <c r="I530" s="17" t="s">
        <v>17</v>
      </c>
      <c r="J530" s="27">
        <v>0.1</v>
      </c>
      <c r="K530" s="17" t="s">
        <v>927</v>
      </c>
      <c r="L530" s="32">
        <v>18</v>
      </c>
      <c r="M530" s="32">
        <f>_xlfn.XLOOKUP(Table2_1[[#This Row],[Product Code]],Product_Code,Unit_Price,0)</f>
        <v>22</v>
      </c>
      <c r="N530" s="31">
        <f>DATEDIF(Table2_1[[#This Row],[Buyer Date of Birth]],Table2_1[[#This Row],[Transaction  Date]],"Y")</f>
        <v>34</v>
      </c>
      <c r="O530" s="33">
        <v>5112</v>
      </c>
      <c r="P530" s="33">
        <f>Table2_1[[#This Row],[Quantity Purchased]]*Table2_1[[#This Row],[UnitPrice]]*(1-Table2_1[[#This Row],[Discount]])</f>
        <v>5623.2</v>
      </c>
      <c r="Q530" s="33">
        <f>Table2_1[[#This Row],[Revenue]]-Table2_1[[#This Row],[COGS]]</f>
        <v>511.19999999999982</v>
      </c>
      <c r="R530" s="39">
        <f>WEEKDAY(Table2_1[[#This Row],[Transaction  Date]])</f>
        <v>1</v>
      </c>
      <c r="S530" s="17" t="str">
        <f>IF(WEEKDAY(Table2_1[[#This Row],[Transaction  Date]],2)&lt;=5,"Weekday","Weekend")</f>
        <v>Weekend</v>
      </c>
      <c r="T530" s="37" t="str">
        <f>FLOOR(Table2_1[[#This Row],[Age]],15)&amp; "-"&amp; FLOOR(Table2_1[[#This Row],[Age]],15)+14</f>
        <v>30-44</v>
      </c>
    </row>
    <row r="531" spans="1:20" x14ac:dyDescent="0.3">
      <c r="A531" s="18">
        <v>45403</v>
      </c>
      <c r="B531" s="17" t="s">
        <v>1420</v>
      </c>
      <c r="C531" s="17" t="s">
        <v>51</v>
      </c>
      <c r="D531" s="18">
        <v>20394</v>
      </c>
      <c r="E531" s="16" t="s">
        <v>68</v>
      </c>
      <c r="F531" s="31">
        <v>92</v>
      </c>
      <c r="G531" s="17" t="s">
        <v>64</v>
      </c>
      <c r="H531" s="17" t="s">
        <v>35</v>
      </c>
      <c r="I531" s="17" t="s">
        <v>17</v>
      </c>
      <c r="J531" s="27">
        <v>0.1</v>
      </c>
      <c r="K531" s="17" t="s">
        <v>933</v>
      </c>
      <c r="L531" s="32">
        <v>5</v>
      </c>
      <c r="M531" s="32">
        <f>_xlfn.XLOOKUP(Table2_1[[#This Row],[Product Code]],Product_Code,Unit_Price,0)</f>
        <v>7</v>
      </c>
      <c r="N531" s="31">
        <f>DATEDIF(Table2_1[[#This Row],[Buyer Date of Birth]],Table2_1[[#This Row],[Transaction  Date]],"Y")</f>
        <v>68</v>
      </c>
      <c r="O531" s="33">
        <v>460</v>
      </c>
      <c r="P531" s="33">
        <f>Table2_1[[#This Row],[Quantity Purchased]]*Table2_1[[#This Row],[UnitPrice]]*(1-Table2_1[[#This Row],[Discount]])</f>
        <v>579.6</v>
      </c>
      <c r="Q531" s="33">
        <f>Table2_1[[#This Row],[Revenue]]-Table2_1[[#This Row],[COGS]]</f>
        <v>119.60000000000002</v>
      </c>
      <c r="R531" s="39">
        <f>WEEKDAY(Table2_1[[#This Row],[Transaction  Date]])</f>
        <v>1</v>
      </c>
      <c r="S531" s="17" t="str">
        <f>IF(WEEKDAY(Table2_1[[#This Row],[Transaction  Date]],2)&lt;=5,"Weekday","Weekend")</f>
        <v>Weekend</v>
      </c>
      <c r="T531" s="37" t="str">
        <f>FLOOR(Table2_1[[#This Row],[Age]],15)&amp; "-"&amp; FLOOR(Table2_1[[#This Row],[Age]],15)+14</f>
        <v>60-74</v>
      </c>
    </row>
    <row r="532" spans="1:20" x14ac:dyDescent="0.3">
      <c r="A532" s="18">
        <v>45403</v>
      </c>
      <c r="B532" s="17" t="s">
        <v>1421</v>
      </c>
      <c r="C532" s="17" t="s">
        <v>71</v>
      </c>
      <c r="D532" s="18" t="s">
        <v>32</v>
      </c>
      <c r="E532" s="16" t="s">
        <v>20</v>
      </c>
      <c r="F532" s="31">
        <v>277</v>
      </c>
      <c r="G532" s="17" t="s">
        <v>47</v>
      </c>
      <c r="H532" s="17" t="s">
        <v>43</v>
      </c>
      <c r="I532" s="17" t="s">
        <v>17</v>
      </c>
      <c r="J532" s="27">
        <v>0.1</v>
      </c>
      <c r="K532" s="17" t="s">
        <v>931</v>
      </c>
      <c r="L532" s="32">
        <v>7</v>
      </c>
      <c r="M532" s="32">
        <f>_xlfn.XLOOKUP(Table2_1[[#This Row],[Product Code]],Product_Code,Unit_Price,0)</f>
        <v>9</v>
      </c>
      <c r="N532" s="31" t="e">
        <f>DATEDIF(Table2_1[[#This Row],[Buyer Date of Birth]],Table2_1[[#This Row],[Transaction  Date]],"Y")</f>
        <v>#VALUE!</v>
      </c>
      <c r="O532" s="33">
        <v>1939</v>
      </c>
      <c r="P532" s="33">
        <f>Table2_1[[#This Row],[Quantity Purchased]]*Table2_1[[#This Row],[UnitPrice]]*(1-Table2_1[[#This Row],[Discount]])</f>
        <v>2243.7000000000003</v>
      </c>
      <c r="Q532" s="33">
        <f>Table2_1[[#This Row],[Revenue]]-Table2_1[[#This Row],[COGS]]</f>
        <v>304.70000000000027</v>
      </c>
      <c r="R532" s="39">
        <f>WEEKDAY(Table2_1[[#This Row],[Transaction  Date]])</f>
        <v>1</v>
      </c>
      <c r="S532" s="17" t="str">
        <f>IF(WEEKDAY(Table2_1[[#This Row],[Transaction  Date]],2)&lt;=5,"Weekday","Weekend")</f>
        <v>Weekend</v>
      </c>
      <c r="T532" s="37" t="e">
        <f>FLOOR(Table2_1[[#This Row],[Age]],15)&amp; "-"&amp; FLOOR(Table2_1[[#This Row],[Age]],15)+14</f>
        <v>#VALUE!</v>
      </c>
    </row>
    <row r="533" spans="1:20" x14ac:dyDescent="0.3">
      <c r="A533" s="18">
        <v>45403</v>
      </c>
      <c r="B533" s="17" t="s">
        <v>1864</v>
      </c>
      <c r="C533" s="17" t="s">
        <v>46</v>
      </c>
      <c r="D533" s="18">
        <v>23702</v>
      </c>
      <c r="E533" s="16" t="s">
        <v>20</v>
      </c>
      <c r="F533" s="31">
        <v>151</v>
      </c>
      <c r="G533" s="17" t="s">
        <v>15</v>
      </c>
      <c r="H533" s="17" t="s">
        <v>48</v>
      </c>
      <c r="I533" s="17" t="s">
        <v>17</v>
      </c>
      <c r="J533" s="27">
        <v>0.1</v>
      </c>
      <c r="K533" s="17" t="s">
        <v>929</v>
      </c>
      <c r="L533" s="32">
        <v>10</v>
      </c>
      <c r="M533" s="32">
        <f>_xlfn.XLOOKUP(Table2_1[[#This Row],[Product Code]],Product_Code,Unit_Price,0)</f>
        <v>14</v>
      </c>
      <c r="N533" s="31">
        <f>DATEDIF(Table2_1[[#This Row],[Buyer Date of Birth]],Table2_1[[#This Row],[Transaction  Date]],"Y")</f>
        <v>59</v>
      </c>
      <c r="O533" s="33">
        <v>1510</v>
      </c>
      <c r="P533" s="33">
        <f>Table2_1[[#This Row],[Quantity Purchased]]*Table2_1[[#This Row],[UnitPrice]]*(1-Table2_1[[#This Row],[Discount]])</f>
        <v>1902.6000000000001</v>
      </c>
      <c r="Q533" s="33">
        <f>Table2_1[[#This Row],[Revenue]]-Table2_1[[#This Row],[COGS]]</f>
        <v>392.60000000000014</v>
      </c>
      <c r="R533" s="39">
        <f>WEEKDAY(Table2_1[[#This Row],[Transaction  Date]])</f>
        <v>1</v>
      </c>
      <c r="S533" s="17" t="str">
        <f>IF(WEEKDAY(Table2_1[[#This Row],[Transaction  Date]],2)&lt;=5,"Weekday","Weekend")</f>
        <v>Weekend</v>
      </c>
      <c r="T533" s="37" t="str">
        <f>FLOOR(Table2_1[[#This Row],[Age]],15)&amp; "-"&amp; FLOOR(Table2_1[[#This Row],[Age]],15)+14</f>
        <v>45-59</v>
      </c>
    </row>
    <row r="534" spans="1:20" x14ac:dyDescent="0.3">
      <c r="A534" s="18">
        <v>45403</v>
      </c>
      <c r="B534" s="17" t="s">
        <v>1422</v>
      </c>
      <c r="C534" s="17" t="s">
        <v>83</v>
      </c>
      <c r="D534" s="18">
        <v>27669</v>
      </c>
      <c r="E534" s="16" t="s">
        <v>33</v>
      </c>
      <c r="F534" s="31">
        <v>209</v>
      </c>
      <c r="G534" s="17" t="s">
        <v>47</v>
      </c>
      <c r="H534" s="17" t="s">
        <v>52</v>
      </c>
      <c r="I534" s="17" t="s">
        <v>17</v>
      </c>
      <c r="J534" s="27">
        <v>0.1</v>
      </c>
      <c r="K534" s="17" t="s">
        <v>931</v>
      </c>
      <c r="L534" s="32">
        <v>7</v>
      </c>
      <c r="M534" s="32">
        <f>_xlfn.XLOOKUP(Table2_1[[#This Row],[Product Code]],Product_Code,Unit_Price,0)</f>
        <v>9</v>
      </c>
      <c r="N534" s="31">
        <f>DATEDIF(Table2_1[[#This Row],[Buyer Date of Birth]],Table2_1[[#This Row],[Transaction  Date]],"Y")</f>
        <v>48</v>
      </c>
      <c r="O534" s="33">
        <v>1463</v>
      </c>
      <c r="P534" s="33">
        <f>Table2_1[[#This Row],[Quantity Purchased]]*Table2_1[[#This Row],[UnitPrice]]*(1-Table2_1[[#This Row],[Discount]])</f>
        <v>1692.9</v>
      </c>
      <c r="Q534" s="33">
        <f>Table2_1[[#This Row],[Revenue]]-Table2_1[[#This Row],[COGS]]</f>
        <v>229.90000000000009</v>
      </c>
      <c r="R534" s="39">
        <f>WEEKDAY(Table2_1[[#This Row],[Transaction  Date]])</f>
        <v>1</v>
      </c>
      <c r="S534" s="17" t="str">
        <f>IF(WEEKDAY(Table2_1[[#This Row],[Transaction  Date]],2)&lt;=5,"Weekday","Weekend")</f>
        <v>Weekend</v>
      </c>
      <c r="T534" s="37" t="str">
        <f>FLOOR(Table2_1[[#This Row],[Age]],15)&amp; "-"&amp; FLOOR(Table2_1[[#This Row],[Age]],15)+14</f>
        <v>45-59</v>
      </c>
    </row>
    <row r="535" spans="1:20" x14ac:dyDescent="0.3">
      <c r="A535" s="18">
        <v>45403</v>
      </c>
      <c r="B535" s="17" t="s">
        <v>1423</v>
      </c>
      <c r="C535" s="17" t="s">
        <v>51</v>
      </c>
      <c r="D535" s="18">
        <v>24021</v>
      </c>
      <c r="E535" s="16" t="s">
        <v>20</v>
      </c>
      <c r="F535" s="31">
        <v>41</v>
      </c>
      <c r="G535" s="17" t="s">
        <v>65</v>
      </c>
      <c r="H535" s="17" t="s">
        <v>48</v>
      </c>
      <c r="I535" s="17" t="s">
        <v>17</v>
      </c>
      <c r="J535" s="27">
        <v>0.1</v>
      </c>
      <c r="K535" s="17" t="s">
        <v>928</v>
      </c>
      <c r="L535" s="32">
        <v>3</v>
      </c>
      <c r="M535" s="32">
        <f>_xlfn.XLOOKUP(Table2_1[[#This Row],[Product Code]],Product_Code,Unit_Price,0)</f>
        <v>5</v>
      </c>
      <c r="N535" s="31">
        <f>DATEDIF(Table2_1[[#This Row],[Buyer Date of Birth]],Table2_1[[#This Row],[Transaction  Date]],"Y")</f>
        <v>58</v>
      </c>
      <c r="O535" s="33">
        <v>123</v>
      </c>
      <c r="P535" s="33">
        <f>Table2_1[[#This Row],[Quantity Purchased]]*Table2_1[[#This Row],[UnitPrice]]*(1-Table2_1[[#This Row],[Discount]])</f>
        <v>184.5</v>
      </c>
      <c r="Q535" s="33">
        <f>Table2_1[[#This Row],[Revenue]]-Table2_1[[#This Row],[COGS]]</f>
        <v>61.5</v>
      </c>
      <c r="R535" s="39">
        <f>WEEKDAY(Table2_1[[#This Row],[Transaction  Date]])</f>
        <v>1</v>
      </c>
      <c r="S535" s="17" t="str">
        <f>IF(WEEKDAY(Table2_1[[#This Row],[Transaction  Date]],2)&lt;=5,"Weekday","Weekend")</f>
        <v>Weekend</v>
      </c>
      <c r="T535" s="37" t="str">
        <f>FLOOR(Table2_1[[#This Row],[Age]],15)&amp; "-"&amp; FLOOR(Table2_1[[#This Row],[Age]],15)+14</f>
        <v>45-59</v>
      </c>
    </row>
    <row r="536" spans="1:20" x14ac:dyDescent="0.3">
      <c r="A536" s="18">
        <v>45404</v>
      </c>
      <c r="B536" s="17" t="s">
        <v>1424</v>
      </c>
      <c r="C536" s="17" t="s">
        <v>83</v>
      </c>
      <c r="D536" s="18">
        <v>20937</v>
      </c>
      <c r="E536" s="16" t="s">
        <v>33</v>
      </c>
      <c r="F536" s="31">
        <v>247</v>
      </c>
      <c r="G536" s="17" t="s">
        <v>42</v>
      </c>
      <c r="H536" s="17" t="s">
        <v>32</v>
      </c>
      <c r="I536" s="17" t="s">
        <v>17</v>
      </c>
      <c r="J536" s="27">
        <v>0.1</v>
      </c>
      <c r="K536" s="17" t="s">
        <v>926</v>
      </c>
      <c r="L536" s="32">
        <v>10</v>
      </c>
      <c r="M536" s="32">
        <f>_xlfn.XLOOKUP(Table2_1[[#This Row],[Product Code]],Product_Code,Unit_Price,0)</f>
        <v>11</v>
      </c>
      <c r="N536" s="31">
        <f>DATEDIF(Table2_1[[#This Row],[Buyer Date of Birth]],Table2_1[[#This Row],[Transaction  Date]],"Y")</f>
        <v>66</v>
      </c>
      <c r="O536" s="33">
        <v>2470</v>
      </c>
      <c r="P536" s="33">
        <f>Table2_1[[#This Row],[Quantity Purchased]]*Table2_1[[#This Row],[UnitPrice]]*(1-Table2_1[[#This Row],[Discount]])</f>
        <v>2445.3000000000002</v>
      </c>
      <c r="Q536" s="33">
        <f>Table2_1[[#This Row],[Revenue]]-Table2_1[[#This Row],[COGS]]</f>
        <v>-24.699999999999818</v>
      </c>
      <c r="R536" s="39">
        <f>WEEKDAY(Table2_1[[#This Row],[Transaction  Date]])</f>
        <v>2</v>
      </c>
      <c r="S536" s="17" t="str">
        <f>IF(WEEKDAY(Table2_1[[#This Row],[Transaction  Date]],2)&lt;=5,"Weekday","Weekend")</f>
        <v>Weekday</v>
      </c>
      <c r="T536" s="37" t="str">
        <f>FLOOR(Table2_1[[#This Row],[Age]],15)&amp; "-"&amp; FLOOR(Table2_1[[#This Row],[Age]],15)+14</f>
        <v>60-74</v>
      </c>
    </row>
    <row r="537" spans="1:20" x14ac:dyDescent="0.3">
      <c r="A537" s="18">
        <v>45404</v>
      </c>
      <c r="B537" s="17" t="s">
        <v>1425</v>
      </c>
      <c r="C537" s="17" t="s">
        <v>38</v>
      </c>
      <c r="D537" s="18">
        <v>26814</v>
      </c>
      <c r="E537" s="16" t="s">
        <v>33</v>
      </c>
      <c r="F537" s="31">
        <v>236</v>
      </c>
      <c r="G537" s="17" t="s">
        <v>56</v>
      </c>
      <c r="H537" s="17" t="s">
        <v>52</v>
      </c>
      <c r="I537" s="17" t="s">
        <v>17</v>
      </c>
      <c r="J537" s="27">
        <v>0.1</v>
      </c>
      <c r="K537" s="17" t="s">
        <v>935</v>
      </c>
      <c r="L537" s="32">
        <v>18</v>
      </c>
      <c r="M537" s="32">
        <f>_xlfn.XLOOKUP(Table2_1[[#This Row],[Product Code]],Product_Code,Unit_Price,0)</f>
        <v>36</v>
      </c>
      <c r="N537" s="31">
        <f>DATEDIF(Table2_1[[#This Row],[Buyer Date of Birth]],Table2_1[[#This Row],[Transaction  Date]],"Y")</f>
        <v>50</v>
      </c>
      <c r="O537" s="33">
        <v>4248</v>
      </c>
      <c r="P537" s="33">
        <f>Table2_1[[#This Row],[Quantity Purchased]]*Table2_1[[#This Row],[UnitPrice]]*(1-Table2_1[[#This Row],[Discount]])</f>
        <v>7646.4000000000005</v>
      </c>
      <c r="Q537" s="33">
        <f>Table2_1[[#This Row],[Revenue]]-Table2_1[[#This Row],[COGS]]</f>
        <v>3398.4000000000005</v>
      </c>
      <c r="R537" s="39">
        <f>WEEKDAY(Table2_1[[#This Row],[Transaction  Date]])</f>
        <v>2</v>
      </c>
      <c r="S537" s="17" t="str">
        <f>IF(WEEKDAY(Table2_1[[#This Row],[Transaction  Date]],2)&lt;=5,"Weekday","Weekend")</f>
        <v>Weekday</v>
      </c>
      <c r="T537" s="37" t="str">
        <f>FLOOR(Table2_1[[#This Row],[Age]],15)&amp; "-"&amp; FLOOR(Table2_1[[#This Row],[Age]],15)+14</f>
        <v>45-59</v>
      </c>
    </row>
    <row r="538" spans="1:20" x14ac:dyDescent="0.3">
      <c r="A538" s="18">
        <v>45404</v>
      </c>
      <c r="B538" s="17" t="s">
        <v>1865</v>
      </c>
      <c r="C538" s="17" t="s">
        <v>13</v>
      </c>
      <c r="D538" s="18">
        <v>20158</v>
      </c>
      <c r="E538" s="16" t="s">
        <v>68</v>
      </c>
      <c r="F538" s="31">
        <v>161</v>
      </c>
      <c r="G538" s="17" t="s">
        <v>56</v>
      </c>
      <c r="H538" s="17" t="s">
        <v>52</v>
      </c>
      <c r="I538" s="17" t="s">
        <v>17</v>
      </c>
      <c r="J538" s="27">
        <v>0.1</v>
      </c>
      <c r="K538" s="17" t="s">
        <v>935</v>
      </c>
      <c r="L538" s="32">
        <v>18</v>
      </c>
      <c r="M538" s="32">
        <f>_xlfn.XLOOKUP(Table2_1[[#This Row],[Product Code]],Product_Code,Unit_Price,0)</f>
        <v>36</v>
      </c>
      <c r="N538" s="31">
        <f>DATEDIF(Table2_1[[#This Row],[Buyer Date of Birth]],Table2_1[[#This Row],[Transaction  Date]],"Y")</f>
        <v>69</v>
      </c>
      <c r="O538" s="33">
        <v>2898</v>
      </c>
      <c r="P538" s="33">
        <f>Table2_1[[#This Row],[Quantity Purchased]]*Table2_1[[#This Row],[UnitPrice]]*(1-Table2_1[[#This Row],[Discount]])</f>
        <v>5216.4000000000005</v>
      </c>
      <c r="Q538" s="33">
        <f>Table2_1[[#This Row],[Revenue]]-Table2_1[[#This Row],[COGS]]</f>
        <v>2318.4000000000005</v>
      </c>
      <c r="R538" s="39">
        <f>WEEKDAY(Table2_1[[#This Row],[Transaction  Date]])</f>
        <v>2</v>
      </c>
      <c r="S538" s="17" t="str">
        <f>IF(WEEKDAY(Table2_1[[#This Row],[Transaction  Date]],2)&lt;=5,"Weekday","Weekend")</f>
        <v>Weekday</v>
      </c>
      <c r="T538" s="37" t="str">
        <f>FLOOR(Table2_1[[#This Row],[Age]],15)&amp; "-"&amp; FLOOR(Table2_1[[#This Row],[Age]],15)+14</f>
        <v>60-74</v>
      </c>
    </row>
    <row r="539" spans="1:20" x14ac:dyDescent="0.3">
      <c r="A539" s="18">
        <v>45405</v>
      </c>
      <c r="B539" s="17" t="s">
        <v>1426</v>
      </c>
      <c r="C539" s="17" t="s">
        <v>32</v>
      </c>
      <c r="D539" s="18">
        <v>23060</v>
      </c>
      <c r="E539" s="16" t="s">
        <v>20</v>
      </c>
      <c r="F539" s="31">
        <v>391</v>
      </c>
      <c r="G539" s="17" t="s">
        <v>65</v>
      </c>
      <c r="H539" s="17" t="s">
        <v>52</v>
      </c>
      <c r="I539" s="17" t="s">
        <v>29</v>
      </c>
      <c r="J539" s="27">
        <v>0.1</v>
      </c>
      <c r="K539" s="17" t="s">
        <v>928</v>
      </c>
      <c r="L539" s="32">
        <v>3</v>
      </c>
      <c r="M539" s="32">
        <f>_xlfn.XLOOKUP(Table2_1[[#This Row],[Product Code]],Product_Code,Unit_Price,0)</f>
        <v>5</v>
      </c>
      <c r="N539" s="31">
        <f>DATEDIF(Table2_1[[#This Row],[Buyer Date of Birth]],Table2_1[[#This Row],[Transaction  Date]],"Y")</f>
        <v>61</v>
      </c>
      <c r="O539" s="33">
        <v>1173</v>
      </c>
      <c r="P539" s="33">
        <f>Table2_1[[#This Row],[Quantity Purchased]]*Table2_1[[#This Row],[UnitPrice]]*(1-Table2_1[[#This Row],[Discount]])</f>
        <v>1759.5</v>
      </c>
      <c r="Q539" s="33">
        <f>Table2_1[[#This Row],[Revenue]]-Table2_1[[#This Row],[COGS]]</f>
        <v>586.5</v>
      </c>
      <c r="R539" s="39">
        <f>WEEKDAY(Table2_1[[#This Row],[Transaction  Date]])</f>
        <v>3</v>
      </c>
      <c r="S539" s="17" t="str">
        <f>IF(WEEKDAY(Table2_1[[#This Row],[Transaction  Date]],2)&lt;=5,"Weekday","Weekend")</f>
        <v>Weekday</v>
      </c>
      <c r="T539" s="37" t="str">
        <f>FLOOR(Table2_1[[#This Row],[Age]],15)&amp; "-"&amp; FLOOR(Table2_1[[#This Row],[Age]],15)+14</f>
        <v>60-74</v>
      </c>
    </row>
    <row r="540" spans="1:20" x14ac:dyDescent="0.3">
      <c r="A540" s="18">
        <v>45405</v>
      </c>
      <c r="B540" s="17" t="s">
        <v>1427</v>
      </c>
      <c r="C540" s="17" t="s">
        <v>46</v>
      </c>
      <c r="D540" s="18">
        <v>38100</v>
      </c>
      <c r="E540" s="16" t="s">
        <v>14</v>
      </c>
      <c r="F540" s="31">
        <v>277</v>
      </c>
      <c r="G540" s="17" t="s">
        <v>47</v>
      </c>
      <c r="H540" s="17" t="s">
        <v>28</v>
      </c>
      <c r="I540" s="17" t="s">
        <v>17</v>
      </c>
      <c r="J540" s="27">
        <v>0.1</v>
      </c>
      <c r="K540" s="17" t="s">
        <v>931</v>
      </c>
      <c r="L540" s="32">
        <v>7</v>
      </c>
      <c r="M540" s="32">
        <f>_xlfn.XLOOKUP(Table2_1[[#This Row],[Product Code]],Product_Code,Unit_Price,0)</f>
        <v>9</v>
      </c>
      <c r="N540" s="31">
        <f>DATEDIF(Table2_1[[#This Row],[Buyer Date of Birth]],Table2_1[[#This Row],[Transaction  Date]],"Y")</f>
        <v>20</v>
      </c>
      <c r="O540" s="33">
        <v>1939</v>
      </c>
      <c r="P540" s="33">
        <f>Table2_1[[#This Row],[Quantity Purchased]]*Table2_1[[#This Row],[UnitPrice]]*(1-Table2_1[[#This Row],[Discount]])</f>
        <v>2243.7000000000003</v>
      </c>
      <c r="Q540" s="33">
        <f>Table2_1[[#This Row],[Revenue]]-Table2_1[[#This Row],[COGS]]</f>
        <v>304.70000000000027</v>
      </c>
      <c r="R540" s="39">
        <f>WEEKDAY(Table2_1[[#This Row],[Transaction  Date]])</f>
        <v>3</v>
      </c>
      <c r="S540" s="17" t="str">
        <f>IF(WEEKDAY(Table2_1[[#This Row],[Transaction  Date]],2)&lt;=5,"Weekday","Weekend")</f>
        <v>Weekday</v>
      </c>
      <c r="T540" s="37" t="str">
        <f>FLOOR(Table2_1[[#This Row],[Age]],15)&amp; "-"&amp; FLOOR(Table2_1[[#This Row],[Age]],15)+14</f>
        <v>15-29</v>
      </c>
    </row>
    <row r="541" spans="1:20" x14ac:dyDescent="0.3">
      <c r="A541" s="18">
        <v>45406</v>
      </c>
      <c r="B541" s="17" t="s">
        <v>1428</v>
      </c>
      <c r="C541" s="17" t="s">
        <v>38</v>
      </c>
      <c r="D541" s="18">
        <v>28289</v>
      </c>
      <c r="E541" s="16" t="s">
        <v>14</v>
      </c>
      <c r="F541" s="31">
        <v>492</v>
      </c>
      <c r="G541" s="17" t="s">
        <v>15</v>
      </c>
      <c r="H541" s="17" t="s">
        <v>48</v>
      </c>
      <c r="I541" s="17" t="s">
        <v>17</v>
      </c>
      <c r="J541" s="27">
        <v>0.1</v>
      </c>
      <c r="K541" s="17" t="s">
        <v>929</v>
      </c>
      <c r="L541" s="32">
        <v>10</v>
      </c>
      <c r="M541" s="32">
        <f>_xlfn.XLOOKUP(Table2_1[[#This Row],[Product Code]],Product_Code,Unit_Price,0)</f>
        <v>14</v>
      </c>
      <c r="N541" s="31">
        <f>DATEDIF(Table2_1[[#This Row],[Buyer Date of Birth]],Table2_1[[#This Row],[Transaction  Date]],"Y")</f>
        <v>46</v>
      </c>
      <c r="O541" s="33">
        <v>4920</v>
      </c>
      <c r="P541" s="33">
        <f>Table2_1[[#This Row],[Quantity Purchased]]*Table2_1[[#This Row],[UnitPrice]]*(1-Table2_1[[#This Row],[Discount]])</f>
        <v>6199.2</v>
      </c>
      <c r="Q541" s="33">
        <f>Table2_1[[#This Row],[Revenue]]-Table2_1[[#This Row],[COGS]]</f>
        <v>1279.1999999999998</v>
      </c>
      <c r="R541" s="39">
        <f>WEEKDAY(Table2_1[[#This Row],[Transaction  Date]])</f>
        <v>4</v>
      </c>
      <c r="S541" s="17" t="str">
        <f>IF(WEEKDAY(Table2_1[[#This Row],[Transaction  Date]],2)&lt;=5,"Weekday","Weekend")</f>
        <v>Weekday</v>
      </c>
      <c r="T541" s="37" t="str">
        <f>FLOOR(Table2_1[[#This Row],[Age]],15)&amp; "-"&amp; FLOOR(Table2_1[[#This Row],[Age]],15)+14</f>
        <v>45-59</v>
      </c>
    </row>
    <row r="542" spans="1:20" x14ac:dyDescent="0.3">
      <c r="A542" s="18">
        <v>45406</v>
      </c>
      <c r="B542" s="17" t="s">
        <v>940</v>
      </c>
      <c r="C542" s="17" t="s">
        <v>13</v>
      </c>
      <c r="D542" s="18">
        <v>22564</v>
      </c>
      <c r="E542" s="16" t="s">
        <v>33</v>
      </c>
      <c r="F542" s="31">
        <v>19</v>
      </c>
      <c r="G542" s="17" t="s">
        <v>21</v>
      </c>
      <c r="H542" s="17" t="s">
        <v>52</v>
      </c>
      <c r="I542" s="17" t="s">
        <v>17</v>
      </c>
      <c r="J542" s="27">
        <v>0.1</v>
      </c>
      <c r="K542" s="17" t="s">
        <v>934</v>
      </c>
      <c r="L542" s="32">
        <v>10</v>
      </c>
      <c r="M542" s="32">
        <f>_xlfn.XLOOKUP(Table2_1[[#This Row],[Product Code]],Product_Code,Unit_Price,0)</f>
        <v>45</v>
      </c>
      <c r="N542" s="31">
        <f>DATEDIF(Table2_1[[#This Row],[Buyer Date of Birth]],Table2_1[[#This Row],[Transaction  Date]],"Y")</f>
        <v>62</v>
      </c>
      <c r="O542" s="33">
        <v>190</v>
      </c>
      <c r="P542" s="33">
        <f>Table2_1[[#This Row],[Quantity Purchased]]*Table2_1[[#This Row],[UnitPrice]]*(1-Table2_1[[#This Row],[Discount]])</f>
        <v>769.5</v>
      </c>
      <c r="Q542" s="33">
        <f>Table2_1[[#This Row],[Revenue]]-Table2_1[[#This Row],[COGS]]</f>
        <v>579.5</v>
      </c>
      <c r="R542" s="39">
        <f>WEEKDAY(Table2_1[[#This Row],[Transaction  Date]])</f>
        <v>4</v>
      </c>
      <c r="S542" s="17" t="str">
        <f>IF(WEEKDAY(Table2_1[[#This Row],[Transaction  Date]],2)&lt;=5,"Weekday","Weekend")</f>
        <v>Weekday</v>
      </c>
      <c r="T542" s="37" t="str">
        <f>FLOOR(Table2_1[[#This Row],[Age]],15)&amp; "-"&amp; FLOOR(Table2_1[[#This Row],[Age]],15)+14</f>
        <v>60-74</v>
      </c>
    </row>
    <row r="543" spans="1:20" x14ac:dyDescent="0.3">
      <c r="A543" s="18">
        <v>45407</v>
      </c>
      <c r="B543" s="17" t="s">
        <v>1429</v>
      </c>
      <c r="C543" s="17" t="s">
        <v>26</v>
      </c>
      <c r="D543" s="18">
        <v>20411</v>
      </c>
      <c r="E543" s="16" t="s">
        <v>33</v>
      </c>
      <c r="F543" s="31">
        <v>177</v>
      </c>
      <c r="G543" s="17" t="s">
        <v>27</v>
      </c>
      <c r="H543" s="17" t="s">
        <v>52</v>
      </c>
      <c r="I543" s="17" t="s">
        <v>17</v>
      </c>
      <c r="J543" s="27">
        <v>0.1</v>
      </c>
      <c r="K543" s="17" t="s">
        <v>927</v>
      </c>
      <c r="L543" s="32">
        <v>18</v>
      </c>
      <c r="M543" s="32">
        <f>_xlfn.XLOOKUP(Table2_1[[#This Row],[Product Code]],Product_Code,Unit_Price,0)</f>
        <v>22</v>
      </c>
      <c r="N543" s="31">
        <f>DATEDIF(Table2_1[[#This Row],[Buyer Date of Birth]],Table2_1[[#This Row],[Transaction  Date]],"Y")</f>
        <v>68</v>
      </c>
      <c r="O543" s="33">
        <v>3186</v>
      </c>
      <c r="P543" s="33">
        <f>Table2_1[[#This Row],[Quantity Purchased]]*Table2_1[[#This Row],[UnitPrice]]*(1-Table2_1[[#This Row],[Discount]])</f>
        <v>3504.6</v>
      </c>
      <c r="Q543" s="33">
        <f>Table2_1[[#This Row],[Revenue]]-Table2_1[[#This Row],[COGS]]</f>
        <v>318.59999999999991</v>
      </c>
      <c r="R543" s="39">
        <f>WEEKDAY(Table2_1[[#This Row],[Transaction  Date]])</f>
        <v>5</v>
      </c>
      <c r="S543" s="17" t="str">
        <f>IF(WEEKDAY(Table2_1[[#This Row],[Transaction  Date]],2)&lt;=5,"Weekday","Weekend")</f>
        <v>Weekday</v>
      </c>
      <c r="T543" s="37" t="str">
        <f>FLOOR(Table2_1[[#This Row],[Age]],15)&amp; "-"&amp; FLOOR(Table2_1[[#This Row],[Age]],15)+14</f>
        <v>60-74</v>
      </c>
    </row>
    <row r="544" spans="1:20" x14ac:dyDescent="0.3">
      <c r="A544" s="18">
        <v>45407</v>
      </c>
      <c r="B544" s="17" t="s">
        <v>1430</v>
      </c>
      <c r="C544" s="17" t="s">
        <v>94</v>
      </c>
      <c r="D544" s="18">
        <v>24310</v>
      </c>
      <c r="E544" s="16" t="s">
        <v>33</v>
      </c>
      <c r="F544" s="31">
        <v>99</v>
      </c>
      <c r="G544" s="17" t="s">
        <v>15</v>
      </c>
      <c r="H544" s="17" t="s">
        <v>52</v>
      </c>
      <c r="I544" s="17" t="s">
        <v>17</v>
      </c>
      <c r="J544" s="27">
        <v>0.1</v>
      </c>
      <c r="K544" s="17" t="s">
        <v>929</v>
      </c>
      <c r="L544" s="32">
        <v>10</v>
      </c>
      <c r="M544" s="32">
        <f>_xlfn.XLOOKUP(Table2_1[[#This Row],[Product Code]],Product_Code,Unit_Price,0)</f>
        <v>14</v>
      </c>
      <c r="N544" s="31">
        <f>DATEDIF(Table2_1[[#This Row],[Buyer Date of Birth]],Table2_1[[#This Row],[Transaction  Date]],"Y")</f>
        <v>57</v>
      </c>
      <c r="O544" s="33">
        <v>990</v>
      </c>
      <c r="P544" s="33">
        <f>Table2_1[[#This Row],[Quantity Purchased]]*Table2_1[[#This Row],[UnitPrice]]*(1-Table2_1[[#This Row],[Discount]])</f>
        <v>1247.4000000000001</v>
      </c>
      <c r="Q544" s="33">
        <f>Table2_1[[#This Row],[Revenue]]-Table2_1[[#This Row],[COGS]]</f>
        <v>257.40000000000009</v>
      </c>
      <c r="R544" s="39">
        <f>WEEKDAY(Table2_1[[#This Row],[Transaction  Date]])</f>
        <v>5</v>
      </c>
      <c r="S544" s="17" t="str">
        <f>IF(WEEKDAY(Table2_1[[#This Row],[Transaction  Date]],2)&lt;=5,"Weekday","Weekend")</f>
        <v>Weekday</v>
      </c>
      <c r="T544" s="37" t="str">
        <f>FLOOR(Table2_1[[#This Row],[Age]],15)&amp; "-"&amp; FLOOR(Table2_1[[#This Row],[Age]],15)+14</f>
        <v>45-59</v>
      </c>
    </row>
    <row r="545" spans="1:20" x14ac:dyDescent="0.3">
      <c r="A545" s="18">
        <v>45407</v>
      </c>
      <c r="B545" s="17" t="s">
        <v>1431</v>
      </c>
      <c r="C545" s="17" t="s">
        <v>13</v>
      </c>
      <c r="D545" s="18">
        <v>36306</v>
      </c>
      <c r="E545" s="16" t="s">
        <v>14</v>
      </c>
      <c r="F545" s="31">
        <v>255</v>
      </c>
      <c r="G545" s="17" t="s">
        <v>64</v>
      </c>
      <c r="H545" s="17" t="s">
        <v>43</v>
      </c>
      <c r="I545" s="17" t="s">
        <v>17</v>
      </c>
      <c r="J545" s="27">
        <v>0.1</v>
      </c>
      <c r="K545" s="17" t="s">
        <v>933</v>
      </c>
      <c r="L545" s="32">
        <v>5</v>
      </c>
      <c r="M545" s="32">
        <f>_xlfn.XLOOKUP(Table2_1[[#This Row],[Product Code]],Product_Code,Unit_Price,0)</f>
        <v>7</v>
      </c>
      <c r="N545" s="31">
        <f>DATEDIF(Table2_1[[#This Row],[Buyer Date of Birth]],Table2_1[[#This Row],[Transaction  Date]],"Y")</f>
        <v>24</v>
      </c>
      <c r="O545" s="33">
        <v>1275</v>
      </c>
      <c r="P545" s="33">
        <f>Table2_1[[#This Row],[Quantity Purchased]]*Table2_1[[#This Row],[UnitPrice]]*(1-Table2_1[[#This Row],[Discount]])</f>
        <v>1606.5</v>
      </c>
      <c r="Q545" s="33">
        <f>Table2_1[[#This Row],[Revenue]]-Table2_1[[#This Row],[COGS]]</f>
        <v>331.5</v>
      </c>
      <c r="R545" s="39">
        <f>WEEKDAY(Table2_1[[#This Row],[Transaction  Date]])</f>
        <v>5</v>
      </c>
      <c r="S545" s="17" t="str">
        <f>IF(WEEKDAY(Table2_1[[#This Row],[Transaction  Date]],2)&lt;=5,"Weekday","Weekend")</f>
        <v>Weekday</v>
      </c>
      <c r="T545" s="37" t="str">
        <f>FLOOR(Table2_1[[#This Row],[Age]],15)&amp; "-"&amp; FLOOR(Table2_1[[#This Row],[Age]],15)+14</f>
        <v>15-29</v>
      </c>
    </row>
    <row r="546" spans="1:20" x14ac:dyDescent="0.3">
      <c r="A546" s="18">
        <v>45407</v>
      </c>
      <c r="B546" s="17" t="s">
        <v>1432</v>
      </c>
      <c r="C546" s="17" t="s">
        <v>26</v>
      </c>
      <c r="D546" s="18">
        <v>36527</v>
      </c>
      <c r="E546" s="16" t="s">
        <v>68</v>
      </c>
      <c r="F546" s="31">
        <v>439</v>
      </c>
      <c r="G546" s="17" t="s">
        <v>21</v>
      </c>
      <c r="H546" s="17" t="s">
        <v>52</v>
      </c>
      <c r="I546" s="17" t="s">
        <v>17</v>
      </c>
      <c r="J546" s="27">
        <v>0.1</v>
      </c>
      <c r="K546" s="17" t="s">
        <v>934</v>
      </c>
      <c r="L546" s="32">
        <v>10</v>
      </c>
      <c r="M546" s="32">
        <f>_xlfn.XLOOKUP(Table2_1[[#This Row],[Product Code]],Product_Code,Unit_Price,0)</f>
        <v>45</v>
      </c>
      <c r="N546" s="31">
        <f>DATEDIF(Table2_1[[#This Row],[Buyer Date of Birth]],Table2_1[[#This Row],[Transaction  Date]],"Y")</f>
        <v>24</v>
      </c>
      <c r="O546" s="33">
        <v>4390</v>
      </c>
      <c r="P546" s="33">
        <f>Table2_1[[#This Row],[Quantity Purchased]]*Table2_1[[#This Row],[UnitPrice]]*(1-Table2_1[[#This Row],[Discount]])</f>
        <v>17779.5</v>
      </c>
      <c r="Q546" s="33">
        <f>Table2_1[[#This Row],[Revenue]]-Table2_1[[#This Row],[COGS]]</f>
        <v>13389.5</v>
      </c>
      <c r="R546" s="39">
        <f>WEEKDAY(Table2_1[[#This Row],[Transaction  Date]])</f>
        <v>5</v>
      </c>
      <c r="S546" s="17" t="str">
        <f>IF(WEEKDAY(Table2_1[[#This Row],[Transaction  Date]],2)&lt;=5,"Weekday","Weekend")</f>
        <v>Weekday</v>
      </c>
      <c r="T546" s="37" t="str">
        <f>FLOOR(Table2_1[[#This Row],[Age]],15)&amp; "-"&amp; FLOOR(Table2_1[[#This Row],[Age]],15)+14</f>
        <v>15-29</v>
      </c>
    </row>
    <row r="547" spans="1:20" x14ac:dyDescent="0.3">
      <c r="A547" s="18">
        <v>45407</v>
      </c>
      <c r="B547" s="17" t="s">
        <v>1433</v>
      </c>
      <c r="C547" s="17" t="s">
        <v>55</v>
      </c>
      <c r="D547" s="18">
        <v>34359</v>
      </c>
      <c r="E547" s="16" t="s">
        <v>20</v>
      </c>
      <c r="F547" s="31">
        <v>337</v>
      </c>
      <c r="G547" s="17" t="s">
        <v>34</v>
      </c>
      <c r="H547" s="17" t="s">
        <v>48</v>
      </c>
      <c r="I547" s="17" t="s">
        <v>17</v>
      </c>
      <c r="J547" s="27">
        <v>0.1</v>
      </c>
      <c r="K547" s="17" t="s">
        <v>930</v>
      </c>
      <c r="L547" s="32">
        <v>14</v>
      </c>
      <c r="M547" s="32">
        <f>_xlfn.XLOOKUP(Table2_1[[#This Row],[Product Code]],Product_Code,Unit_Price,0)</f>
        <v>28</v>
      </c>
      <c r="N547" s="31">
        <f>DATEDIF(Table2_1[[#This Row],[Buyer Date of Birth]],Table2_1[[#This Row],[Transaction  Date]],"Y")</f>
        <v>30</v>
      </c>
      <c r="O547" s="33">
        <v>4718</v>
      </c>
      <c r="P547" s="33">
        <f>Table2_1[[#This Row],[Quantity Purchased]]*Table2_1[[#This Row],[UnitPrice]]*(1-Table2_1[[#This Row],[Discount]])</f>
        <v>8492.4</v>
      </c>
      <c r="Q547" s="33">
        <f>Table2_1[[#This Row],[Revenue]]-Table2_1[[#This Row],[COGS]]</f>
        <v>3774.3999999999996</v>
      </c>
      <c r="R547" s="39">
        <f>WEEKDAY(Table2_1[[#This Row],[Transaction  Date]])</f>
        <v>5</v>
      </c>
      <c r="S547" s="17" t="str">
        <f>IF(WEEKDAY(Table2_1[[#This Row],[Transaction  Date]],2)&lt;=5,"Weekday","Weekend")</f>
        <v>Weekday</v>
      </c>
      <c r="T547" s="37" t="str">
        <f>FLOOR(Table2_1[[#This Row],[Age]],15)&amp; "-"&amp; FLOOR(Table2_1[[#This Row],[Age]],15)+14</f>
        <v>30-44</v>
      </c>
    </row>
    <row r="548" spans="1:20" x14ac:dyDescent="0.3">
      <c r="A548" s="18">
        <v>45407</v>
      </c>
      <c r="B548" s="17" t="s">
        <v>1434</v>
      </c>
      <c r="C548" s="17" t="s">
        <v>13</v>
      </c>
      <c r="D548" s="18">
        <v>29519</v>
      </c>
      <c r="E548" s="16" t="s">
        <v>33</v>
      </c>
      <c r="F548" s="31">
        <v>330</v>
      </c>
      <c r="G548" s="17" t="s">
        <v>21</v>
      </c>
      <c r="H548" s="17" t="s">
        <v>52</v>
      </c>
      <c r="I548" s="17" t="s">
        <v>17</v>
      </c>
      <c r="J548" s="27">
        <v>0.1</v>
      </c>
      <c r="K548" s="17" t="s">
        <v>934</v>
      </c>
      <c r="L548" s="32">
        <v>10</v>
      </c>
      <c r="M548" s="32">
        <f>_xlfn.XLOOKUP(Table2_1[[#This Row],[Product Code]],Product_Code,Unit_Price,0)</f>
        <v>45</v>
      </c>
      <c r="N548" s="31">
        <f>DATEDIF(Table2_1[[#This Row],[Buyer Date of Birth]],Table2_1[[#This Row],[Transaction  Date]],"Y")</f>
        <v>43</v>
      </c>
      <c r="O548" s="33">
        <v>3300</v>
      </c>
      <c r="P548" s="33">
        <f>Table2_1[[#This Row],[Quantity Purchased]]*Table2_1[[#This Row],[UnitPrice]]*(1-Table2_1[[#This Row],[Discount]])</f>
        <v>13365</v>
      </c>
      <c r="Q548" s="33">
        <f>Table2_1[[#This Row],[Revenue]]-Table2_1[[#This Row],[COGS]]</f>
        <v>10065</v>
      </c>
      <c r="R548" s="39">
        <f>WEEKDAY(Table2_1[[#This Row],[Transaction  Date]])</f>
        <v>5</v>
      </c>
      <c r="S548" s="17" t="str">
        <f>IF(WEEKDAY(Table2_1[[#This Row],[Transaction  Date]],2)&lt;=5,"Weekday","Weekend")</f>
        <v>Weekday</v>
      </c>
      <c r="T548" s="37" t="str">
        <f>FLOOR(Table2_1[[#This Row],[Age]],15)&amp; "-"&amp; FLOOR(Table2_1[[#This Row],[Age]],15)+14</f>
        <v>30-44</v>
      </c>
    </row>
    <row r="549" spans="1:20" x14ac:dyDescent="0.3">
      <c r="A549" s="18">
        <v>45408</v>
      </c>
      <c r="B549" s="17" t="s">
        <v>1435</v>
      </c>
      <c r="C549" s="17" t="s">
        <v>71</v>
      </c>
      <c r="D549" s="18">
        <v>32017</v>
      </c>
      <c r="E549" s="16" t="s">
        <v>68</v>
      </c>
      <c r="F549" s="31">
        <v>165</v>
      </c>
      <c r="G549" s="17" t="s">
        <v>42</v>
      </c>
      <c r="H549" s="17" t="s">
        <v>48</v>
      </c>
      <c r="I549" s="17" t="s">
        <v>17</v>
      </c>
      <c r="J549" s="27">
        <v>0.1</v>
      </c>
      <c r="K549" s="17" t="s">
        <v>926</v>
      </c>
      <c r="L549" s="32">
        <v>10</v>
      </c>
      <c r="M549" s="32">
        <f>_xlfn.XLOOKUP(Table2_1[[#This Row],[Product Code]],Product_Code,Unit_Price,0)</f>
        <v>11</v>
      </c>
      <c r="N549" s="31">
        <f>DATEDIF(Table2_1[[#This Row],[Buyer Date of Birth]],Table2_1[[#This Row],[Transaction  Date]],"Y")</f>
        <v>36</v>
      </c>
      <c r="O549" s="33">
        <v>1650</v>
      </c>
      <c r="P549" s="33">
        <f>Table2_1[[#This Row],[Quantity Purchased]]*Table2_1[[#This Row],[UnitPrice]]*(1-Table2_1[[#This Row],[Discount]])</f>
        <v>1633.5</v>
      </c>
      <c r="Q549" s="33">
        <f>Table2_1[[#This Row],[Revenue]]-Table2_1[[#This Row],[COGS]]</f>
        <v>-16.5</v>
      </c>
      <c r="R549" s="39">
        <f>WEEKDAY(Table2_1[[#This Row],[Transaction  Date]])</f>
        <v>6</v>
      </c>
      <c r="S549" s="17" t="str">
        <f>IF(WEEKDAY(Table2_1[[#This Row],[Transaction  Date]],2)&lt;=5,"Weekday","Weekend")</f>
        <v>Weekday</v>
      </c>
      <c r="T549" s="37" t="str">
        <f>FLOOR(Table2_1[[#This Row],[Age]],15)&amp; "-"&amp; FLOOR(Table2_1[[#This Row],[Age]],15)+14</f>
        <v>30-44</v>
      </c>
    </row>
    <row r="550" spans="1:20" x14ac:dyDescent="0.3">
      <c r="A550" s="18">
        <v>45408</v>
      </c>
      <c r="B550" s="17" t="s">
        <v>1436</v>
      </c>
      <c r="C550" s="17" t="s">
        <v>78</v>
      </c>
      <c r="D550" s="18" t="s">
        <v>32</v>
      </c>
      <c r="E550" s="16" t="s">
        <v>14</v>
      </c>
      <c r="F550" s="31">
        <v>245</v>
      </c>
      <c r="G550" s="17" t="s">
        <v>32</v>
      </c>
      <c r="H550" s="17" t="s">
        <v>28</v>
      </c>
      <c r="I550" s="17" t="s">
        <v>17</v>
      </c>
      <c r="J550" s="27">
        <v>0.1</v>
      </c>
      <c r="K550" s="17" t="s">
        <v>32</v>
      </c>
      <c r="L550" s="32">
        <v>0</v>
      </c>
      <c r="M550" s="32">
        <f>_xlfn.XLOOKUP(Table2_1[[#This Row],[Product Code]],Product_Code,Unit_Price,0)</f>
        <v>0</v>
      </c>
      <c r="N550" s="31" t="e">
        <f>DATEDIF(Table2_1[[#This Row],[Buyer Date of Birth]],Table2_1[[#This Row],[Transaction  Date]],"Y")</f>
        <v>#VALUE!</v>
      </c>
      <c r="O550" s="33">
        <v>0</v>
      </c>
      <c r="P550" s="33">
        <f>Table2_1[[#This Row],[Quantity Purchased]]*Table2_1[[#This Row],[UnitPrice]]*(1-Table2_1[[#This Row],[Discount]])</f>
        <v>0</v>
      </c>
      <c r="Q550" s="33">
        <f>Table2_1[[#This Row],[Revenue]]-Table2_1[[#This Row],[COGS]]</f>
        <v>0</v>
      </c>
      <c r="R550" s="39">
        <f>WEEKDAY(Table2_1[[#This Row],[Transaction  Date]])</f>
        <v>6</v>
      </c>
      <c r="S550" s="17" t="str">
        <f>IF(WEEKDAY(Table2_1[[#This Row],[Transaction  Date]],2)&lt;=5,"Weekday","Weekend")</f>
        <v>Weekday</v>
      </c>
      <c r="T550" s="37" t="e">
        <f>FLOOR(Table2_1[[#This Row],[Age]],15)&amp; "-"&amp; FLOOR(Table2_1[[#This Row],[Age]],15)+14</f>
        <v>#VALUE!</v>
      </c>
    </row>
    <row r="551" spans="1:20" x14ac:dyDescent="0.3">
      <c r="A551" s="18">
        <v>45408</v>
      </c>
      <c r="B551" s="17" t="s">
        <v>1437</v>
      </c>
      <c r="C551" s="17" t="s">
        <v>94</v>
      </c>
      <c r="D551" s="18">
        <v>29349</v>
      </c>
      <c r="E551" s="16" t="s">
        <v>20</v>
      </c>
      <c r="F551" s="31">
        <v>146</v>
      </c>
      <c r="G551" s="17" t="s">
        <v>59</v>
      </c>
      <c r="H551" s="17" t="s">
        <v>28</v>
      </c>
      <c r="I551" s="17" t="s">
        <v>17</v>
      </c>
      <c r="J551" s="27">
        <v>0.1</v>
      </c>
      <c r="K551" s="17" t="s">
        <v>932</v>
      </c>
      <c r="L551" s="32">
        <v>19</v>
      </c>
      <c r="M551" s="32">
        <f>_xlfn.XLOOKUP(Table2_1[[#This Row],[Product Code]],Product_Code,Unit_Price,0)</f>
        <v>23</v>
      </c>
      <c r="N551" s="31">
        <f>DATEDIF(Table2_1[[#This Row],[Buyer Date of Birth]],Table2_1[[#This Row],[Transaction  Date]],"Y")</f>
        <v>43</v>
      </c>
      <c r="O551" s="33">
        <v>2774</v>
      </c>
      <c r="P551" s="33">
        <f>Table2_1[[#This Row],[Quantity Purchased]]*Table2_1[[#This Row],[UnitPrice]]*(1-Table2_1[[#This Row],[Discount]])</f>
        <v>3022.2000000000003</v>
      </c>
      <c r="Q551" s="33">
        <f>Table2_1[[#This Row],[Revenue]]-Table2_1[[#This Row],[COGS]]</f>
        <v>248.20000000000027</v>
      </c>
      <c r="R551" s="39">
        <f>WEEKDAY(Table2_1[[#This Row],[Transaction  Date]])</f>
        <v>6</v>
      </c>
      <c r="S551" s="17" t="str">
        <f>IF(WEEKDAY(Table2_1[[#This Row],[Transaction  Date]],2)&lt;=5,"Weekday","Weekend")</f>
        <v>Weekday</v>
      </c>
      <c r="T551" s="37" t="str">
        <f>FLOOR(Table2_1[[#This Row],[Age]],15)&amp; "-"&amp; FLOOR(Table2_1[[#This Row],[Age]],15)+14</f>
        <v>30-44</v>
      </c>
    </row>
    <row r="552" spans="1:20" x14ac:dyDescent="0.3">
      <c r="A552" s="18">
        <v>45408</v>
      </c>
      <c r="B552" s="17" t="s">
        <v>1438</v>
      </c>
      <c r="C552" s="17" t="s">
        <v>83</v>
      </c>
      <c r="D552" s="18">
        <v>32683</v>
      </c>
      <c r="E552" s="16" t="s">
        <v>20</v>
      </c>
      <c r="F552" s="31">
        <v>493</v>
      </c>
      <c r="G552" s="17" t="s">
        <v>42</v>
      </c>
      <c r="H552" s="17" t="s">
        <v>48</v>
      </c>
      <c r="I552" s="17" t="s">
        <v>17</v>
      </c>
      <c r="J552" s="27">
        <v>0.1</v>
      </c>
      <c r="K552" s="17" t="s">
        <v>926</v>
      </c>
      <c r="L552" s="32">
        <v>10</v>
      </c>
      <c r="M552" s="32">
        <f>_xlfn.XLOOKUP(Table2_1[[#This Row],[Product Code]],Product_Code,Unit_Price,0)</f>
        <v>11</v>
      </c>
      <c r="N552" s="31">
        <f>DATEDIF(Table2_1[[#This Row],[Buyer Date of Birth]],Table2_1[[#This Row],[Transaction  Date]],"Y")</f>
        <v>34</v>
      </c>
      <c r="O552" s="33">
        <v>4930</v>
      </c>
      <c r="P552" s="33">
        <f>Table2_1[[#This Row],[Quantity Purchased]]*Table2_1[[#This Row],[UnitPrice]]*(1-Table2_1[[#This Row],[Discount]])</f>
        <v>4880.7</v>
      </c>
      <c r="Q552" s="33">
        <f>Table2_1[[#This Row],[Revenue]]-Table2_1[[#This Row],[COGS]]</f>
        <v>-49.300000000000182</v>
      </c>
      <c r="R552" s="39">
        <f>WEEKDAY(Table2_1[[#This Row],[Transaction  Date]])</f>
        <v>6</v>
      </c>
      <c r="S552" s="17" t="str">
        <f>IF(WEEKDAY(Table2_1[[#This Row],[Transaction  Date]],2)&lt;=5,"Weekday","Weekend")</f>
        <v>Weekday</v>
      </c>
      <c r="T552" s="37" t="str">
        <f>FLOOR(Table2_1[[#This Row],[Age]],15)&amp; "-"&amp; FLOOR(Table2_1[[#This Row],[Age]],15)+14</f>
        <v>30-44</v>
      </c>
    </row>
    <row r="553" spans="1:20" x14ac:dyDescent="0.3">
      <c r="A553" s="18">
        <v>45408</v>
      </c>
      <c r="B553" s="17" t="s">
        <v>1439</v>
      </c>
      <c r="C553" s="17" t="s">
        <v>55</v>
      </c>
      <c r="D553" s="18">
        <v>29827</v>
      </c>
      <c r="E553" s="16" t="s">
        <v>68</v>
      </c>
      <c r="F553" s="31">
        <v>91</v>
      </c>
      <c r="G553" s="17" t="s">
        <v>42</v>
      </c>
      <c r="H553" s="17" t="s">
        <v>43</v>
      </c>
      <c r="I553" s="17" t="s">
        <v>17</v>
      </c>
      <c r="J553" s="27">
        <v>0.1</v>
      </c>
      <c r="K553" s="17" t="s">
        <v>926</v>
      </c>
      <c r="L553" s="32">
        <v>10</v>
      </c>
      <c r="M553" s="32">
        <f>_xlfn.XLOOKUP(Table2_1[[#This Row],[Product Code]],Product_Code,Unit_Price,0)</f>
        <v>11</v>
      </c>
      <c r="N553" s="31">
        <f>DATEDIF(Table2_1[[#This Row],[Buyer Date of Birth]],Table2_1[[#This Row],[Transaction  Date]],"Y")</f>
        <v>42</v>
      </c>
      <c r="O553" s="33">
        <v>910</v>
      </c>
      <c r="P553" s="33">
        <f>Table2_1[[#This Row],[Quantity Purchased]]*Table2_1[[#This Row],[UnitPrice]]*(1-Table2_1[[#This Row],[Discount]])</f>
        <v>900.9</v>
      </c>
      <c r="Q553" s="33">
        <f>Table2_1[[#This Row],[Revenue]]-Table2_1[[#This Row],[COGS]]</f>
        <v>-9.1000000000000227</v>
      </c>
      <c r="R553" s="39">
        <f>WEEKDAY(Table2_1[[#This Row],[Transaction  Date]])</f>
        <v>6</v>
      </c>
      <c r="S553" s="17" t="str">
        <f>IF(WEEKDAY(Table2_1[[#This Row],[Transaction  Date]],2)&lt;=5,"Weekday","Weekend")</f>
        <v>Weekday</v>
      </c>
      <c r="T553" s="37" t="str">
        <f>FLOOR(Table2_1[[#This Row],[Age]],15)&amp; "-"&amp; FLOOR(Table2_1[[#This Row],[Age]],15)+14</f>
        <v>30-44</v>
      </c>
    </row>
    <row r="554" spans="1:20" x14ac:dyDescent="0.3">
      <c r="A554" s="18">
        <v>45409</v>
      </c>
      <c r="B554" s="17" t="s">
        <v>1440</v>
      </c>
      <c r="C554" s="17" t="s">
        <v>83</v>
      </c>
      <c r="D554" s="18">
        <v>25049</v>
      </c>
      <c r="E554" s="16" t="s">
        <v>68</v>
      </c>
      <c r="F554" s="31">
        <v>402</v>
      </c>
      <c r="G554" s="17" t="s">
        <v>64</v>
      </c>
      <c r="H554" s="17" t="s">
        <v>43</v>
      </c>
      <c r="I554" s="17" t="s">
        <v>17</v>
      </c>
      <c r="J554" s="27">
        <v>0.1</v>
      </c>
      <c r="K554" s="17" t="s">
        <v>933</v>
      </c>
      <c r="L554" s="32">
        <v>5</v>
      </c>
      <c r="M554" s="32">
        <f>_xlfn.XLOOKUP(Table2_1[[#This Row],[Product Code]],Product_Code,Unit_Price,0)</f>
        <v>7</v>
      </c>
      <c r="N554" s="31">
        <f>DATEDIF(Table2_1[[#This Row],[Buyer Date of Birth]],Table2_1[[#This Row],[Transaction  Date]],"Y")</f>
        <v>55</v>
      </c>
      <c r="O554" s="33">
        <v>2010</v>
      </c>
      <c r="P554" s="33">
        <f>Table2_1[[#This Row],[Quantity Purchased]]*Table2_1[[#This Row],[UnitPrice]]*(1-Table2_1[[#This Row],[Discount]])</f>
        <v>2532.6</v>
      </c>
      <c r="Q554" s="33">
        <f>Table2_1[[#This Row],[Revenue]]-Table2_1[[#This Row],[COGS]]</f>
        <v>522.59999999999991</v>
      </c>
      <c r="R554" s="39">
        <f>WEEKDAY(Table2_1[[#This Row],[Transaction  Date]])</f>
        <v>7</v>
      </c>
      <c r="S554" s="17" t="str">
        <f>IF(WEEKDAY(Table2_1[[#This Row],[Transaction  Date]],2)&lt;=5,"Weekday","Weekend")</f>
        <v>Weekend</v>
      </c>
      <c r="T554" s="37" t="str">
        <f>FLOOR(Table2_1[[#This Row],[Age]],15)&amp; "-"&amp; FLOOR(Table2_1[[#This Row],[Age]],15)+14</f>
        <v>45-59</v>
      </c>
    </row>
    <row r="555" spans="1:20" x14ac:dyDescent="0.3">
      <c r="A555" s="18">
        <v>45409</v>
      </c>
      <c r="B555" s="17" t="s">
        <v>1441</v>
      </c>
      <c r="C555" s="17" t="s">
        <v>71</v>
      </c>
      <c r="D555" s="18">
        <v>30375</v>
      </c>
      <c r="E555" s="16" t="s">
        <v>68</v>
      </c>
      <c r="F555" s="31">
        <v>335</v>
      </c>
      <c r="G555" s="17" t="s">
        <v>56</v>
      </c>
      <c r="H555" s="17" t="s">
        <v>28</v>
      </c>
      <c r="I555" s="17" t="s">
        <v>17</v>
      </c>
      <c r="J555" s="27">
        <v>0.1</v>
      </c>
      <c r="K555" s="17" t="s">
        <v>935</v>
      </c>
      <c r="L555" s="32">
        <v>18</v>
      </c>
      <c r="M555" s="32">
        <f>_xlfn.XLOOKUP(Table2_1[[#This Row],[Product Code]],Product_Code,Unit_Price,0)</f>
        <v>36</v>
      </c>
      <c r="N555" s="31">
        <f>DATEDIF(Table2_1[[#This Row],[Buyer Date of Birth]],Table2_1[[#This Row],[Transaction  Date]],"Y")</f>
        <v>41</v>
      </c>
      <c r="O555" s="33">
        <v>6030</v>
      </c>
      <c r="P555" s="33">
        <f>Table2_1[[#This Row],[Quantity Purchased]]*Table2_1[[#This Row],[UnitPrice]]*(1-Table2_1[[#This Row],[Discount]])</f>
        <v>10854</v>
      </c>
      <c r="Q555" s="33">
        <f>Table2_1[[#This Row],[Revenue]]-Table2_1[[#This Row],[COGS]]</f>
        <v>4824</v>
      </c>
      <c r="R555" s="39">
        <f>WEEKDAY(Table2_1[[#This Row],[Transaction  Date]])</f>
        <v>7</v>
      </c>
      <c r="S555" s="17" t="str">
        <f>IF(WEEKDAY(Table2_1[[#This Row],[Transaction  Date]],2)&lt;=5,"Weekday","Weekend")</f>
        <v>Weekend</v>
      </c>
      <c r="T555" s="37" t="str">
        <f>FLOOR(Table2_1[[#This Row],[Age]],15)&amp; "-"&amp; FLOOR(Table2_1[[#This Row],[Age]],15)+14</f>
        <v>30-44</v>
      </c>
    </row>
    <row r="556" spans="1:20" x14ac:dyDescent="0.3">
      <c r="A556" s="18">
        <v>45409</v>
      </c>
      <c r="B556" s="17" t="s">
        <v>1442</v>
      </c>
      <c r="C556" s="17" t="s">
        <v>55</v>
      </c>
      <c r="D556" s="18">
        <v>33249</v>
      </c>
      <c r="E556" s="16" t="s">
        <v>33</v>
      </c>
      <c r="F556" s="31">
        <v>308</v>
      </c>
      <c r="G556" s="17" t="s">
        <v>47</v>
      </c>
      <c r="H556" s="17" t="s">
        <v>48</v>
      </c>
      <c r="I556" s="17" t="s">
        <v>17</v>
      </c>
      <c r="J556" s="27">
        <v>0.1</v>
      </c>
      <c r="K556" s="17" t="s">
        <v>931</v>
      </c>
      <c r="L556" s="32">
        <v>7</v>
      </c>
      <c r="M556" s="32">
        <f>_xlfn.XLOOKUP(Table2_1[[#This Row],[Product Code]],Product_Code,Unit_Price,0)</f>
        <v>9</v>
      </c>
      <c r="N556" s="31">
        <f>DATEDIF(Table2_1[[#This Row],[Buyer Date of Birth]],Table2_1[[#This Row],[Transaction  Date]],"Y")</f>
        <v>33</v>
      </c>
      <c r="O556" s="33">
        <v>2156</v>
      </c>
      <c r="P556" s="33">
        <f>Table2_1[[#This Row],[Quantity Purchased]]*Table2_1[[#This Row],[UnitPrice]]*(1-Table2_1[[#This Row],[Discount]])</f>
        <v>2494.8000000000002</v>
      </c>
      <c r="Q556" s="33">
        <f>Table2_1[[#This Row],[Revenue]]-Table2_1[[#This Row],[COGS]]</f>
        <v>338.80000000000018</v>
      </c>
      <c r="R556" s="39">
        <f>WEEKDAY(Table2_1[[#This Row],[Transaction  Date]])</f>
        <v>7</v>
      </c>
      <c r="S556" s="17" t="str">
        <f>IF(WEEKDAY(Table2_1[[#This Row],[Transaction  Date]],2)&lt;=5,"Weekday","Weekend")</f>
        <v>Weekend</v>
      </c>
      <c r="T556" s="37" t="str">
        <f>FLOOR(Table2_1[[#This Row],[Age]],15)&amp; "-"&amp; FLOOR(Table2_1[[#This Row],[Age]],15)+14</f>
        <v>30-44</v>
      </c>
    </row>
    <row r="557" spans="1:20" x14ac:dyDescent="0.3">
      <c r="A557" s="18">
        <v>45409</v>
      </c>
      <c r="B557" s="17" t="s">
        <v>1443</v>
      </c>
      <c r="C557" s="17" t="s">
        <v>32</v>
      </c>
      <c r="D557" s="18">
        <v>33840</v>
      </c>
      <c r="E557" s="16" t="s">
        <v>20</v>
      </c>
      <c r="F557" s="31">
        <v>444</v>
      </c>
      <c r="G557" s="17" t="s">
        <v>56</v>
      </c>
      <c r="H557" s="17" t="s">
        <v>43</v>
      </c>
      <c r="I557" s="17" t="s">
        <v>23</v>
      </c>
      <c r="J557" s="27">
        <v>0.1</v>
      </c>
      <c r="K557" s="17" t="s">
        <v>935</v>
      </c>
      <c r="L557" s="32">
        <v>18</v>
      </c>
      <c r="M557" s="32">
        <f>_xlfn.XLOOKUP(Table2_1[[#This Row],[Product Code]],Product_Code,Unit_Price,0)</f>
        <v>36</v>
      </c>
      <c r="N557" s="31">
        <f>DATEDIF(Table2_1[[#This Row],[Buyer Date of Birth]],Table2_1[[#This Row],[Transaction  Date]],"Y")</f>
        <v>31</v>
      </c>
      <c r="O557" s="33">
        <v>7992</v>
      </c>
      <c r="P557" s="33">
        <f>Table2_1[[#This Row],[Quantity Purchased]]*Table2_1[[#This Row],[UnitPrice]]*(1-Table2_1[[#This Row],[Discount]])</f>
        <v>14385.6</v>
      </c>
      <c r="Q557" s="33">
        <f>Table2_1[[#This Row],[Revenue]]-Table2_1[[#This Row],[COGS]]</f>
        <v>6393.6</v>
      </c>
      <c r="R557" s="39">
        <f>WEEKDAY(Table2_1[[#This Row],[Transaction  Date]])</f>
        <v>7</v>
      </c>
      <c r="S557" s="17" t="str">
        <f>IF(WEEKDAY(Table2_1[[#This Row],[Transaction  Date]],2)&lt;=5,"Weekday","Weekend")</f>
        <v>Weekend</v>
      </c>
      <c r="T557" s="37" t="str">
        <f>FLOOR(Table2_1[[#This Row],[Age]],15)&amp; "-"&amp; FLOOR(Table2_1[[#This Row],[Age]],15)+14</f>
        <v>30-44</v>
      </c>
    </row>
    <row r="558" spans="1:20" x14ac:dyDescent="0.3">
      <c r="A558" s="18">
        <v>45409</v>
      </c>
      <c r="B558" s="17" t="s">
        <v>1444</v>
      </c>
      <c r="C558" s="17" t="s">
        <v>32</v>
      </c>
      <c r="D558" s="18">
        <v>19618</v>
      </c>
      <c r="E558" s="16" t="s">
        <v>68</v>
      </c>
      <c r="F558" s="31">
        <v>369</v>
      </c>
      <c r="G558" s="17" t="s">
        <v>42</v>
      </c>
      <c r="H558" s="17" t="s">
        <v>52</v>
      </c>
      <c r="I558" s="17" t="s">
        <v>17</v>
      </c>
      <c r="J558" s="27">
        <v>0.1</v>
      </c>
      <c r="K558" s="17" t="s">
        <v>926</v>
      </c>
      <c r="L558" s="32">
        <v>10</v>
      </c>
      <c r="M558" s="32">
        <f>_xlfn.XLOOKUP(Table2_1[[#This Row],[Product Code]],Product_Code,Unit_Price,0)</f>
        <v>11</v>
      </c>
      <c r="N558" s="31">
        <f>DATEDIF(Table2_1[[#This Row],[Buyer Date of Birth]],Table2_1[[#This Row],[Transaction  Date]],"Y")</f>
        <v>70</v>
      </c>
      <c r="O558" s="33">
        <v>3690</v>
      </c>
      <c r="P558" s="33">
        <f>Table2_1[[#This Row],[Quantity Purchased]]*Table2_1[[#This Row],[UnitPrice]]*(1-Table2_1[[#This Row],[Discount]])</f>
        <v>3653.1</v>
      </c>
      <c r="Q558" s="33">
        <f>Table2_1[[#This Row],[Revenue]]-Table2_1[[#This Row],[COGS]]</f>
        <v>-36.900000000000091</v>
      </c>
      <c r="R558" s="39">
        <f>WEEKDAY(Table2_1[[#This Row],[Transaction  Date]])</f>
        <v>7</v>
      </c>
      <c r="S558" s="17" t="str">
        <f>IF(WEEKDAY(Table2_1[[#This Row],[Transaction  Date]],2)&lt;=5,"Weekday","Weekend")</f>
        <v>Weekend</v>
      </c>
      <c r="T558" s="37" t="str">
        <f>FLOOR(Table2_1[[#This Row],[Age]],15)&amp; "-"&amp; FLOOR(Table2_1[[#This Row],[Age]],15)+14</f>
        <v>60-74</v>
      </c>
    </row>
    <row r="559" spans="1:20" x14ac:dyDescent="0.3">
      <c r="A559" s="18">
        <v>45410</v>
      </c>
      <c r="B559" s="17" t="s">
        <v>996</v>
      </c>
      <c r="C559" s="17" t="s">
        <v>26</v>
      </c>
      <c r="D559" s="18">
        <v>35670</v>
      </c>
      <c r="E559" s="16" t="s">
        <v>33</v>
      </c>
      <c r="F559" s="31">
        <v>299</v>
      </c>
      <c r="G559" s="17" t="s">
        <v>27</v>
      </c>
      <c r="H559" s="17" t="s">
        <v>16</v>
      </c>
      <c r="I559" s="17" t="s">
        <v>17</v>
      </c>
      <c r="J559" s="27">
        <v>0.1</v>
      </c>
      <c r="K559" s="17" t="s">
        <v>927</v>
      </c>
      <c r="L559" s="32">
        <v>18</v>
      </c>
      <c r="M559" s="32">
        <f>_xlfn.XLOOKUP(Table2_1[[#This Row],[Product Code]],Product_Code,Unit_Price,0)</f>
        <v>22</v>
      </c>
      <c r="N559" s="31">
        <f>DATEDIF(Table2_1[[#This Row],[Buyer Date of Birth]],Table2_1[[#This Row],[Transaction  Date]],"Y")</f>
        <v>26</v>
      </c>
      <c r="O559" s="33">
        <v>5382</v>
      </c>
      <c r="P559" s="33">
        <f>Table2_1[[#This Row],[Quantity Purchased]]*Table2_1[[#This Row],[UnitPrice]]*(1-Table2_1[[#This Row],[Discount]])</f>
        <v>5920.2</v>
      </c>
      <c r="Q559" s="33">
        <f>Table2_1[[#This Row],[Revenue]]-Table2_1[[#This Row],[COGS]]</f>
        <v>538.19999999999982</v>
      </c>
      <c r="R559" s="39">
        <f>WEEKDAY(Table2_1[[#This Row],[Transaction  Date]])</f>
        <v>1</v>
      </c>
      <c r="S559" s="17" t="str">
        <f>IF(WEEKDAY(Table2_1[[#This Row],[Transaction  Date]],2)&lt;=5,"Weekday","Weekend")</f>
        <v>Weekend</v>
      </c>
      <c r="T559" s="37" t="str">
        <f>FLOOR(Table2_1[[#This Row],[Age]],15)&amp; "-"&amp; FLOOR(Table2_1[[#This Row],[Age]],15)+14</f>
        <v>15-29</v>
      </c>
    </row>
    <row r="560" spans="1:20" x14ac:dyDescent="0.3">
      <c r="A560" s="18">
        <v>45410</v>
      </c>
      <c r="B560" s="17" t="s">
        <v>1866</v>
      </c>
      <c r="C560" s="17" t="s">
        <v>46</v>
      </c>
      <c r="D560" s="18">
        <v>37150</v>
      </c>
      <c r="E560" s="16" t="s">
        <v>33</v>
      </c>
      <c r="F560" s="31">
        <v>372</v>
      </c>
      <c r="G560" s="17" t="s">
        <v>32</v>
      </c>
      <c r="H560" s="17" t="s">
        <v>52</v>
      </c>
      <c r="I560" s="17" t="s">
        <v>29</v>
      </c>
      <c r="J560" s="27">
        <v>0.1</v>
      </c>
      <c r="K560" s="17" t="s">
        <v>32</v>
      </c>
      <c r="L560" s="32">
        <v>0</v>
      </c>
      <c r="M560" s="32">
        <f>_xlfn.XLOOKUP(Table2_1[[#This Row],[Product Code]],Product_Code,Unit_Price,0)</f>
        <v>0</v>
      </c>
      <c r="N560" s="31">
        <f>DATEDIF(Table2_1[[#This Row],[Buyer Date of Birth]],Table2_1[[#This Row],[Transaction  Date]],"Y")</f>
        <v>22</v>
      </c>
      <c r="O560" s="33">
        <v>0</v>
      </c>
      <c r="P560" s="33">
        <f>Table2_1[[#This Row],[Quantity Purchased]]*Table2_1[[#This Row],[UnitPrice]]*(1-Table2_1[[#This Row],[Discount]])</f>
        <v>0</v>
      </c>
      <c r="Q560" s="33">
        <f>Table2_1[[#This Row],[Revenue]]-Table2_1[[#This Row],[COGS]]</f>
        <v>0</v>
      </c>
      <c r="R560" s="39">
        <f>WEEKDAY(Table2_1[[#This Row],[Transaction  Date]])</f>
        <v>1</v>
      </c>
      <c r="S560" s="17" t="str">
        <f>IF(WEEKDAY(Table2_1[[#This Row],[Transaction  Date]],2)&lt;=5,"Weekday","Weekend")</f>
        <v>Weekend</v>
      </c>
      <c r="T560" s="37" t="str">
        <f>FLOOR(Table2_1[[#This Row],[Age]],15)&amp; "-"&amp; FLOOR(Table2_1[[#This Row],[Age]],15)+14</f>
        <v>15-29</v>
      </c>
    </row>
    <row r="561" spans="1:20" x14ac:dyDescent="0.3">
      <c r="A561" s="18">
        <v>45410</v>
      </c>
      <c r="B561" s="17" t="s">
        <v>1445</v>
      </c>
      <c r="C561" s="17" t="s">
        <v>71</v>
      </c>
      <c r="D561" s="18">
        <v>32088</v>
      </c>
      <c r="E561" s="16" t="s">
        <v>20</v>
      </c>
      <c r="F561" s="31">
        <v>25</v>
      </c>
      <c r="G561" s="17" t="s">
        <v>59</v>
      </c>
      <c r="H561" s="17" t="s">
        <v>48</v>
      </c>
      <c r="I561" s="17" t="s">
        <v>17</v>
      </c>
      <c r="J561" s="27">
        <v>0.1</v>
      </c>
      <c r="K561" s="17" t="s">
        <v>932</v>
      </c>
      <c r="L561" s="32">
        <v>19</v>
      </c>
      <c r="M561" s="32">
        <f>_xlfn.XLOOKUP(Table2_1[[#This Row],[Product Code]],Product_Code,Unit_Price,0)</f>
        <v>23</v>
      </c>
      <c r="N561" s="31">
        <f>DATEDIF(Table2_1[[#This Row],[Buyer Date of Birth]],Table2_1[[#This Row],[Transaction  Date]],"Y")</f>
        <v>36</v>
      </c>
      <c r="O561" s="33">
        <v>475</v>
      </c>
      <c r="P561" s="33">
        <f>Table2_1[[#This Row],[Quantity Purchased]]*Table2_1[[#This Row],[UnitPrice]]*(1-Table2_1[[#This Row],[Discount]])</f>
        <v>517.5</v>
      </c>
      <c r="Q561" s="33">
        <f>Table2_1[[#This Row],[Revenue]]-Table2_1[[#This Row],[COGS]]</f>
        <v>42.5</v>
      </c>
      <c r="R561" s="39">
        <f>WEEKDAY(Table2_1[[#This Row],[Transaction  Date]])</f>
        <v>1</v>
      </c>
      <c r="S561" s="17" t="str">
        <f>IF(WEEKDAY(Table2_1[[#This Row],[Transaction  Date]],2)&lt;=5,"Weekday","Weekend")</f>
        <v>Weekend</v>
      </c>
      <c r="T561" s="37" t="str">
        <f>FLOOR(Table2_1[[#This Row],[Age]],15)&amp; "-"&amp; FLOOR(Table2_1[[#This Row],[Age]],15)+14</f>
        <v>30-44</v>
      </c>
    </row>
    <row r="562" spans="1:20" x14ac:dyDescent="0.3">
      <c r="A562" s="18">
        <v>45410</v>
      </c>
      <c r="B562" s="17" t="s">
        <v>1446</v>
      </c>
      <c r="C562" s="17" t="s">
        <v>55</v>
      </c>
      <c r="D562" s="18">
        <v>32432</v>
      </c>
      <c r="E562" s="16" t="s">
        <v>14</v>
      </c>
      <c r="F562" s="31">
        <v>96</v>
      </c>
      <c r="G562" s="17" t="s">
        <v>21</v>
      </c>
      <c r="H562" s="17" t="s">
        <v>48</v>
      </c>
      <c r="I562" s="17" t="s">
        <v>17</v>
      </c>
      <c r="J562" s="27">
        <v>0.1</v>
      </c>
      <c r="K562" s="17" t="s">
        <v>934</v>
      </c>
      <c r="L562" s="32">
        <v>10</v>
      </c>
      <c r="M562" s="32">
        <f>_xlfn.XLOOKUP(Table2_1[[#This Row],[Product Code]],Product_Code,Unit_Price,0)</f>
        <v>45</v>
      </c>
      <c r="N562" s="31">
        <f>DATEDIF(Table2_1[[#This Row],[Buyer Date of Birth]],Table2_1[[#This Row],[Transaction  Date]],"Y")</f>
        <v>35</v>
      </c>
      <c r="O562" s="33">
        <v>960</v>
      </c>
      <c r="P562" s="33">
        <f>Table2_1[[#This Row],[Quantity Purchased]]*Table2_1[[#This Row],[UnitPrice]]*(1-Table2_1[[#This Row],[Discount]])</f>
        <v>3888</v>
      </c>
      <c r="Q562" s="33">
        <f>Table2_1[[#This Row],[Revenue]]-Table2_1[[#This Row],[COGS]]</f>
        <v>2928</v>
      </c>
      <c r="R562" s="39">
        <f>WEEKDAY(Table2_1[[#This Row],[Transaction  Date]])</f>
        <v>1</v>
      </c>
      <c r="S562" s="17" t="str">
        <f>IF(WEEKDAY(Table2_1[[#This Row],[Transaction  Date]],2)&lt;=5,"Weekday","Weekend")</f>
        <v>Weekend</v>
      </c>
      <c r="T562" s="37" t="str">
        <f>FLOOR(Table2_1[[#This Row],[Age]],15)&amp; "-"&amp; FLOOR(Table2_1[[#This Row],[Age]],15)+14</f>
        <v>30-44</v>
      </c>
    </row>
    <row r="563" spans="1:20" x14ac:dyDescent="0.3">
      <c r="A563" s="18">
        <v>45410</v>
      </c>
      <c r="B563" s="17" t="s">
        <v>1447</v>
      </c>
      <c r="C563" s="17" t="s">
        <v>46</v>
      </c>
      <c r="D563" s="18">
        <v>23631</v>
      </c>
      <c r="E563" s="16" t="s">
        <v>20</v>
      </c>
      <c r="F563" s="31">
        <v>257</v>
      </c>
      <c r="G563" s="17" t="s">
        <v>15</v>
      </c>
      <c r="H563" s="17" t="s">
        <v>43</v>
      </c>
      <c r="I563" s="17" t="s">
        <v>17</v>
      </c>
      <c r="J563" s="27">
        <v>0.1</v>
      </c>
      <c r="K563" s="17" t="s">
        <v>929</v>
      </c>
      <c r="L563" s="32">
        <v>10</v>
      </c>
      <c r="M563" s="32">
        <f>_xlfn.XLOOKUP(Table2_1[[#This Row],[Product Code]],Product_Code,Unit_Price,0)</f>
        <v>14</v>
      </c>
      <c r="N563" s="31">
        <f>DATEDIF(Table2_1[[#This Row],[Buyer Date of Birth]],Table2_1[[#This Row],[Transaction  Date]],"Y")</f>
        <v>59</v>
      </c>
      <c r="O563" s="33">
        <v>2570</v>
      </c>
      <c r="P563" s="33">
        <f>Table2_1[[#This Row],[Quantity Purchased]]*Table2_1[[#This Row],[UnitPrice]]*(1-Table2_1[[#This Row],[Discount]])</f>
        <v>3238.2000000000003</v>
      </c>
      <c r="Q563" s="33">
        <f>Table2_1[[#This Row],[Revenue]]-Table2_1[[#This Row],[COGS]]</f>
        <v>668.20000000000027</v>
      </c>
      <c r="R563" s="39">
        <f>WEEKDAY(Table2_1[[#This Row],[Transaction  Date]])</f>
        <v>1</v>
      </c>
      <c r="S563" s="17" t="str">
        <f>IF(WEEKDAY(Table2_1[[#This Row],[Transaction  Date]],2)&lt;=5,"Weekday","Weekend")</f>
        <v>Weekend</v>
      </c>
      <c r="T563" s="37" t="str">
        <f>FLOOR(Table2_1[[#This Row],[Age]],15)&amp; "-"&amp; FLOOR(Table2_1[[#This Row],[Age]],15)+14</f>
        <v>45-59</v>
      </c>
    </row>
    <row r="564" spans="1:20" x14ac:dyDescent="0.3">
      <c r="A564" s="18">
        <v>45410</v>
      </c>
      <c r="B564" s="17" t="s">
        <v>1448</v>
      </c>
      <c r="C564" s="17" t="s">
        <v>51</v>
      </c>
      <c r="D564" s="18">
        <v>34045</v>
      </c>
      <c r="E564" s="16" t="s">
        <v>33</v>
      </c>
      <c r="F564" s="31">
        <v>217</v>
      </c>
      <c r="G564" s="17" t="s">
        <v>42</v>
      </c>
      <c r="H564" s="17" t="s">
        <v>48</v>
      </c>
      <c r="I564" s="17" t="s">
        <v>17</v>
      </c>
      <c r="J564" s="27">
        <v>0.1</v>
      </c>
      <c r="K564" s="17" t="s">
        <v>926</v>
      </c>
      <c r="L564" s="32">
        <v>10</v>
      </c>
      <c r="M564" s="32">
        <f>_xlfn.XLOOKUP(Table2_1[[#This Row],[Product Code]],Product_Code,Unit_Price,0)</f>
        <v>11</v>
      </c>
      <c r="N564" s="31">
        <f>DATEDIF(Table2_1[[#This Row],[Buyer Date of Birth]],Table2_1[[#This Row],[Transaction  Date]],"Y")</f>
        <v>31</v>
      </c>
      <c r="O564" s="33">
        <v>2170</v>
      </c>
      <c r="P564" s="33">
        <f>Table2_1[[#This Row],[Quantity Purchased]]*Table2_1[[#This Row],[UnitPrice]]*(1-Table2_1[[#This Row],[Discount]])</f>
        <v>2148.3000000000002</v>
      </c>
      <c r="Q564" s="33">
        <f>Table2_1[[#This Row],[Revenue]]-Table2_1[[#This Row],[COGS]]</f>
        <v>-21.699999999999818</v>
      </c>
      <c r="R564" s="39">
        <f>WEEKDAY(Table2_1[[#This Row],[Transaction  Date]])</f>
        <v>1</v>
      </c>
      <c r="S564" s="17" t="str">
        <f>IF(WEEKDAY(Table2_1[[#This Row],[Transaction  Date]],2)&lt;=5,"Weekday","Weekend")</f>
        <v>Weekend</v>
      </c>
      <c r="T564" s="37" t="str">
        <f>FLOOR(Table2_1[[#This Row],[Age]],15)&amp; "-"&amp; FLOOR(Table2_1[[#This Row],[Age]],15)+14</f>
        <v>30-44</v>
      </c>
    </row>
    <row r="565" spans="1:20" x14ac:dyDescent="0.3">
      <c r="A565" s="18">
        <v>45410</v>
      </c>
      <c r="B565" s="17" t="s">
        <v>1449</v>
      </c>
      <c r="C565" s="17" t="s">
        <v>94</v>
      </c>
      <c r="D565" s="18">
        <v>20336</v>
      </c>
      <c r="E565" s="16" t="s">
        <v>20</v>
      </c>
      <c r="F565" s="31">
        <v>26</v>
      </c>
      <c r="G565" s="17" t="s">
        <v>27</v>
      </c>
      <c r="H565" s="17" t="s">
        <v>39</v>
      </c>
      <c r="I565" s="17" t="s">
        <v>17</v>
      </c>
      <c r="J565" s="27">
        <v>0.1</v>
      </c>
      <c r="K565" s="17" t="s">
        <v>927</v>
      </c>
      <c r="L565" s="32">
        <v>18</v>
      </c>
      <c r="M565" s="32">
        <f>_xlfn.XLOOKUP(Table2_1[[#This Row],[Product Code]],Product_Code,Unit_Price,0)</f>
        <v>22</v>
      </c>
      <c r="N565" s="31">
        <f>DATEDIF(Table2_1[[#This Row],[Buyer Date of Birth]],Table2_1[[#This Row],[Transaction  Date]],"Y")</f>
        <v>68</v>
      </c>
      <c r="O565" s="33">
        <v>468</v>
      </c>
      <c r="P565" s="33">
        <f>Table2_1[[#This Row],[Quantity Purchased]]*Table2_1[[#This Row],[UnitPrice]]*(1-Table2_1[[#This Row],[Discount]])</f>
        <v>514.80000000000007</v>
      </c>
      <c r="Q565" s="33">
        <f>Table2_1[[#This Row],[Revenue]]-Table2_1[[#This Row],[COGS]]</f>
        <v>46.800000000000068</v>
      </c>
      <c r="R565" s="39">
        <f>WEEKDAY(Table2_1[[#This Row],[Transaction  Date]])</f>
        <v>1</v>
      </c>
      <c r="S565" s="17" t="str">
        <f>IF(WEEKDAY(Table2_1[[#This Row],[Transaction  Date]],2)&lt;=5,"Weekday","Weekend")</f>
        <v>Weekend</v>
      </c>
      <c r="T565" s="37" t="str">
        <f>FLOOR(Table2_1[[#This Row],[Age]],15)&amp; "-"&amp; FLOOR(Table2_1[[#This Row],[Age]],15)+14</f>
        <v>60-74</v>
      </c>
    </row>
    <row r="566" spans="1:20" x14ac:dyDescent="0.3">
      <c r="A566" s="18">
        <v>45411</v>
      </c>
      <c r="B566" s="17" t="s">
        <v>1450</v>
      </c>
      <c r="C566" s="17" t="s">
        <v>55</v>
      </c>
      <c r="D566" s="18">
        <v>25663</v>
      </c>
      <c r="E566" s="16" t="s">
        <v>20</v>
      </c>
      <c r="F566" s="31">
        <v>306</v>
      </c>
      <c r="G566" s="17" t="s">
        <v>42</v>
      </c>
      <c r="H566" s="17" t="s">
        <v>52</v>
      </c>
      <c r="I566" s="17" t="s">
        <v>17</v>
      </c>
      <c r="J566" s="27">
        <v>0.1</v>
      </c>
      <c r="K566" s="17" t="s">
        <v>926</v>
      </c>
      <c r="L566" s="32">
        <v>10</v>
      </c>
      <c r="M566" s="32">
        <f>_xlfn.XLOOKUP(Table2_1[[#This Row],[Product Code]],Product_Code,Unit_Price,0)</f>
        <v>11</v>
      </c>
      <c r="N566" s="31">
        <f>DATEDIF(Table2_1[[#This Row],[Buyer Date of Birth]],Table2_1[[#This Row],[Transaction  Date]],"Y")</f>
        <v>54</v>
      </c>
      <c r="O566" s="33">
        <v>3060</v>
      </c>
      <c r="P566" s="33">
        <f>Table2_1[[#This Row],[Quantity Purchased]]*Table2_1[[#This Row],[UnitPrice]]*(1-Table2_1[[#This Row],[Discount]])</f>
        <v>3029.4</v>
      </c>
      <c r="Q566" s="33">
        <f>Table2_1[[#This Row],[Revenue]]-Table2_1[[#This Row],[COGS]]</f>
        <v>-30.599999999999909</v>
      </c>
      <c r="R566" s="39">
        <f>WEEKDAY(Table2_1[[#This Row],[Transaction  Date]])</f>
        <v>2</v>
      </c>
      <c r="S566" s="17" t="str">
        <f>IF(WEEKDAY(Table2_1[[#This Row],[Transaction  Date]],2)&lt;=5,"Weekday","Weekend")</f>
        <v>Weekday</v>
      </c>
      <c r="T566" s="37" t="str">
        <f>FLOOR(Table2_1[[#This Row],[Age]],15)&amp; "-"&amp; FLOOR(Table2_1[[#This Row],[Age]],15)+14</f>
        <v>45-59</v>
      </c>
    </row>
    <row r="567" spans="1:20" x14ac:dyDescent="0.3">
      <c r="A567" s="18">
        <v>45411</v>
      </c>
      <c r="B567" s="17" t="s">
        <v>1451</v>
      </c>
      <c r="C567" s="17" t="s">
        <v>94</v>
      </c>
      <c r="D567" s="18">
        <v>23024</v>
      </c>
      <c r="E567" s="16" t="s">
        <v>14</v>
      </c>
      <c r="F567" s="31">
        <v>125</v>
      </c>
      <c r="G567" s="17" t="s">
        <v>15</v>
      </c>
      <c r="H567" s="17" t="s">
        <v>52</v>
      </c>
      <c r="I567" s="17" t="s">
        <v>17</v>
      </c>
      <c r="J567" s="27">
        <v>0.1</v>
      </c>
      <c r="K567" s="17" t="s">
        <v>929</v>
      </c>
      <c r="L567" s="32">
        <v>10</v>
      </c>
      <c r="M567" s="32">
        <f>_xlfn.XLOOKUP(Table2_1[[#This Row],[Product Code]],Product_Code,Unit_Price,0)</f>
        <v>14</v>
      </c>
      <c r="N567" s="31">
        <f>DATEDIF(Table2_1[[#This Row],[Buyer Date of Birth]],Table2_1[[#This Row],[Transaction  Date]],"Y")</f>
        <v>61</v>
      </c>
      <c r="O567" s="33">
        <v>1250</v>
      </c>
      <c r="P567" s="33">
        <f>Table2_1[[#This Row],[Quantity Purchased]]*Table2_1[[#This Row],[UnitPrice]]*(1-Table2_1[[#This Row],[Discount]])</f>
        <v>1575</v>
      </c>
      <c r="Q567" s="33">
        <f>Table2_1[[#This Row],[Revenue]]-Table2_1[[#This Row],[COGS]]</f>
        <v>325</v>
      </c>
      <c r="R567" s="39">
        <f>WEEKDAY(Table2_1[[#This Row],[Transaction  Date]])</f>
        <v>2</v>
      </c>
      <c r="S567" s="17" t="str">
        <f>IF(WEEKDAY(Table2_1[[#This Row],[Transaction  Date]],2)&lt;=5,"Weekday","Weekend")</f>
        <v>Weekday</v>
      </c>
      <c r="T567" s="37" t="str">
        <f>FLOOR(Table2_1[[#This Row],[Age]],15)&amp; "-"&amp; FLOOR(Table2_1[[#This Row],[Age]],15)+14</f>
        <v>60-74</v>
      </c>
    </row>
    <row r="568" spans="1:20" x14ac:dyDescent="0.3">
      <c r="A568" s="18">
        <v>45411</v>
      </c>
      <c r="B568" s="17" t="s">
        <v>1867</v>
      </c>
      <c r="C568" s="17" t="s">
        <v>13</v>
      </c>
      <c r="D568" s="18">
        <v>31614</v>
      </c>
      <c r="E568" s="16" t="s">
        <v>14</v>
      </c>
      <c r="F568" s="31">
        <v>301</v>
      </c>
      <c r="G568" s="17" t="s">
        <v>42</v>
      </c>
      <c r="H568" s="17" t="s">
        <v>52</v>
      </c>
      <c r="I568" s="17" t="s">
        <v>17</v>
      </c>
      <c r="J568" s="27">
        <v>0.1</v>
      </c>
      <c r="K568" s="17" t="s">
        <v>926</v>
      </c>
      <c r="L568" s="32">
        <v>10</v>
      </c>
      <c r="M568" s="32">
        <f>_xlfn.XLOOKUP(Table2_1[[#This Row],[Product Code]],Product_Code,Unit_Price,0)</f>
        <v>11</v>
      </c>
      <c r="N568" s="31">
        <f>DATEDIF(Table2_1[[#This Row],[Buyer Date of Birth]],Table2_1[[#This Row],[Transaction  Date]],"Y")</f>
        <v>37</v>
      </c>
      <c r="O568" s="33">
        <v>3010</v>
      </c>
      <c r="P568" s="33">
        <f>Table2_1[[#This Row],[Quantity Purchased]]*Table2_1[[#This Row],[UnitPrice]]*(1-Table2_1[[#This Row],[Discount]])</f>
        <v>2979.9</v>
      </c>
      <c r="Q568" s="33">
        <f>Table2_1[[#This Row],[Revenue]]-Table2_1[[#This Row],[COGS]]</f>
        <v>-30.099999999999909</v>
      </c>
      <c r="R568" s="39">
        <f>WEEKDAY(Table2_1[[#This Row],[Transaction  Date]])</f>
        <v>2</v>
      </c>
      <c r="S568" s="17" t="str">
        <f>IF(WEEKDAY(Table2_1[[#This Row],[Transaction  Date]],2)&lt;=5,"Weekday","Weekend")</f>
        <v>Weekday</v>
      </c>
      <c r="T568" s="37" t="str">
        <f>FLOOR(Table2_1[[#This Row],[Age]],15)&amp; "-"&amp; FLOOR(Table2_1[[#This Row],[Age]],15)+14</f>
        <v>30-44</v>
      </c>
    </row>
    <row r="569" spans="1:20" x14ac:dyDescent="0.3">
      <c r="A569" s="18">
        <v>45411</v>
      </c>
      <c r="B569" s="17" t="s">
        <v>1452</v>
      </c>
      <c r="C569" s="17" t="s">
        <v>46</v>
      </c>
      <c r="D569" s="18">
        <v>19072</v>
      </c>
      <c r="E569" s="16" t="s">
        <v>20</v>
      </c>
      <c r="F569" s="31">
        <v>265</v>
      </c>
      <c r="G569" s="17" t="s">
        <v>15</v>
      </c>
      <c r="H569" s="17" t="s">
        <v>28</v>
      </c>
      <c r="I569" s="17" t="s">
        <v>17</v>
      </c>
      <c r="J569" s="27">
        <v>0.1</v>
      </c>
      <c r="K569" s="17" t="s">
        <v>929</v>
      </c>
      <c r="L569" s="32">
        <v>10</v>
      </c>
      <c r="M569" s="32">
        <f>_xlfn.XLOOKUP(Table2_1[[#This Row],[Product Code]],Product_Code,Unit_Price,0)</f>
        <v>14</v>
      </c>
      <c r="N569" s="31">
        <f>DATEDIF(Table2_1[[#This Row],[Buyer Date of Birth]],Table2_1[[#This Row],[Transaction  Date]],"Y")</f>
        <v>72</v>
      </c>
      <c r="O569" s="33">
        <v>2650</v>
      </c>
      <c r="P569" s="33">
        <f>Table2_1[[#This Row],[Quantity Purchased]]*Table2_1[[#This Row],[UnitPrice]]*(1-Table2_1[[#This Row],[Discount]])</f>
        <v>3339</v>
      </c>
      <c r="Q569" s="33">
        <f>Table2_1[[#This Row],[Revenue]]-Table2_1[[#This Row],[COGS]]</f>
        <v>689</v>
      </c>
      <c r="R569" s="39">
        <f>WEEKDAY(Table2_1[[#This Row],[Transaction  Date]])</f>
        <v>2</v>
      </c>
      <c r="S569" s="17" t="str">
        <f>IF(WEEKDAY(Table2_1[[#This Row],[Transaction  Date]],2)&lt;=5,"Weekday","Weekend")</f>
        <v>Weekday</v>
      </c>
      <c r="T569" s="37" t="str">
        <f>FLOOR(Table2_1[[#This Row],[Age]],15)&amp; "-"&amp; FLOOR(Table2_1[[#This Row],[Age]],15)+14</f>
        <v>60-74</v>
      </c>
    </row>
    <row r="570" spans="1:20" x14ac:dyDescent="0.3">
      <c r="A570" s="18">
        <v>45412</v>
      </c>
      <c r="B570" s="17" t="s">
        <v>996</v>
      </c>
      <c r="C570" s="17" t="s">
        <v>26</v>
      </c>
      <c r="D570" s="18">
        <v>29933</v>
      </c>
      <c r="E570" s="16" t="s">
        <v>14</v>
      </c>
      <c r="F570" s="31">
        <v>434</v>
      </c>
      <c r="G570" s="17" t="s">
        <v>64</v>
      </c>
      <c r="H570" s="17" t="s">
        <v>39</v>
      </c>
      <c r="I570" s="17" t="s">
        <v>17</v>
      </c>
      <c r="J570" s="27">
        <v>0.1</v>
      </c>
      <c r="K570" s="17" t="s">
        <v>933</v>
      </c>
      <c r="L570" s="32">
        <v>5</v>
      </c>
      <c r="M570" s="32">
        <f>_xlfn.XLOOKUP(Table2_1[[#This Row],[Product Code]],Product_Code,Unit_Price,0)</f>
        <v>7</v>
      </c>
      <c r="N570" s="31">
        <f>DATEDIF(Table2_1[[#This Row],[Buyer Date of Birth]],Table2_1[[#This Row],[Transaction  Date]],"Y")</f>
        <v>42</v>
      </c>
      <c r="O570" s="33">
        <v>2170</v>
      </c>
      <c r="P570" s="33">
        <f>Table2_1[[#This Row],[Quantity Purchased]]*Table2_1[[#This Row],[UnitPrice]]*(1-Table2_1[[#This Row],[Discount]])</f>
        <v>2734.2000000000003</v>
      </c>
      <c r="Q570" s="33">
        <f>Table2_1[[#This Row],[Revenue]]-Table2_1[[#This Row],[COGS]]</f>
        <v>564.20000000000027</v>
      </c>
      <c r="R570" s="39">
        <f>WEEKDAY(Table2_1[[#This Row],[Transaction  Date]])</f>
        <v>3</v>
      </c>
      <c r="S570" s="17" t="str">
        <f>IF(WEEKDAY(Table2_1[[#This Row],[Transaction  Date]],2)&lt;=5,"Weekday","Weekend")</f>
        <v>Weekday</v>
      </c>
      <c r="T570" s="37" t="str">
        <f>FLOOR(Table2_1[[#This Row],[Age]],15)&amp; "-"&amp; FLOOR(Table2_1[[#This Row],[Age]],15)+14</f>
        <v>30-44</v>
      </c>
    </row>
    <row r="571" spans="1:20" x14ac:dyDescent="0.3">
      <c r="A571" s="18">
        <v>45412</v>
      </c>
      <c r="B571" s="17" t="s">
        <v>1453</v>
      </c>
      <c r="C571" s="17" t="s">
        <v>26</v>
      </c>
      <c r="D571" s="18">
        <v>20422</v>
      </c>
      <c r="E571" s="16" t="s">
        <v>20</v>
      </c>
      <c r="F571" s="31">
        <v>461</v>
      </c>
      <c r="G571" s="17" t="s">
        <v>42</v>
      </c>
      <c r="H571" s="17" t="s">
        <v>52</v>
      </c>
      <c r="I571" s="17" t="s">
        <v>29</v>
      </c>
      <c r="J571" s="27">
        <v>0.1</v>
      </c>
      <c r="K571" s="17" t="s">
        <v>926</v>
      </c>
      <c r="L571" s="32">
        <v>10</v>
      </c>
      <c r="M571" s="32">
        <f>_xlfn.XLOOKUP(Table2_1[[#This Row],[Product Code]],Product_Code,Unit_Price,0)</f>
        <v>11</v>
      </c>
      <c r="N571" s="31">
        <f>DATEDIF(Table2_1[[#This Row],[Buyer Date of Birth]],Table2_1[[#This Row],[Transaction  Date]],"Y")</f>
        <v>68</v>
      </c>
      <c r="O571" s="33">
        <v>4610</v>
      </c>
      <c r="P571" s="33">
        <f>Table2_1[[#This Row],[Quantity Purchased]]*Table2_1[[#This Row],[UnitPrice]]*(1-Table2_1[[#This Row],[Discount]])</f>
        <v>4563.9000000000005</v>
      </c>
      <c r="Q571" s="33">
        <f>Table2_1[[#This Row],[Revenue]]-Table2_1[[#This Row],[COGS]]</f>
        <v>-46.099999999999454</v>
      </c>
      <c r="R571" s="39">
        <f>WEEKDAY(Table2_1[[#This Row],[Transaction  Date]])</f>
        <v>3</v>
      </c>
      <c r="S571" s="17" t="str">
        <f>IF(WEEKDAY(Table2_1[[#This Row],[Transaction  Date]],2)&lt;=5,"Weekday","Weekend")</f>
        <v>Weekday</v>
      </c>
      <c r="T571" s="37" t="str">
        <f>FLOOR(Table2_1[[#This Row],[Age]],15)&amp; "-"&amp; FLOOR(Table2_1[[#This Row],[Age]],15)+14</f>
        <v>60-74</v>
      </c>
    </row>
    <row r="572" spans="1:20" x14ac:dyDescent="0.3">
      <c r="A572" s="18">
        <v>45412</v>
      </c>
      <c r="B572" s="17" t="s">
        <v>1454</v>
      </c>
      <c r="C572" s="17" t="s">
        <v>32</v>
      </c>
      <c r="D572" s="18">
        <v>18248</v>
      </c>
      <c r="E572" s="16" t="s">
        <v>20</v>
      </c>
      <c r="F572" s="31">
        <v>385</v>
      </c>
      <c r="G572" s="17" t="s">
        <v>34</v>
      </c>
      <c r="H572" s="17" t="s">
        <v>52</v>
      </c>
      <c r="I572" s="17" t="s">
        <v>17</v>
      </c>
      <c r="J572" s="27">
        <v>0.1</v>
      </c>
      <c r="K572" s="17" t="s">
        <v>930</v>
      </c>
      <c r="L572" s="32">
        <v>14</v>
      </c>
      <c r="M572" s="32">
        <f>_xlfn.XLOOKUP(Table2_1[[#This Row],[Product Code]],Product_Code,Unit_Price,0)</f>
        <v>28</v>
      </c>
      <c r="N572" s="31">
        <f>DATEDIF(Table2_1[[#This Row],[Buyer Date of Birth]],Table2_1[[#This Row],[Transaction  Date]],"Y")</f>
        <v>74</v>
      </c>
      <c r="O572" s="33">
        <v>5390</v>
      </c>
      <c r="P572" s="33">
        <f>Table2_1[[#This Row],[Quantity Purchased]]*Table2_1[[#This Row],[UnitPrice]]*(1-Table2_1[[#This Row],[Discount]])</f>
        <v>9702</v>
      </c>
      <c r="Q572" s="33">
        <f>Table2_1[[#This Row],[Revenue]]-Table2_1[[#This Row],[COGS]]</f>
        <v>4312</v>
      </c>
      <c r="R572" s="39">
        <f>WEEKDAY(Table2_1[[#This Row],[Transaction  Date]])</f>
        <v>3</v>
      </c>
      <c r="S572" s="17" t="str">
        <f>IF(WEEKDAY(Table2_1[[#This Row],[Transaction  Date]],2)&lt;=5,"Weekday","Weekend")</f>
        <v>Weekday</v>
      </c>
      <c r="T572" s="37" t="str">
        <f>FLOOR(Table2_1[[#This Row],[Age]],15)&amp; "-"&amp; FLOOR(Table2_1[[#This Row],[Age]],15)+14</f>
        <v>60-74</v>
      </c>
    </row>
    <row r="573" spans="1:20" x14ac:dyDescent="0.3">
      <c r="A573" s="18">
        <v>45412</v>
      </c>
      <c r="B573" s="17" t="s">
        <v>1455</v>
      </c>
      <c r="C573" s="17" t="s">
        <v>32</v>
      </c>
      <c r="D573" s="18">
        <v>32156</v>
      </c>
      <c r="E573" s="16" t="s">
        <v>20</v>
      </c>
      <c r="F573" s="31">
        <v>247</v>
      </c>
      <c r="G573" s="17" t="s">
        <v>56</v>
      </c>
      <c r="H573" s="17" t="s">
        <v>28</v>
      </c>
      <c r="I573" s="17" t="s">
        <v>17</v>
      </c>
      <c r="J573" s="27">
        <v>0.1</v>
      </c>
      <c r="K573" s="17" t="s">
        <v>935</v>
      </c>
      <c r="L573" s="32">
        <v>18</v>
      </c>
      <c r="M573" s="32">
        <f>_xlfn.XLOOKUP(Table2_1[[#This Row],[Product Code]],Product_Code,Unit_Price,0)</f>
        <v>36</v>
      </c>
      <c r="N573" s="31">
        <f>DATEDIF(Table2_1[[#This Row],[Buyer Date of Birth]],Table2_1[[#This Row],[Transaction  Date]],"Y")</f>
        <v>36</v>
      </c>
      <c r="O573" s="33">
        <v>4446</v>
      </c>
      <c r="P573" s="33">
        <f>Table2_1[[#This Row],[Quantity Purchased]]*Table2_1[[#This Row],[UnitPrice]]*(1-Table2_1[[#This Row],[Discount]])</f>
        <v>8002.8</v>
      </c>
      <c r="Q573" s="33">
        <f>Table2_1[[#This Row],[Revenue]]-Table2_1[[#This Row],[COGS]]</f>
        <v>3556.8</v>
      </c>
      <c r="R573" s="39">
        <f>WEEKDAY(Table2_1[[#This Row],[Transaction  Date]])</f>
        <v>3</v>
      </c>
      <c r="S573" s="17" t="str">
        <f>IF(WEEKDAY(Table2_1[[#This Row],[Transaction  Date]],2)&lt;=5,"Weekday","Weekend")</f>
        <v>Weekday</v>
      </c>
      <c r="T573" s="37" t="str">
        <f>FLOOR(Table2_1[[#This Row],[Age]],15)&amp; "-"&amp; FLOOR(Table2_1[[#This Row],[Age]],15)+14</f>
        <v>30-44</v>
      </c>
    </row>
    <row r="574" spans="1:20" x14ac:dyDescent="0.3">
      <c r="A574" s="18">
        <v>45412</v>
      </c>
      <c r="B574" s="17" t="s">
        <v>1456</v>
      </c>
      <c r="C574" s="17" t="s">
        <v>94</v>
      </c>
      <c r="D574" s="18">
        <v>26073</v>
      </c>
      <c r="E574" s="16" t="s">
        <v>68</v>
      </c>
      <c r="F574" s="31">
        <v>414</v>
      </c>
      <c r="G574" s="17" t="s">
        <v>42</v>
      </c>
      <c r="H574" s="17" t="s">
        <v>48</v>
      </c>
      <c r="I574" s="17" t="s">
        <v>17</v>
      </c>
      <c r="J574" s="27">
        <v>0.1</v>
      </c>
      <c r="K574" s="17" t="s">
        <v>926</v>
      </c>
      <c r="L574" s="32">
        <v>10</v>
      </c>
      <c r="M574" s="32">
        <f>_xlfn.XLOOKUP(Table2_1[[#This Row],[Product Code]],Product_Code,Unit_Price,0)</f>
        <v>11</v>
      </c>
      <c r="N574" s="31">
        <f>DATEDIF(Table2_1[[#This Row],[Buyer Date of Birth]],Table2_1[[#This Row],[Transaction  Date]],"Y")</f>
        <v>52</v>
      </c>
      <c r="O574" s="33">
        <v>4140</v>
      </c>
      <c r="P574" s="33">
        <f>Table2_1[[#This Row],[Quantity Purchased]]*Table2_1[[#This Row],[UnitPrice]]*(1-Table2_1[[#This Row],[Discount]])</f>
        <v>4098.6000000000004</v>
      </c>
      <c r="Q574" s="33">
        <f>Table2_1[[#This Row],[Revenue]]-Table2_1[[#This Row],[COGS]]</f>
        <v>-41.399999999999636</v>
      </c>
      <c r="R574" s="39">
        <f>WEEKDAY(Table2_1[[#This Row],[Transaction  Date]])</f>
        <v>3</v>
      </c>
      <c r="S574" s="17" t="str">
        <f>IF(WEEKDAY(Table2_1[[#This Row],[Transaction  Date]],2)&lt;=5,"Weekday","Weekend")</f>
        <v>Weekday</v>
      </c>
      <c r="T574" s="37" t="str">
        <f>FLOOR(Table2_1[[#This Row],[Age]],15)&amp; "-"&amp; FLOOR(Table2_1[[#This Row],[Age]],15)+14</f>
        <v>45-59</v>
      </c>
    </row>
    <row r="575" spans="1:20" x14ac:dyDescent="0.3">
      <c r="A575" s="18">
        <v>45413</v>
      </c>
      <c r="B575" s="17" t="s">
        <v>1457</v>
      </c>
      <c r="C575" s="17" t="s">
        <v>94</v>
      </c>
      <c r="D575" s="18">
        <v>29394</v>
      </c>
      <c r="E575" s="16" t="s">
        <v>68</v>
      </c>
      <c r="F575" s="31">
        <v>500</v>
      </c>
      <c r="G575" s="17" t="s">
        <v>15</v>
      </c>
      <c r="H575" s="17" t="s">
        <v>43</v>
      </c>
      <c r="I575" s="17" t="s">
        <v>17</v>
      </c>
      <c r="J575" s="27">
        <v>0.1</v>
      </c>
      <c r="K575" s="17" t="s">
        <v>929</v>
      </c>
      <c r="L575" s="32">
        <v>10</v>
      </c>
      <c r="M575" s="32">
        <f>_xlfn.XLOOKUP(Table2_1[[#This Row],[Product Code]],Product_Code,Unit_Price,0)</f>
        <v>14</v>
      </c>
      <c r="N575" s="31">
        <f>DATEDIF(Table2_1[[#This Row],[Buyer Date of Birth]],Table2_1[[#This Row],[Transaction  Date]],"Y")</f>
        <v>43</v>
      </c>
      <c r="O575" s="33">
        <v>5000</v>
      </c>
      <c r="P575" s="33">
        <f>Table2_1[[#This Row],[Quantity Purchased]]*Table2_1[[#This Row],[UnitPrice]]*(1-Table2_1[[#This Row],[Discount]])</f>
        <v>6300</v>
      </c>
      <c r="Q575" s="33">
        <f>Table2_1[[#This Row],[Revenue]]-Table2_1[[#This Row],[COGS]]</f>
        <v>1300</v>
      </c>
      <c r="R575" s="39">
        <f>WEEKDAY(Table2_1[[#This Row],[Transaction  Date]])</f>
        <v>4</v>
      </c>
      <c r="S575" s="17" t="str">
        <f>IF(WEEKDAY(Table2_1[[#This Row],[Transaction  Date]],2)&lt;=5,"Weekday","Weekend")</f>
        <v>Weekday</v>
      </c>
      <c r="T575" s="37" t="str">
        <f>FLOOR(Table2_1[[#This Row],[Age]],15)&amp; "-"&amp; FLOOR(Table2_1[[#This Row],[Age]],15)+14</f>
        <v>30-44</v>
      </c>
    </row>
    <row r="576" spans="1:20" x14ac:dyDescent="0.3">
      <c r="A576" s="18">
        <v>45413</v>
      </c>
      <c r="B576" s="17" t="s">
        <v>1458</v>
      </c>
      <c r="C576" s="17" t="s">
        <v>38</v>
      </c>
      <c r="D576" s="18">
        <v>38747</v>
      </c>
      <c r="E576" s="16" t="s">
        <v>33</v>
      </c>
      <c r="F576" s="31">
        <v>192</v>
      </c>
      <c r="G576" s="17" t="s">
        <v>59</v>
      </c>
      <c r="H576" s="17" t="s">
        <v>52</v>
      </c>
      <c r="I576" s="17" t="s">
        <v>17</v>
      </c>
      <c r="J576" s="27">
        <v>0.1</v>
      </c>
      <c r="K576" s="17" t="s">
        <v>932</v>
      </c>
      <c r="L576" s="32">
        <v>19</v>
      </c>
      <c r="M576" s="32">
        <f>_xlfn.XLOOKUP(Table2_1[[#This Row],[Product Code]],Product_Code,Unit_Price,0)</f>
        <v>23</v>
      </c>
      <c r="N576" s="31">
        <f>DATEDIF(Table2_1[[#This Row],[Buyer Date of Birth]],Table2_1[[#This Row],[Transaction  Date]],"Y")</f>
        <v>18</v>
      </c>
      <c r="O576" s="33">
        <v>3648</v>
      </c>
      <c r="P576" s="33">
        <f>Table2_1[[#This Row],[Quantity Purchased]]*Table2_1[[#This Row],[UnitPrice]]*(1-Table2_1[[#This Row],[Discount]])</f>
        <v>3974.4</v>
      </c>
      <c r="Q576" s="33">
        <f>Table2_1[[#This Row],[Revenue]]-Table2_1[[#This Row],[COGS]]</f>
        <v>326.40000000000009</v>
      </c>
      <c r="R576" s="39">
        <f>WEEKDAY(Table2_1[[#This Row],[Transaction  Date]])</f>
        <v>4</v>
      </c>
      <c r="S576" s="17" t="str">
        <f>IF(WEEKDAY(Table2_1[[#This Row],[Transaction  Date]],2)&lt;=5,"Weekday","Weekend")</f>
        <v>Weekday</v>
      </c>
      <c r="T576" s="37" t="str">
        <f>FLOOR(Table2_1[[#This Row],[Age]],15)&amp; "-"&amp; FLOOR(Table2_1[[#This Row],[Age]],15)+14</f>
        <v>15-29</v>
      </c>
    </row>
    <row r="577" spans="1:20" x14ac:dyDescent="0.3">
      <c r="A577" s="18">
        <v>45413</v>
      </c>
      <c r="B577" s="17" t="s">
        <v>1459</v>
      </c>
      <c r="C577" s="17" t="s">
        <v>78</v>
      </c>
      <c r="D577" s="18">
        <v>29426</v>
      </c>
      <c r="E577" s="16" t="s">
        <v>20</v>
      </c>
      <c r="F577" s="31">
        <v>468</v>
      </c>
      <c r="G577" s="17" t="s">
        <v>27</v>
      </c>
      <c r="H577" s="17" t="s">
        <v>35</v>
      </c>
      <c r="I577" s="17" t="s">
        <v>17</v>
      </c>
      <c r="J577" s="27">
        <v>0.1</v>
      </c>
      <c r="K577" s="17" t="s">
        <v>927</v>
      </c>
      <c r="L577" s="32">
        <v>18</v>
      </c>
      <c r="M577" s="32">
        <f>_xlfn.XLOOKUP(Table2_1[[#This Row],[Product Code]],Product_Code,Unit_Price,0)</f>
        <v>22</v>
      </c>
      <c r="N577" s="31">
        <f>DATEDIF(Table2_1[[#This Row],[Buyer Date of Birth]],Table2_1[[#This Row],[Transaction  Date]],"Y")</f>
        <v>43</v>
      </c>
      <c r="O577" s="33">
        <v>8424</v>
      </c>
      <c r="P577" s="33">
        <f>Table2_1[[#This Row],[Quantity Purchased]]*Table2_1[[#This Row],[UnitPrice]]*(1-Table2_1[[#This Row],[Discount]])</f>
        <v>9266.4</v>
      </c>
      <c r="Q577" s="33">
        <f>Table2_1[[#This Row],[Revenue]]-Table2_1[[#This Row],[COGS]]</f>
        <v>842.39999999999964</v>
      </c>
      <c r="R577" s="39">
        <f>WEEKDAY(Table2_1[[#This Row],[Transaction  Date]])</f>
        <v>4</v>
      </c>
      <c r="S577" s="17" t="str">
        <f>IF(WEEKDAY(Table2_1[[#This Row],[Transaction  Date]],2)&lt;=5,"Weekday","Weekend")</f>
        <v>Weekday</v>
      </c>
      <c r="T577" s="37" t="str">
        <f>FLOOR(Table2_1[[#This Row],[Age]],15)&amp; "-"&amp; FLOOR(Table2_1[[#This Row],[Age]],15)+14</f>
        <v>30-44</v>
      </c>
    </row>
    <row r="578" spans="1:20" x14ac:dyDescent="0.3">
      <c r="A578" s="18">
        <v>45414</v>
      </c>
      <c r="B578" s="17" t="s">
        <v>1460</v>
      </c>
      <c r="C578" s="17" t="s">
        <v>83</v>
      </c>
      <c r="D578" s="18">
        <v>31263</v>
      </c>
      <c r="E578" s="16" t="s">
        <v>68</v>
      </c>
      <c r="F578" s="31">
        <v>376</v>
      </c>
      <c r="G578" s="17" t="s">
        <v>56</v>
      </c>
      <c r="H578" s="17" t="s">
        <v>52</v>
      </c>
      <c r="I578" s="17" t="s">
        <v>29</v>
      </c>
      <c r="J578" s="27">
        <v>0.1</v>
      </c>
      <c r="K578" s="17" t="s">
        <v>935</v>
      </c>
      <c r="L578" s="32">
        <v>18</v>
      </c>
      <c r="M578" s="32">
        <f>_xlfn.XLOOKUP(Table2_1[[#This Row],[Product Code]],Product_Code,Unit_Price,0)</f>
        <v>36</v>
      </c>
      <c r="N578" s="31">
        <f>DATEDIF(Table2_1[[#This Row],[Buyer Date of Birth]],Table2_1[[#This Row],[Transaction  Date]],"Y")</f>
        <v>38</v>
      </c>
      <c r="O578" s="33">
        <v>6768</v>
      </c>
      <c r="P578" s="33">
        <f>Table2_1[[#This Row],[Quantity Purchased]]*Table2_1[[#This Row],[UnitPrice]]*(1-Table2_1[[#This Row],[Discount]])</f>
        <v>12182.4</v>
      </c>
      <c r="Q578" s="33">
        <f>Table2_1[[#This Row],[Revenue]]-Table2_1[[#This Row],[COGS]]</f>
        <v>5414.4</v>
      </c>
      <c r="R578" s="39">
        <f>WEEKDAY(Table2_1[[#This Row],[Transaction  Date]])</f>
        <v>5</v>
      </c>
      <c r="S578" s="17" t="str">
        <f>IF(WEEKDAY(Table2_1[[#This Row],[Transaction  Date]],2)&lt;=5,"Weekday","Weekend")</f>
        <v>Weekday</v>
      </c>
      <c r="T578" s="37" t="str">
        <f>FLOOR(Table2_1[[#This Row],[Age]],15)&amp; "-"&amp; FLOOR(Table2_1[[#This Row],[Age]],15)+14</f>
        <v>30-44</v>
      </c>
    </row>
    <row r="579" spans="1:20" x14ac:dyDescent="0.3">
      <c r="A579" s="18">
        <v>45414</v>
      </c>
      <c r="B579" s="17" t="s">
        <v>1461</v>
      </c>
      <c r="C579" s="17" t="s">
        <v>55</v>
      </c>
      <c r="D579" s="18">
        <v>34745</v>
      </c>
      <c r="E579" s="16" t="s">
        <v>68</v>
      </c>
      <c r="F579" s="31">
        <v>339</v>
      </c>
      <c r="G579" s="17" t="s">
        <v>59</v>
      </c>
      <c r="H579" s="17" t="s">
        <v>43</v>
      </c>
      <c r="I579" s="17" t="s">
        <v>17</v>
      </c>
      <c r="J579" s="27">
        <v>0.1</v>
      </c>
      <c r="K579" s="17" t="s">
        <v>932</v>
      </c>
      <c r="L579" s="32">
        <v>19</v>
      </c>
      <c r="M579" s="32">
        <f>_xlfn.XLOOKUP(Table2_1[[#This Row],[Product Code]],Product_Code,Unit_Price,0)</f>
        <v>23</v>
      </c>
      <c r="N579" s="31">
        <f>DATEDIF(Table2_1[[#This Row],[Buyer Date of Birth]],Table2_1[[#This Row],[Transaction  Date]],"Y")</f>
        <v>29</v>
      </c>
      <c r="O579" s="33">
        <v>6441</v>
      </c>
      <c r="P579" s="33">
        <f>Table2_1[[#This Row],[Quantity Purchased]]*Table2_1[[#This Row],[UnitPrice]]*(1-Table2_1[[#This Row],[Discount]])</f>
        <v>7017.3</v>
      </c>
      <c r="Q579" s="33">
        <f>Table2_1[[#This Row],[Revenue]]-Table2_1[[#This Row],[COGS]]</f>
        <v>576.30000000000018</v>
      </c>
      <c r="R579" s="39">
        <f>WEEKDAY(Table2_1[[#This Row],[Transaction  Date]])</f>
        <v>5</v>
      </c>
      <c r="S579" s="17" t="str">
        <f>IF(WEEKDAY(Table2_1[[#This Row],[Transaction  Date]],2)&lt;=5,"Weekday","Weekend")</f>
        <v>Weekday</v>
      </c>
      <c r="T579" s="37" t="str">
        <f>FLOOR(Table2_1[[#This Row],[Age]],15)&amp; "-"&amp; FLOOR(Table2_1[[#This Row],[Age]],15)+14</f>
        <v>15-29</v>
      </c>
    </row>
    <row r="580" spans="1:20" x14ac:dyDescent="0.3">
      <c r="A580" s="18">
        <v>45414</v>
      </c>
      <c r="B580" s="17" t="s">
        <v>1462</v>
      </c>
      <c r="C580" s="17" t="s">
        <v>78</v>
      </c>
      <c r="D580" s="18">
        <v>36461</v>
      </c>
      <c r="E580" s="16" t="s">
        <v>14</v>
      </c>
      <c r="F580" s="31">
        <v>193</v>
      </c>
      <c r="G580" s="17" t="s">
        <v>42</v>
      </c>
      <c r="H580" s="17" t="s">
        <v>48</v>
      </c>
      <c r="I580" s="17" t="s">
        <v>17</v>
      </c>
      <c r="J580" s="27">
        <v>0.1</v>
      </c>
      <c r="K580" s="17" t="s">
        <v>926</v>
      </c>
      <c r="L580" s="32">
        <v>10</v>
      </c>
      <c r="M580" s="32">
        <f>_xlfn.XLOOKUP(Table2_1[[#This Row],[Product Code]],Product_Code,Unit_Price,0)</f>
        <v>11</v>
      </c>
      <c r="N580" s="31">
        <f>DATEDIF(Table2_1[[#This Row],[Buyer Date of Birth]],Table2_1[[#This Row],[Transaction  Date]],"Y")</f>
        <v>24</v>
      </c>
      <c r="O580" s="33">
        <v>1930</v>
      </c>
      <c r="P580" s="33">
        <f>Table2_1[[#This Row],[Quantity Purchased]]*Table2_1[[#This Row],[UnitPrice]]*(1-Table2_1[[#This Row],[Discount]])</f>
        <v>1910.7</v>
      </c>
      <c r="Q580" s="33">
        <f>Table2_1[[#This Row],[Revenue]]-Table2_1[[#This Row],[COGS]]</f>
        <v>-19.299999999999955</v>
      </c>
      <c r="R580" s="39">
        <f>WEEKDAY(Table2_1[[#This Row],[Transaction  Date]])</f>
        <v>5</v>
      </c>
      <c r="S580" s="17" t="str">
        <f>IF(WEEKDAY(Table2_1[[#This Row],[Transaction  Date]],2)&lt;=5,"Weekday","Weekend")</f>
        <v>Weekday</v>
      </c>
      <c r="T580" s="37" t="str">
        <f>FLOOR(Table2_1[[#This Row],[Age]],15)&amp; "-"&amp; FLOOR(Table2_1[[#This Row],[Age]],15)+14</f>
        <v>15-29</v>
      </c>
    </row>
    <row r="581" spans="1:20" x14ac:dyDescent="0.3">
      <c r="A581" s="18">
        <v>45414</v>
      </c>
      <c r="B581" s="17" t="s">
        <v>1463</v>
      </c>
      <c r="C581" s="17" t="s">
        <v>46</v>
      </c>
      <c r="D581" s="18">
        <v>35450</v>
      </c>
      <c r="E581" s="16" t="s">
        <v>68</v>
      </c>
      <c r="F581" s="31">
        <v>47</v>
      </c>
      <c r="G581" s="17" t="s">
        <v>59</v>
      </c>
      <c r="H581" s="17" t="s">
        <v>48</v>
      </c>
      <c r="I581" s="17" t="s">
        <v>17</v>
      </c>
      <c r="J581" s="27">
        <v>0.1</v>
      </c>
      <c r="K581" s="17" t="s">
        <v>932</v>
      </c>
      <c r="L581" s="32">
        <v>19</v>
      </c>
      <c r="M581" s="32">
        <f>_xlfn.XLOOKUP(Table2_1[[#This Row],[Product Code]],Product_Code,Unit_Price,0)</f>
        <v>23</v>
      </c>
      <c r="N581" s="31">
        <f>DATEDIF(Table2_1[[#This Row],[Buyer Date of Birth]],Table2_1[[#This Row],[Transaction  Date]],"Y")</f>
        <v>27</v>
      </c>
      <c r="O581" s="33">
        <v>893</v>
      </c>
      <c r="P581" s="33">
        <f>Table2_1[[#This Row],[Quantity Purchased]]*Table2_1[[#This Row],[UnitPrice]]*(1-Table2_1[[#This Row],[Discount]])</f>
        <v>972.9</v>
      </c>
      <c r="Q581" s="33">
        <f>Table2_1[[#This Row],[Revenue]]-Table2_1[[#This Row],[COGS]]</f>
        <v>79.899999999999977</v>
      </c>
      <c r="R581" s="39">
        <f>WEEKDAY(Table2_1[[#This Row],[Transaction  Date]])</f>
        <v>5</v>
      </c>
      <c r="S581" s="17" t="str">
        <f>IF(WEEKDAY(Table2_1[[#This Row],[Transaction  Date]],2)&lt;=5,"Weekday","Weekend")</f>
        <v>Weekday</v>
      </c>
      <c r="T581" s="37" t="str">
        <f>FLOOR(Table2_1[[#This Row],[Age]],15)&amp; "-"&amp; FLOOR(Table2_1[[#This Row],[Age]],15)+14</f>
        <v>15-29</v>
      </c>
    </row>
    <row r="582" spans="1:20" x14ac:dyDescent="0.3">
      <c r="A582" s="18">
        <v>45415</v>
      </c>
      <c r="B582" s="17" t="s">
        <v>1464</v>
      </c>
      <c r="C582" s="17" t="s">
        <v>51</v>
      </c>
      <c r="D582" s="18">
        <v>17608</v>
      </c>
      <c r="E582" s="16" t="s">
        <v>68</v>
      </c>
      <c r="F582" s="31">
        <v>73</v>
      </c>
      <c r="G582" s="17" t="s">
        <v>27</v>
      </c>
      <c r="H582" s="17" t="s">
        <v>52</v>
      </c>
      <c r="I582" s="17" t="s">
        <v>17</v>
      </c>
      <c r="J582" s="27">
        <v>0.1</v>
      </c>
      <c r="K582" s="17" t="s">
        <v>927</v>
      </c>
      <c r="L582" s="32">
        <v>18</v>
      </c>
      <c r="M582" s="32">
        <f>_xlfn.XLOOKUP(Table2_1[[#This Row],[Product Code]],Product_Code,Unit_Price,0)</f>
        <v>22</v>
      </c>
      <c r="N582" s="31">
        <f>DATEDIF(Table2_1[[#This Row],[Buyer Date of Birth]],Table2_1[[#This Row],[Transaction  Date]],"Y")</f>
        <v>76</v>
      </c>
      <c r="O582" s="33">
        <v>1314</v>
      </c>
      <c r="P582" s="33">
        <f>Table2_1[[#This Row],[Quantity Purchased]]*Table2_1[[#This Row],[UnitPrice]]*(1-Table2_1[[#This Row],[Discount]])</f>
        <v>1445.4</v>
      </c>
      <c r="Q582" s="33">
        <f>Table2_1[[#This Row],[Revenue]]-Table2_1[[#This Row],[COGS]]</f>
        <v>131.40000000000009</v>
      </c>
      <c r="R582" s="39">
        <f>WEEKDAY(Table2_1[[#This Row],[Transaction  Date]])</f>
        <v>6</v>
      </c>
      <c r="S582" s="17" t="str">
        <f>IF(WEEKDAY(Table2_1[[#This Row],[Transaction  Date]],2)&lt;=5,"Weekday","Weekend")</f>
        <v>Weekday</v>
      </c>
      <c r="T582" s="37" t="str">
        <f>FLOOR(Table2_1[[#This Row],[Age]],15)&amp; "-"&amp; FLOOR(Table2_1[[#This Row],[Age]],15)+14</f>
        <v>75-89</v>
      </c>
    </row>
    <row r="583" spans="1:20" x14ac:dyDescent="0.3">
      <c r="A583" s="18">
        <v>45415</v>
      </c>
      <c r="B583" s="17" t="s">
        <v>1465</v>
      </c>
      <c r="C583" s="17" t="s">
        <v>94</v>
      </c>
      <c r="D583" s="18">
        <v>16849</v>
      </c>
      <c r="E583" s="16" t="s">
        <v>14</v>
      </c>
      <c r="F583" s="31">
        <v>299</v>
      </c>
      <c r="G583" s="17" t="s">
        <v>64</v>
      </c>
      <c r="H583" s="17" t="s">
        <v>48</v>
      </c>
      <c r="I583" s="17" t="s">
        <v>17</v>
      </c>
      <c r="J583" s="27">
        <v>0.1</v>
      </c>
      <c r="K583" s="17" t="s">
        <v>933</v>
      </c>
      <c r="L583" s="32">
        <v>5</v>
      </c>
      <c r="M583" s="32">
        <f>_xlfn.XLOOKUP(Table2_1[[#This Row],[Product Code]],Product_Code,Unit_Price,0)</f>
        <v>7</v>
      </c>
      <c r="N583" s="31">
        <f>DATEDIF(Table2_1[[#This Row],[Buyer Date of Birth]],Table2_1[[#This Row],[Transaction  Date]],"Y")</f>
        <v>78</v>
      </c>
      <c r="O583" s="33">
        <v>1495</v>
      </c>
      <c r="P583" s="33">
        <f>Table2_1[[#This Row],[Quantity Purchased]]*Table2_1[[#This Row],[UnitPrice]]*(1-Table2_1[[#This Row],[Discount]])</f>
        <v>1883.7</v>
      </c>
      <c r="Q583" s="33">
        <f>Table2_1[[#This Row],[Revenue]]-Table2_1[[#This Row],[COGS]]</f>
        <v>388.70000000000005</v>
      </c>
      <c r="R583" s="39">
        <f>WEEKDAY(Table2_1[[#This Row],[Transaction  Date]])</f>
        <v>6</v>
      </c>
      <c r="S583" s="17" t="str">
        <f>IF(WEEKDAY(Table2_1[[#This Row],[Transaction  Date]],2)&lt;=5,"Weekday","Weekend")</f>
        <v>Weekday</v>
      </c>
      <c r="T583" s="37" t="str">
        <f>FLOOR(Table2_1[[#This Row],[Age]],15)&amp; "-"&amp; FLOOR(Table2_1[[#This Row],[Age]],15)+14</f>
        <v>75-89</v>
      </c>
    </row>
    <row r="584" spans="1:20" x14ac:dyDescent="0.3">
      <c r="A584" s="18">
        <v>45415</v>
      </c>
      <c r="B584" s="17" t="s">
        <v>1466</v>
      </c>
      <c r="C584" s="17" t="s">
        <v>78</v>
      </c>
      <c r="D584" s="18">
        <v>38725</v>
      </c>
      <c r="E584" s="16" t="s">
        <v>20</v>
      </c>
      <c r="F584" s="31">
        <v>84</v>
      </c>
      <c r="G584" s="17" t="s">
        <v>34</v>
      </c>
      <c r="H584" s="17" t="s">
        <v>48</v>
      </c>
      <c r="I584" s="17" t="s">
        <v>17</v>
      </c>
      <c r="J584" s="27">
        <v>0.1</v>
      </c>
      <c r="K584" s="17" t="s">
        <v>930</v>
      </c>
      <c r="L584" s="32">
        <v>14</v>
      </c>
      <c r="M584" s="32">
        <f>_xlfn.XLOOKUP(Table2_1[[#This Row],[Product Code]],Product_Code,Unit_Price,0)</f>
        <v>28</v>
      </c>
      <c r="N584" s="31">
        <f>DATEDIF(Table2_1[[#This Row],[Buyer Date of Birth]],Table2_1[[#This Row],[Transaction  Date]],"Y")</f>
        <v>18</v>
      </c>
      <c r="O584" s="33">
        <v>1176</v>
      </c>
      <c r="P584" s="33">
        <f>Table2_1[[#This Row],[Quantity Purchased]]*Table2_1[[#This Row],[UnitPrice]]*(1-Table2_1[[#This Row],[Discount]])</f>
        <v>2116.8000000000002</v>
      </c>
      <c r="Q584" s="33">
        <f>Table2_1[[#This Row],[Revenue]]-Table2_1[[#This Row],[COGS]]</f>
        <v>940.80000000000018</v>
      </c>
      <c r="R584" s="39">
        <f>WEEKDAY(Table2_1[[#This Row],[Transaction  Date]])</f>
        <v>6</v>
      </c>
      <c r="S584" s="17" t="str">
        <f>IF(WEEKDAY(Table2_1[[#This Row],[Transaction  Date]],2)&lt;=5,"Weekday","Weekend")</f>
        <v>Weekday</v>
      </c>
      <c r="T584" s="37" t="str">
        <f>FLOOR(Table2_1[[#This Row],[Age]],15)&amp; "-"&amp; FLOOR(Table2_1[[#This Row],[Age]],15)+14</f>
        <v>15-29</v>
      </c>
    </row>
    <row r="585" spans="1:20" x14ac:dyDescent="0.3">
      <c r="A585" s="18">
        <v>45416</v>
      </c>
      <c r="B585" s="17" t="s">
        <v>1467</v>
      </c>
      <c r="C585" s="17" t="s">
        <v>55</v>
      </c>
      <c r="D585" s="18">
        <v>37595</v>
      </c>
      <c r="E585" s="16" t="s">
        <v>33</v>
      </c>
      <c r="F585" s="31">
        <v>397</v>
      </c>
      <c r="G585" s="17" t="s">
        <v>27</v>
      </c>
      <c r="H585" s="17" t="s">
        <v>28</v>
      </c>
      <c r="I585" s="17" t="s">
        <v>17</v>
      </c>
      <c r="J585" s="27">
        <v>0.1</v>
      </c>
      <c r="K585" s="17" t="s">
        <v>927</v>
      </c>
      <c r="L585" s="32">
        <v>18</v>
      </c>
      <c r="M585" s="32">
        <f>_xlfn.XLOOKUP(Table2_1[[#This Row],[Product Code]],Product_Code,Unit_Price,0)</f>
        <v>22</v>
      </c>
      <c r="N585" s="31">
        <f>DATEDIF(Table2_1[[#This Row],[Buyer Date of Birth]],Table2_1[[#This Row],[Transaction  Date]],"Y")</f>
        <v>21</v>
      </c>
      <c r="O585" s="33">
        <v>7146</v>
      </c>
      <c r="P585" s="33">
        <f>Table2_1[[#This Row],[Quantity Purchased]]*Table2_1[[#This Row],[UnitPrice]]*(1-Table2_1[[#This Row],[Discount]])</f>
        <v>7860.6</v>
      </c>
      <c r="Q585" s="33">
        <f>Table2_1[[#This Row],[Revenue]]-Table2_1[[#This Row],[COGS]]</f>
        <v>714.60000000000036</v>
      </c>
      <c r="R585" s="39">
        <f>WEEKDAY(Table2_1[[#This Row],[Transaction  Date]])</f>
        <v>7</v>
      </c>
      <c r="S585" s="17" t="str">
        <f>IF(WEEKDAY(Table2_1[[#This Row],[Transaction  Date]],2)&lt;=5,"Weekday","Weekend")</f>
        <v>Weekend</v>
      </c>
      <c r="T585" s="37" t="str">
        <f>FLOOR(Table2_1[[#This Row],[Age]],15)&amp; "-"&amp; FLOOR(Table2_1[[#This Row],[Age]],15)+14</f>
        <v>15-29</v>
      </c>
    </row>
    <row r="586" spans="1:20" x14ac:dyDescent="0.3">
      <c r="A586" s="18">
        <v>45416</v>
      </c>
      <c r="B586" s="17" t="s">
        <v>1468</v>
      </c>
      <c r="C586" s="17" t="s">
        <v>83</v>
      </c>
      <c r="D586" s="18">
        <v>18737</v>
      </c>
      <c r="E586" s="16" t="s">
        <v>14</v>
      </c>
      <c r="F586" s="31">
        <v>127</v>
      </c>
      <c r="G586" s="17" t="s">
        <v>21</v>
      </c>
      <c r="H586" s="17" t="s">
        <v>28</v>
      </c>
      <c r="I586" s="17" t="s">
        <v>17</v>
      </c>
      <c r="J586" s="27">
        <v>0.1</v>
      </c>
      <c r="K586" s="17" t="s">
        <v>934</v>
      </c>
      <c r="L586" s="32">
        <v>10</v>
      </c>
      <c r="M586" s="32">
        <f>_xlfn.XLOOKUP(Table2_1[[#This Row],[Product Code]],Product_Code,Unit_Price,0)</f>
        <v>45</v>
      </c>
      <c r="N586" s="31">
        <f>DATEDIF(Table2_1[[#This Row],[Buyer Date of Birth]],Table2_1[[#This Row],[Transaction  Date]],"Y")</f>
        <v>73</v>
      </c>
      <c r="O586" s="33">
        <v>1270</v>
      </c>
      <c r="P586" s="33">
        <f>Table2_1[[#This Row],[Quantity Purchased]]*Table2_1[[#This Row],[UnitPrice]]*(1-Table2_1[[#This Row],[Discount]])</f>
        <v>5143.5</v>
      </c>
      <c r="Q586" s="33">
        <f>Table2_1[[#This Row],[Revenue]]-Table2_1[[#This Row],[COGS]]</f>
        <v>3873.5</v>
      </c>
      <c r="R586" s="39">
        <f>WEEKDAY(Table2_1[[#This Row],[Transaction  Date]])</f>
        <v>7</v>
      </c>
      <c r="S586" s="17" t="str">
        <f>IF(WEEKDAY(Table2_1[[#This Row],[Transaction  Date]],2)&lt;=5,"Weekday","Weekend")</f>
        <v>Weekend</v>
      </c>
      <c r="T586" s="37" t="str">
        <f>FLOOR(Table2_1[[#This Row],[Age]],15)&amp; "-"&amp; FLOOR(Table2_1[[#This Row],[Age]],15)+14</f>
        <v>60-74</v>
      </c>
    </row>
    <row r="587" spans="1:20" x14ac:dyDescent="0.3">
      <c r="A587" s="18">
        <v>45416</v>
      </c>
      <c r="B587" s="17" t="s">
        <v>1469</v>
      </c>
      <c r="C587" s="17" t="s">
        <v>13</v>
      </c>
      <c r="D587" s="18">
        <v>25886</v>
      </c>
      <c r="E587" s="16" t="s">
        <v>33</v>
      </c>
      <c r="F587" s="31">
        <v>434</v>
      </c>
      <c r="G587" s="17" t="s">
        <v>21</v>
      </c>
      <c r="H587" s="17" t="s">
        <v>52</v>
      </c>
      <c r="I587" s="17" t="s">
        <v>17</v>
      </c>
      <c r="J587" s="27">
        <v>0.1</v>
      </c>
      <c r="K587" s="17" t="s">
        <v>934</v>
      </c>
      <c r="L587" s="32">
        <v>10</v>
      </c>
      <c r="M587" s="32">
        <f>_xlfn.XLOOKUP(Table2_1[[#This Row],[Product Code]],Product_Code,Unit_Price,0)</f>
        <v>45</v>
      </c>
      <c r="N587" s="31">
        <f>DATEDIF(Table2_1[[#This Row],[Buyer Date of Birth]],Table2_1[[#This Row],[Transaction  Date]],"Y")</f>
        <v>53</v>
      </c>
      <c r="O587" s="33">
        <v>4340</v>
      </c>
      <c r="P587" s="33">
        <f>Table2_1[[#This Row],[Quantity Purchased]]*Table2_1[[#This Row],[UnitPrice]]*(1-Table2_1[[#This Row],[Discount]])</f>
        <v>17577</v>
      </c>
      <c r="Q587" s="33">
        <f>Table2_1[[#This Row],[Revenue]]-Table2_1[[#This Row],[COGS]]</f>
        <v>13237</v>
      </c>
      <c r="R587" s="39">
        <f>WEEKDAY(Table2_1[[#This Row],[Transaction  Date]])</f>
        <v>7</v>
      </c>
      <c r="S587" s="17" t="str">
        <f>IF(WEEKDAY(Table2_1[[#This Row],[Transaction  Date]],2)&lt;=5,"Weekday","Weekend")</f>
        <v>Weekend</v>
      </c>
      <c r="T587" s="37" t="str">
        <f>FLOOR(Table2_1[[#This Row],[Age]],15)&amp; "-"&amp; FLOOR(Table2_1[[#This Row],[Age]],15)+14</f>
        <v>45-59</v>
      </c>
    </row>
    <row r="588" spans="1:20" x14ac:dyDescent="0.3">
      <c r="A588" s="18">
        <v>45416</v>
      </c>
      <c r="B588" s="17" t="s">
        <v>1470</v>
      </c>
      <c r="C588" s="17" t="s">
        <v>94</v>
      </c>
      <c r="D588" s="18">
        <v>20251</v>
      </c>
      <c r="E588" s="16" t="s">
        <v>33</v>
      </c>
      <c r="F588" s="31">
        <v>333</v>
      </c>
      <c r="G588" s="17" t="s">
        <v>42</v>
      </c>
      <c r="H588" s="17" t="s">
        <v>28</v>
      </c>
      <c r="I588" s="17" t="s">
        <v>17</v>
      </c>
      <c r="J588" s="27">
        <v>0.1</v>
      </c>
      <c r="K588" s="17" t="s">
        <v>926</v>
      </c>
      <c r="L588" s="32">
        <v>10</v>
      </c>
      <c r="M588" s="32">
        <f>_xlfn.XLOOKUP(Table2_1[[#This Row],[Product Code]],Product_Code,Unit_Price,0)</f>
        <v>11</v>
      </c>
      <c r="N588" s="31">
        <f>DATEDIF(Table2_1[[#This Row],[Buyer Date of Birth]],Table2_1[[#This Row],[Transaction  Date]],"Y")</f>
        <v>68</v>
      </c>
      <c r="O588" s="33">
        <v>3330</v>
      </c>
      <c r="P588" s="33">
        <f>Table2_1[[#This Row],[Quantity Purchased]]*Table2_1[[#This Row],[UnitPrice]]*(1-Table2_1[[#This Row],[Discount]])</f>
        <v>3296.7000000000003</v>
      </c>
      <c r="Q588" s="33">
        <f>Table2_1[[#This Row],[Revenue]]-Table2_1[[#This Row],[COGS]]</f>
        <v>-33.299999999999727</v>
      </c>
      <c r="R588" s="39">
        <f>WEEKDAY(Table2_1[[#This Row],[Transaction  Date]])</f>
        <v>7</v>
      </c>
      <c r="S588" s="17" t="str">
        <f>IF(WEEKDAY(Table2_1[[#This Row],[Transaction  Date]],2)&lt;=5,"Weekday","Weekend")</f>
        <v>Weekend</v>
      </c>
      <c r="T588" s="37" t="str">
        <f>FLOOR(Table2_1[[#This Row],[Age]],15)&amp; "-"&amp; FLOOR(Table2_1[[#This Row],[Age]],15)+14</f>
        <v>60-74</v>
      </c>
    </row>
    <row r="589" spans="1:20" x14ac:dyDescent="0.3">
      <c r="A589" s="18">
        <v>45417</v>
      </c>
      <c r="B589" s="17" t="s">
        <v>1471</v>
      </c>
      <c r="C589" s="17" t="s">
        <v>83</v>
      </c>
      <c r="D589" s="18">
        <v>21086</v>
      </c>
      <c r="E589" s="16" t="s">
        <v>68</v>
      </c>
      <c r="F589" s="31">
        <v>443</v>
      </c>
      <c r="G589" s="17" t="s">
        <v>59</v>
      </c>
      <c r="H589" s="17" t="s">
        <v>48</v>
      </c>
      <c r="I589" s="17" t="s">
        <v>17</v>
      </c>
      <c r="J589" s="27">
        <v>0.1</v>
      </c>
      <c r="K589" s="17" t="s">
        <v>932</v>
      </c>
      <c r="L589" s="32">
        <v>19</v>
      </c>
      <c r="M589" s="32">
        <f>_xlfn.XLOOKUP(Table2_1[[#This Row],[Product Code]],Product_Code,Unit_Price,0)</f>
        <v>23</v>
      </c>
      <c r="N589" s="31">
        <f>DATEDIF(Table2_1[[#This Row],[Buyer Date of Birth]],Table2_1[[#This Row],[Transaction  Date]],"Y")</f>
        <v>66</v>
      </c>
      <c r="O589" s="33">
        <v>8417</v>
      </c>
      <c r="P589" s="33">
        <f>Table2_1[[#This Row],[Quantity Purchased]]*Table2_1[[#This Row],[UnitPrice]]*(1-Table2_1[[#This Row],[Discount]])</f>
        <v>9170.1</v>
      </c>
      <c r="Q589" s="33">
        <f>Table2_1[[#This Row],[Revenue]]-Table2_1[[#This Row],[COGS]]</f>
        <v>753.10000000000036</v>
      </c>
      <c r="R589" s="39">
        <f>WEEKDAY(Table2_1[[#This Row],[Transaction  Date]])</f>
        <v>1</v>
      </c>
      <c r="S589" s="17" t="str">
        <f>IF(WEEKDAY(Table2_1[[#This Row],[Transaction  Date]],2)&lt;=5,"Weekday","Weekend")</f>
        <v>Weekend</v>
      </c>
      <c r="T589" s="37" t="str">
        <f>FLOOR(Table2_1[[#This Row],[Age]],15)&amp; "-"&amp; FLOOR(Table2_1[[#This Row],[Age]],15)+14</f>
        <v>60-74</v>
      </c>
    </row>
    <row r="590" spans="1:20" x14ac:dyDescent="0.3">
      <c r="A590" s="18">
        <v>45417</v>
      </c>
      <c r="B590" s="17" t="s">
        <v>1868</v>
      </c>
      <c r="C590" s="17" t="s">
        <v>94</v>
      </c>
      <c r="D590" s="18">
        <v>19535</v>
      </c>
      <c r="E590" s="16" t="s">
        <v>68</v>
      </c>
      <c r="F590" s="31">
        <v>209</v>
      </c>
      <c r="G590" s="17" t="s">
        <v>15</v>
      </c>
      <c r="H590" s="17" t="s">
        <v>48</v>
      </c>
      <c r="I590" s="17" t="s">
        <v>17</v>
      </c>
      <c r="J590" s="27">
        <v>0.1</v>
      </c>
      <c r="K590" s="17" t="s">
        <v>929</v>
      </c>
      <c r="L590" s="32">
        <v>10</v>
      </c>
      <c r="M590" s="32">
        <f>_xlfn.XLOOKUP(Table2_1[[#This Row],[Product Code]],Product_Code,Unit_Price,0)</f>
        <v>14</v>
      </c>
      <c r="N590" s="31">
        <f>DATEDIF(Table2_1[[#This Row],[Buyer Date of Birth]],Table2_1[[#This Row],[Transaction  Date]],"Y")</f>
        <v>70</v>
      </c>
      <c r="O590" s="33">
        <v>2090</v>
      </c>
      <c r="P590" s="33">
        <f>Table2_1[[#This Row],[Quantity Purchased]]*Table2_1[[#This Row],[UnitPrice]]*(1-Table2_1[[#This Row],[Discount]])</f>
        <v>2633.4</v>
      </c>
      <c r="Q590" s="33">
        <f>Table2_1[[#This Row],[Revenue]]-Table2_1[[#This Row],[COGS]]</f>
        <v>543.40000000000009</v>
      </c>
      <c r="R590" s="39">
        <f>WEEKDAY(Table2_1[[#This Row],[Transaction  Date]])</f>
        <v>1</v>
      </c>
      <c r="S590" s="17" t="str">
        <f>IF(WEEKDAY(Table2_1[[#This Row],[Transaction  Date]],2)&lt;=5,"Weekday","Weekend")</f>
        <v>Weekend</v>
      </c>
      <c r="T590" s="37" t="str">
        <f>FLOOR(Table2_1[[#This Row],[Age]],15)&amp; "-"&amp; FLOOR(Table2_1[[#This Row],[Age]],15)+14</f>
        <v>60-74</v>
      </c>
    </row>
    <row r="591" spans="1:20" x14ac:dyDescent="0.3">
      <c r="A591" s="18">
        <v>45417</v>
      </c>
      <c r="B591" s="17" t="s">
        <v>1472</v>
      </c>
      <c r="C591" s="17" t="s">
        <v>78</v>
      </c>
      <c r="D591" s="18">
        <v>25205</v>
      </c>
      <c r="E591" s="16" t="s">
        <v>20</v>
      </c>
      <c r="F591" s="31">
        <v>454</v>
      </c>
      <c r="G591" s="17" t="s">
        <v>34</v>
      </c>
      <c r="H591" s="17" t="s">
        <v>48</v>
      </c>
      <c r="I591" s="17" t="s">
        <v>17</v>
      </c>
      <c r="J591" s="27">
        <v>0.1</v>
      </c>
      <c r="K591" s="17" t="s">
        <v>930</v>
      </c>
      <c r="L591" s="32">
        <v>14</v>
      </c>
      <c r="M591" s="32">
        <f>_xlfn.XLOOKUP(Table2_1[[#This Row],[Product Code]],Product_Code,Unit_Price,0)</f>
        <v>28</v>
      </c>
      <c r="N591" s="31">
        <f>DATEDIF(Table2_1[[#This Row],[Buyer Date of Birth]],Table2_1[[#This Row],[Transaction  Date]],"Y")</f>
        <v>55</v>
      </c>
      <c r="O591" s="33">
        <v>6356</v>
      </c>
      <c r="P591" s="33">
        <f>Table2_1[[#This Row],[Quantity Purchased]]*Table2_1[[#This Row],[UnitPrice]]*(1-Table2_1[[#This Row],[Discount]])</f>
        <v>11440.800000000001</v>
      </c>
      <c r="Q591" s="33">
        <f>Table2_1[[#This Row],[Revenue]]-Table2_1[[#This Row],[COGS]]</f>
        <v>5084.8000000000011</v>
      </c>
      <c r="R591" s="39">
        <f>WEEKDAY(Table2_1[[#This Row],[Transaction  Date]])</f>
        <v>1</v>
      </c>
      <c r="S591" s="17" t="str">
        <f>IF(WEEKDAY(Table2_1[[#This Row],[Transaction  Date]],2)&lt;=5,"Weekday","Weekend")</f>
        <v>Weekend</v>
      </c>
      <c r="T591" s="37" t="str">
        <f>FLOOR(Table2_1[[#This Row],[Age]],15)&amp; "-"&amp; FLOOR(Table2_1[[#This Row],[Age]],15)+14</f>
        <v>45-59</v>
      </c>
    </row>
    <row r="592" spans="1:20" x14ac:dyDescent="0.3">
      <c r="A592" s="18">
        <v>45418</v>
      </c>
      <c r="B592" s="17" t="s">
        <v>1473</v>
      </c>
      <c r="C592" s="17" t="s">
        <v>46</v>
      </c>
      <c r="D592" s="18">
        <v>30884</v>
      </c>
      <c r="E592" s="16" t="s">
        <v>14</v>
      </c>
      <c r="F592" s="31">
        <v>72</v>
      </c>
      <c r="G592" s="17" t="s">
        <v>34</v>
      </c>
      <c r="H592" s="17" t="s">
        <v>48</v>
      </c>
      <c r="I592" s="17" t="s">
        <v>17</v>
      </c>
      <c r="J592" s="27">
        <v>0.1</v>
      </c>
      <c r="K592" s="17" t="s">
        <v>930</v>
      </c>
      <c r="L592" s="32">
        <v>14</v>
      </c>
      <c r="M592" s="32">
        <f>_xlfn.XLOOKUP(Table2_1[[#This Row],[Product Code]],Product_Code,Unit_Price,0)</f>
        <v>28</v>
      </c>
      <c r="N592" s="31">
        <f>DATEDIF(Table2_1[[#This Row],[Buyer Date of Birth]],Table2_1[[#This Row],[Transaction  Date]],"Y")</f>
        <v>39</v>
      </c>
      <c r="O592" s="33">
        <v>1008</v>
      </c>
      <c r="P592" s="33">
        <f>Table2_1[[#This Row],[Quantity Purchased]]*Table2_1[[#This Row],[UnitPrice]]*(1-Table2_1[[#This Row],[Discount]])</f>
        <v>1814.4</v>
      </c>
      <c r="Q592" s="33">
        <f>Table2_1[[#This Row],[Revenue]]-Table2_1[[#This Row],[COGS]]</f>
        <v>806.40000000000009</v>
      </c>
      <c r="R592" s="39">
        <f>WEEKDAY(Table2_1[[#This Row],[Transaction  Date]])</f>
        <v>2</v>
      </c>
      <c r="S592" s="17" t="str">
        <f>IF(WEEKDAY(Table2_1[[#This Row],[Transaction  Date]],2)&lt;=5,"Weekday","Weekend")</f>
        <v>Weekday</v>
      </c>
      <c r="T592" s="37" t="str">
        <f>FLOOR(Table2_1[[#This Row],[Age]],15)&amp; "-"&amp; FLOOR(Table2_1[[#This Row],[Age]],15)+14</f>
        <v>30-44</v>
      </c>
    </row>
    <row r="593" spans="1:20" x14ac:dyDescent="0.3">
      <c r="A593" s="18">
        <v>45418</v>
      </c>
      <c r="B593" s="17" t="s">
        <v>1474</v>
      </c>
      <c r="C593" s="17" t="s">
        <v>78</v>
      </c>
      <c r="D593" s="18">
        <v>30987</v>
      </c>
      <c r="E593" s="16" t="s">
        <v>20</v>
      </c>
      <c r="F593" s="31">
        <v>165</v>
      </c>
      <c r="G593" s="17" t="s">
        <v>21</v>
      </c>
      <c r="H593" s="17" t="s">
        <v>48</v>
      </c>
      <c r="I593" s="17" t="s">
        <v>17</v>
      </c>
      <c r="J593" s="27">
        <v>0.1</v>
      </c>
      <c r="K593" s="17" t="s">
        <v>934</v>
      </c>
      <c r="L593" s="32">
        <v>10</v>
      </c>
      <c r="M593" s="32">
        <f>_xlfn.XLOOKUP(Table2_1[[#This Row],[Product Code]],Product_Code,Unit_Price,0)</f>
        <v>45</v>
      </c>
      <c r="N593" s="31">
        <f>DATEDIF(Table2_1[[#This Row],[Buyer Date of Birth]],Table2_1[[#This Row],[Transaction  Date]],"Y")</f>
        <v>39</v>
      </c>
      <c r="O593" s="33">
        <v>1650</v>
      </c>
      <c r="P593" s="33">
        <f>Table2_1[[#This Row],[Quantity Purchased]]*Table2_1[[#This Row],[UnitPrice]]*(1-Table2_1[[#This Row],[Discount]])</f>
        <v>6682.5</v>
      </c>
      <c r="Q593" s="33">
        <f>Table2_1[[#This Row],[Revenue]]-Table2_1[[#This Row],[COGS]]</f>
        <v>5032.5</v>
      </c>
      <c r="R593" s="39">
        <f>WEEKDAY(Table2_1[[#This Row],[Transaction  Date]])</f>
        <v>2</v>
      </c>
      <c r="S593" s="17" t="str">
        <f>IF(WEEKDAY(Table2_1[[#This Row],[Transaction  Date]],2)&lt;=5,"Weekday","Weekend")</f>
        <v>Weekday</v>
      </c>
      <c r="T593" s="37" t="str">
        <f>FLOOR(Table2_1[[#This Row],[Age]],15)&amp; "-"&amp; FLOOR(Table2_1[[#This Row],[Age]],15)+14</f>
        <v>30-44</v>
      </c>
    </row>
    <row r="594" spans="1:20" x14ac:dyDescent="0.3">
      <c r="A594" s="18">
        <v>45418</v>
      </c>
      <c r="B594" s="17" t="s">
        <v>1869</v>
      </c>
      <c r="C594" s="17" t="s">
        <v>71</v>
      </c>
      <c r="D594" s="18">
        <v>24780</v>
      </c>
      <c r="E594" s="16" t="s">
        <v>68</v>
      </c>
      <c r="F594" s="31">
        <v>232</v>
      </c>
      <c r="G594" s="17" t="s">
        <v>65</v>
      </c>
      <c r="H594" s="17" t="s">
        <v>39</v>
      </c>
      <c r="I594" s="17" t="s">
        <v>17</v>
      </c>
      <c r="J594" s="27">
        <v>0.1</v>
      </c>
      <c r="K594" s="17" t="s">
        <v>928</v>
      </c>
      <c r="L594" s="32">
        <v>3</v>
      </c>
      <c r="M594" s="32">
        <f>_xlfn.XLOOKUP(Table2_1[[#This Row],[Product Code]],Product_Code,Unit_Price,0)</f>
        <v>5</v>
      </c>
      <c r="N594" s="31">
        <f>DATEDIF(Table2_1[[#This Row],[Buyer Date of Birth]],Table2_1[[#This Row],[Transaction  Date]],"Y")</f>
        <v>56</v>
      </c>
      <c r="O594" s="33">
        <v>696</v>
      </c>
      <c r="P594" s="33">
        <f>Table2_1[[#This Row],[Quantity Purchased]]*Table2_1[[#This Row],[UnitPrice]]*(1-Table2_1[[#This Row],[Discount]])</f>
        <v>1044</v>
      </c>
      <c r="Q594" s="33">
        <f>Table2_1[[#This Row],[Revenue]]-Table2_1[[#This Row],[COGS]]</f>
        <v>348</v>
      </c>
      <c r="R594" s="39">
        <f>WEEKDAY(Table2_1[[#This Row],[Transaction  Date]])</f>
        <v>2</v>
      </c>
      <c r="S594" s="17" t="str">
        <f>IF(WEEKDAY(Table2_1[[#This Row],[Transaction  Date]],2)&lt;=5,"Weekday","Weekend")</f>
        <v>Weekday</v>
      </c>
      <c r="T594" s="37" t="str">
        <f>FLOOR(Table2_1[[#This Row],[Age]],15)&amp; "-"&amp; FLOOR(Table2_1[[#This Row],[Age]],15)+14</f>
        <v>45-59</v>
      </c>
    </row>
    <row r="595" spans="1:20" x14ac:dyDescent="0.3">
      <c r="A595" s="18">
        <v>45418</v>
      </c>
      <c r="B595" s="17" t="s">
        <v>1475</v>
      </c>
      <c r="C595" s="17" t="s">
        <v>83</v>
      </c>
      <c r="D595" s="18">
        <v>25724</v>
      </c>
      <c r="E595" s="16" t="s">
        <v>14</v>
      </c>
      <c r="F595" s="31">
        <v>439</v>
      </c>
      <c r="G595" s="17" t="s">
        <v>56</v>
      </c>
      <c r="H595" s="17" t="s">
        <v>43</v>
      </c>
      <c r="I595" s="17" t="s">
        <v>17</v>
      </c>
      <c r="J595" s="27">
        <v>0.1</v>
      </c>
      <c r="K595" s="17" t="s">
        <v>935</v>
      </c>
      <c r="L595" s="32">
        <v>18</v>
      </c>
      <c r="M595" s="32">
        <f>_xlfn.XLOOKUP(Table2_1[[#This Row],[Product Code]],Product_Code,Unit_Price,0)</f>
        <v>36</v>
      </c>
      <c r="N595" s="31">
        <f>DATEDIF(Table2_1[[#This Row],[Buyer Date of Birth]],Table2_1[[#This Row],[Transaction  Date]],"Y")</f>
        <v>53</v>
      </c>
      <c r="O595" s="33">
        <v>7902</v>
      </c>
      <c r="P595" s="33">
        <f>Table2_1[[#This Row],[Quantity Purchased]]*Table2_1[[#This Row],[UnitPrice]]*(1-Table2_1[[#This Row],[Discount]])</f>
        <v>14223.6</v>
      </c>
      <c r="Q595" s="33">
        <f>Table2_1[[#This Row],[Revenue]]-Table2_1[[#This Row],[COGS]]</f>
        <v>6321.6</v>
      </c>
      <c r="R595" s="39">
        <f>WEEKDAY(Table2_1[[#This Row],[Transaction  Date]])</f>
        <v>2</v>
      </c>
      <c r="S595" s="17" t="str">
        <f>IF(WEEKDAY(Table2_1[[#This Row],[Transaction  Date]],2)&lt;=5,"Weekday","Weekend")</f>
        <v>Weekday</v>
      </c>
      <c r="T595" s="37" t="str">
        <f>FLOOR(Table2_1[[#This Row],[Age]],15)&amp; "-"&amp; FLOOR(Table2_1[[#This Row],[Age]],15)+14</f>
        <v>45-59</v>
      </c>
    </row>
    <row r="596" spans="1:20" x14ac:dyDescent="0.3">
      <c r="A596" s="18">
        <v>45418</v>
      </c>
      <c r="B596" s="17" t="s">
        <v>1476</v>
      </c>
      <c r="C596" s="17" t="s">
        <v>13</v>
      </c>
      <c r="D596" s="18">
        <v>31970</v>
      </c>
      <c r="E596" s="16" t="s">
        <v>20</v>
      </c>
      <c r="F596" s="31">
        <v>261</v>
      </c>
      <c r="G596" s="17" t="s">
        <v>15</v>
      </c>
      <c r="H596" s="17" t="s">
        <v>48</v>
      </c>
      <c r="I596" s="17" t="s">
        <v>17</v>
      </c>
      <c r="J596" s="27">
        <v>0.1</v>
      </c>
      <c r="K596" s="17" t="s">
        <v>929</v>
      </c>
      <c r="L596" s="32">
        <v>10</v>
      </c>
      <c r="M596" s="32">
        <f>_xlfn.XLOOKUP(Table2_1[[#This Row],[Product Code]],Product_Code,Unit_Price,0)</f>
        <v>14</v>
      </c>
      <c r="N596" s="31">
        <f>DATEDIF(Table2_1[[#This Row],[Buyer Date of Birth]],Table2_1[[#This Row],[Transaction  Date]],"Y")</f>
        <v>36</v>
      </c>
      <c r="O596" s="33">
        <v>2610</v>
      </c>
      <c r="P596" s="33">
        <f>Table2_1[[#This Row],[Quantity Purchased]]*Table2_1[[#This Row],[UnitPrice]]*(1-Table2_1[[#This Row],[Discount]])</f>
        <v>3288.6</v>
      </c>
      <c r="Q596" s="33">
        <f>Table2_1[[#This Row],[Revenue]]-Table2_1[[#This Row],[COGS]]</f>
        <v>678.59999999999991</v>
      </c>
      <c r="R596" s="39">
        <f>WEEKDAY(Table2_1[[#This Row],[Transaction  Date]])</f>
        <v>2</v>
      </c>
      <c r="S596" s="17" t="str">
        <f>IF(WEEKDAY(Table2_1[[#This Row],[Transaction  Date]],2)&lt;=5,"Weekday","Weekend")</f>
        <v>Weekday</v>
      </c>
      <c r="T596" s="37" t="str">
        <f>FLOOR(Table2_1[[#This Row],[Age]],15)&amp; "-"&amp; FLOOR(Table2_1[[#This Row],[Age]],15)+14</f>
        <v>30-44</v>
      </c>
    </row>
    <row r="597" spans="1:20" x14ac:dyDescent="0.3">
      <c r="A597" s="18">
        <v>45418</v>
      </c>
      <c r="B597" s="17" t="s">
        <v>1477</v>
      </c>
      <c r="C597" s="17" t="s">
        <v>51</v>
      </c>
      <c r="D597" s="18">
        <v>37761</v>
      </c>
      <c r="E597" s="16" t="s">
        <v>68</v>
      </c>
      <c r="F597" s="31">
        <v>468</v>
      </c>
      <c r="G597" s="17" t="s">
        <v>34</v>
      </c>
      <c r="H597" s="17" t="s">
        <v>52</v>
      </c>
      <c r="I597" s="17" t="s">
        <v>17</v>
      </c>
      <c r="J597" s="27">
        <v>0.1</v>
      </c>
      <c r="K597" s="17" t="s">
        <v>930</v>
      </c>
      <c r="L597" s="32">
        <v>14</v>
      </c>
      <c r="M597" s="32">
        <f>_xlfn.XLOOKUP(Table2_1[[#This Row],[Product Code]],Product_Code,Unit_Price,0)</f>
        <v>28</v>
      </c>
      <c r="N597" s="31">
        <f>DATEDIF(Table2_1[[#This Row],[Buyer Date of Birth]],Table2_1[[#This Row],[Transaction  Date]],"Y")</f>
        <v>20</v>
      </c>
      <c r="O597" s="33">
        <v>6552</v>
      </c>
      <c r="P597" s="33">
        <f>Table2_1[[#This Row],[Quantity Purchased]]*Table2_1[[#This Row],[UnitPrice]]*(1-Table2_1[[#This Row],[Discount]])</f>
        <v>11793.6</v>
      </c>
      <c r="Q597" s="33">
        <f>Table2_1[[#This Row],[Revenue]]-Table2_1[[#This Row],[COGS]]</f>
        <v>5241.6000000000004</v>
      </c>
      <c r="R597" s="39">
        <f>WEEKDAY(Table2_1[[#This Row],[Transaction  Date]])</f>
        <v>2</v>
      </c>
      <c r="S597" s="17" t="str">
        <f>IF(WEEKDAY(Table2_1[[#This Row],[Transaction  Date]],2)&lt;=5,"Weekday","Weekend")</f>
        <v>Weekday</v>
      </c>
      <c r="T597" s="37" t="str">
        <f>FLOOR(Table2_1[[#This Row],[Age]],15)&amp; "-"&amp; FLOOR(Table2_1[[#This Row],[Age]],15)+14</f>
        <v>15-29</v>
      </c>
    </row>
    <row r="598" spans="1:20" x14ac:dyDescent="0.3">
      <c r="A598" s="18">
        <v>45418</v>
      </c>
      <c r="B598" s="17" t="s">
        <v>1870</v>
      </c>
      <c r="C598" s="17" t="s">
        <v>26</v>
      </c>
      <c r="D598" s="18">
        <v>25041</v>
      </c>
      <c r="E598" s="16" t="s">
        <v>14</v>
      </c>
      <c r="F598" s="31">
        <v>433</v>
      </c>
      <c r="G598" s="17" t="s">
        <v>15</v>
      </c>
      <c r="H598" s="17" t="s">
        <v>39</v>
      </c>
      <c r="I598" s="17" t="s">
        <v>17</v>
      </c>
      <c r="J598" s="27">
        <v>0.1</v>
      </c>
      <c r="K598" s="17" t="s">
        <v>929</v>
      </c>
      <c r="L598" s="32">
        <v>10</v>
      </c>
      <c r="M598" s="32">
        <f>_xlfn.XLOOKUP(Table2_1[[#This Row],[Product Code]],Product_Code,Unit_Price,0)</f>
        <v>14</v>
      </c>
      <c r="N598" s="31">
        <f>DATEDIF(Table2_1[[#This Row],[Buyer Date of Birth]],Table2_1[[#This Row],[Transaction  Date]],"Y")</f>
        <v>55</v>
      </c>
      <c r="O598" s="33">
        <v>4330</v>
      </c>
      <c r="P598" s="33">
        <f>Table2_1[[#This Row],[Quantity Purchased]]*Table2_1[[#This Row],[UnitPrice]]*(1-Table2_1[[#This Row],[Discount]])</f>
        <v>5455.8</v>
      </c>
      <c r="Q598" s="33">
        <f>Table2_1[[#This Row],[Revenue]]-Table2_1[[#This Row],[COGS]]</f>
        <v>1125.8000000000002</v>
      </c>
      <c r="R598" s="39">
        <f>WEEKDAY(Table2_1[[#This Row],[Transaction  Date]])</f>
        <v>2</v>
      </c>
      <c r="S598" s="17" t="str">
        <f>IF(WEEKDAY(Table2_1[[#This Row],[Transaction  Date]],2)&lt;=5,"Weekday","Weekend")</f>
        <v>Weekday</v>
      </c>
      <c r="T598" s="37" t="str">
        <f>FLOOR(Table2_1[[#This Row],[Age]],15)&amp; "-"&amp; FLOOR(Table2_1[[#This Row],[Age]],15)+14</f>
        <v>45-59</v>
      </c>
    </row>
    <row r="599" spans="1:20" x14ac:dyDescent="0.3">
      <c r="A599" s="18">
        <v>45419</v>
      </c>
      <c r="B599" s="17" t="s">
        <v>1478</v>
      </c>
      <c r="C599" s="17" t="s">
        <v>71</v>
      </c>
      <c r="D599" s="18">
        <v>20008</v>
      </c>
      <c r="E599" s="16" t="s">
        <v>14</v>
      </c>
      <c r="F599" s="31">
        <v>182</v>
      </c>
      <c r="G599" s="17" t="s">
        <v>56</v>
      </c>
      <c r="H599" s="17" t="s">
        <v>52</v>
      </c>
      <c r="I599" s="17" t="s">
        <v>17</v>
      </c>
      <c r="J599" s="27">
        <v>0.1</v>
      </c>
      <c r="K599" s="17" t="s">
        <v>935</v>
      </c>
      <c r="L599" s="32">
        <v>18</v>
      </c>
      <c r="M599" s="32">
        <f>_xlfn.XLOOKUP(Table2_1[[#This Row],[Product Code]],Product_Code,Unit_Price,0)</f>
        <v>36</v>
      </c>
      <c r="N599" s="31">
        <f>DATEDIF(Table2_1[[#This Row],[Buyer Date of Birth]],Table2_1[[#This Row],[Transaction  Date]],"Y")</f>
        <v>69</v>
      </c>
      <c r="O599" s="33">
        <v>3276</v>
      </c>
      <c r="P599" s="33">
        <f>Table2_1[[#This Row],[Quantity Purchased]]*Table2_1[[#This Row],[UnitPrice]]*(1-Table2_1[[#This Row],[Discount]])</f>
        <v>5896.8</v>
      </c>
      <c r="Q599" s="33">
        <f>Table2_1[[#This Row],[Revenue]]-Table2_1[[#This Row],[COGS]]</f>
        <v>2620.8000000000002</v>
      </c>
      <c r="R599" s="39">
        <f>WEEKDAY(Table2_1[[#This Row],[Transaction  Date]])</f>
        <v>3</v>
      </c>
      <c r="S599" s="17" t="str">
        <f>IF(WEEKDAY(Table2_1[[#This Row],[Transaction  Date]],2)&lt;=5,"Weekday","Weekend")</f>
        <v>Weekday</v>
      </c>
      <c r="T599" s="37" t="str">
        <f>FLOOR(Table2_1[[#This Row],[Age]],15)&amp; "-"&amp; FLOOR(Table2_1[[#This Row],[Age]],15)+14</f>
        <v>60-74</v>
      </c>
    </row>
    <row r="600" spans="1:20" x14ac:dyDescent="0.3">
      <c r="A600" s="18">
        <v>45419</v>
      </c>
      <c r="B600" s="17" t="s">
        <v>1479</v>
      </c>
      <c r="C600" s="17" t="s">
        <v>94</v>
      </c>
      <c r="D600" s="18">
        <v>37546</v>
      </c>
      <c r="E600" s="16" t="s">
        <v>68</v>
      </c>
      <c r="F600" s="31">
        <v>383</v>
      </c>
      <c r="G600" s="17" t="s">
        <v>56</v>
      </c>
      <c r="H600" s="17" t="s">
        <v>52</v>
      </c>
      <c r="I600" s="17" t="s">
        <v>17</v>
      </c>
      <c r="J600" s="27">
        <v>0.1</v>
      </c>
      <c r="K600" s="17" t="s">
        <v>935</v>
      </c>
      <c r="L600" s="32">
        <v>18</v>
      </c>
      <c r="M600" s="32">
        <f>_xlfn.XLOOKUP(Table2_1[[#This Row],[Product Code]],Product_Code,Unit_Price,0)</f>
        <v>36</v>
      </c>
      <c r="N600" s="31">
        <f>DATEDIF(Table2_1[[#This Row],[Buyer Date of Birth]],Table2_1[[#This Row],[Transaction  Date]],"Y")</f>
        <v>21</v>
      </c>
      <c r="O600" s="33">
        <v>6894</v>
      </c>
      <c r="P600" s="33">
        <f>Table2_1[[#This Row],[Quantity Purchased]]*Table2_1[[#This Row],[UnitPrice]]*(1-Table2_1[[#This Row],[Discount]])</f>
        <v>12409.2</v>
      </c>
      <c r="Q600" s="33">
        <f>Table2_1[[#This Row],[Revenue]]-Table2_1[[#This Row],[COGS]]</f>
        <v>5515.2000000000007</v>
      </c>
      <c r="R600" s="39">
        <f>WEEKDAY(Table2_1[[#This Row],[Transaction  Date]])</f>
        <v>3</v>
      </c>
      <c r="S600" s="17" t="str">
        <f>IF(WEEKDAY(Table2_1[[#This Row],[Transaction  Date]],2)&lt;=5,"Weekday","Weekend")</f>
        <v>Weekday</v>
      </c>
      <c r="T600" s="37" t="str">
        <f>FLOOR(Table2_1[[#This Row],[Age]],15)&amp; "-"&amp; FLOOR(Table2_1[[#This Row],[Age]],15)+14</f>
        <v>15-29</v>
      </c>
    </row>
    <row r="601" spans="1:20" x14ac:dyDescent="0.3">
      <c r="A601" s="18">
        <v>45419</v>
      </c>
      <c r="B601" s="17" t="s">
        <v>1480</v>
      </c>
      <c r="C601" s="17" t="s">
        <v>94</v>
      </c>
      <c r="D601" s="18">
        <v>35419</v>
      </c>
      <c r="E601" s="16" t="s">
        <v>14</v>
      </c>
      <c r="F601" s="31">
        <v>198</v>
      </c>
      <c r="G601" s="17" t="s">
        <v>27</v>
      </c>
      <c r="H601" s="17" t="s">
        <v>35</v>
      </c>
      <c r="I601" s="17" t="s">
        <v>17</v>
      </c>
      <c r="J601" s="27">
        <v>0.1</v>
      </c>
      <c r="K601" s="17" t="s">
        <v>927</v>
      </c>
      <c r="L601" s="32">
        <v>18</v>
      </c>
      <c r="M601" s="32">
        <f>_xlfn.XLOOKUP(Table2_1[[#This Row],[Product Code]],Product_Code,Unit_Price,0)</f>
        <v>22</v>
      </c>
      <c r="N601" s="31">
        <f>DATEDIF(Table2_1[[#This Row],[Buyer Date of Birth]],Table2_1[[#This Row],[Transaction  Date]],"Y")</f>
        <v>27</v>
      </c>
      <c r="O601" s="33">
        <v>3564</v>
      </c>
      <c r="P601" s="33">
        <f>Table2_1[[#This Row],[Quantity Purchased]]*Table2_1[[#This Row],[UnitPrice]]*(1-Table2_1[[#This Row],[Discount]])</f>
        <v>3920.4</v>
      </c>
      <c r="Q601" s="33">
        <f>Table2_1[[#This Row],[Revenue]]-Table2_1[[#This Row],[COGS]]</f>
        <v>356.40000000000009</v>
      </c>
      <c r="R601" s="39">
        <f>WEEKDAY(Table2_1[[#This Row],[Transaction  Date]])</f>
        <v>3</v>
      </c>
      <c r="S601" s="17" t="str">
        <f>IF(WEEKDAY(Table2_1[[#This Row],[Transaction  Date]],2)&lt;=5,"Weekday","Weekend")</f>
        <v>Weekday</v>
      </c>
      <c r="T601" s="37" t="str">
        <f>FLOOR(Table2_1[[#This Row],[Age]],15)&amp; "-"&amp; FLOOR(Table2_1[[#This Row],[Age]],15)+14</f>
        <v>15-29</v>
      </c>
    </row>
    <row r="602" spans="1:20" x14ac:dyDescent="0.3">
      <c r="A602" s="18">
        <v>45420</v>
      </c>
      <c r="B602" s="17" t="s">
        <v>1481</v>
      </c>
      <c r="C602" s="17" t="s">
        <v>51</v>
      </c>
      <c r="D602" s="18">
        <v>24723</v>
      </c>
      <c r="E602" s="16" t="s">
        <v>68</v>
      </c>
      <c r="F602" s="31">
        <v>136</v>
      </c>
      <c r="G602" s="17" t="s">
        <v>34</v>
      </c>
      <c r="H602" s="17" t="s">
        <v>48</v>
      </c>
      <c r="I602" s="17" t="s">
        <v>17</v>
      </c>
      <c r="J602" s="27">
        <v>0.1</v>
      </c>
      <c r="K602" s="17" t="s">
        <v>930</v>
      </c>
      <c r="L602" s="32">
        <v>14</v>
      </c>
      <c r="M602" s="32">
        <f>_xlfn.XLOOKUP(Table2_1[[#This Row],[Product Code]],Product_Code,Unit_Price,0)</f>
        <v>28</v>
      </c>
      <c r="N602" s="31">
        <f>DATEDIF(Table2_1[[#This Row],[Buyer Date of Birth]],Table2_1[[#This Row],[Transaction  Date]],"Y")</f>
        <v>56</v>
      </c>
      <c r="O602" s="33">
        <v>1904</v>
      </c>
      <c r="P602" s="33">
        <f>Table2_1[[#This Row],[Quantity Purchased]]*Table2_1[[#This Row],[UnitPrice]]*(1-Table2_1[[#This Row],[Discount]])</f>
        <v>3427.2000000000003</v>
      </c>
      <c r="Q602" s="33">
        <f>Table2_1[[#This Row],[Revenue]]-Table2_1[[#This Row],[COGS]]</f>
        <v>1523.2000000000003</v>
      </c>
      <c r="R602" s="39">
        <f>WEEKDAY(Table2_1[[#This Row],[Transaction  Date]])</f>
        <v>4</v>
      </c>
      <c r="S602" s="17" t="str">
        <f>IF(WEEKDAY(Table2_1[[#This Row],[Transaction  Date]],2)&lt;=5,"Weekday","Weekend")</f>
        <v>Weekday</v>
      </c>
      <c r="T602" s="37" t="str">
        <f>FLOOR(Table2_1[[#This Row],[Age]],15)&amp; "-"&amp; FLOOR(Table2_1[[#This Row],[Age]],15)+14</f>
        <v>45-59</v>
      </c>
    </row>
    <row r="603" spans="1:20" x14ac:dyDescent="0.3">
      <c r="A603" s="18">
        <v>45420</v>
      </c>
      <c r="B603" s="17" t="s">
        <v>1482</v>
      </c>
      <c r="C603" s="17" t="s">
        <v>78</v>
      </c>
      <c r="D603" s="18" t="s">
        <v>32</v>
      </c>
      <c r="E603" s="16" t="s">
        <v>68</v>
      </c>
      <c r="F603" s="31">
        <v>278</v>
      </c>
      <c r="G603" s="17" t="s">
        <v>59</v>
      </c>
      <c r="H603" s="17" t="s">
        <v>35</v>
      </c>
      <c r="I603" s="17" t="s">
        <v>17</v>
      </c>
      <c r="J603" s="27">
        <v>0.1</v>
      </c>
      <c r="K603" s="17" t="s">
        <v>932</v>
      </c>
      <c r="L603" s="32">
        <v>19</v>
      </c>
      <c r="M603" s="32">
        <f>_xlfn.XLOOKUP(Table2_1[[#This Row],[Product Code]],Product_Code,Unit_Price,0)</f>
        <v>23</v>
      </c>
      <c r="N603" s="31" t="e">
        <f>DATEDIF(Table2_1[[#This Row],[Buyer Date of Birth]],Table2_1[[#This Row],[Transaction  Date]],"Y")</f>
        <v>#VALUE!</v>
      </c>
      <c r="O603" s="33">
        <v>5282</v>
      </c>
      <c r="P603" s="33">
        <f>Table2_1[[#This Row],[Quantity Purchased]]*Table2_1[[#This Row],[UnitPrice]]*(1-Table2_1[[#This Row],[Discount]])</f>
        <v>5754.6</v>
      </c>
      <c r="Q603" s="33">
        <f>Table2_1[[#This Row],[Revenue]]-Table2_1[[#This Row],[COGS]]</f>
        <v>472.60000000000036</v>
      </c>
      <c r="R603" s="39">
        <f>WEEKDAY(Table2_1[[#This Row],[Transaction  Date]])</f>
        <v>4</v>
      </c>
      <c r="S603" s="17" t="str">
        <f>IF(WEEKDAY(Table2_1[[#This Row],[Transaction  Date]],2)&lt;=5,"Weekday","Weekend")</f>
        <v>Weekday</v>
      </c>
      <c r="T603" s="37" t="e">
        <f>FLOOR(Table2_1[[#This Row],[Age]],15)&amp; "-"&amp; FLOOR(Table2_1[[#This Row],[Age]],15)+14</f>
        <v>#VALUE!</v>
      </c>
    </row>
    <row r="604" spans="1:20" x14ac:dyDescent="0.3">
      <c r="A604" s="18">
        <v>45420</v>
      </c>
      <c r="B604" s="17" t="s">
        <v>1483</v>
      </c>
      <c r="C604" s="17" t="s">
        <v>32</v>
      </c>
      <c r="D604" s="18">
        <v>25506</v>
      </c>
      <c r="E604" s="16" t="s">
        <v>14</v>
      </c>
      <c r="F604" s="31">
        <v>204</v>
      </c>
      <c r="G604" s="17" t="s">
        <v>56</v>
      </c>
      <c r="H604" s="17" t="s">
        <v>28</v>
      </c>
      <c r="I604" s="17" t="s">
        <v>17</v>
      </c>
      <c r="J604" s="27">
        <v>0.1</v>
      </c>
      <c r="K604" s="17" t="s">
        <v>935</v>
      </c>
      <c r="L604" s="32">
        <v>18</v>
      </c>
      <c r="M604" s="32">
        <f>_xlfn.XLOOKUP(Table2_1[[#This Row],[Product Code]],Product_Code,Unit_Price,0)</f>
        <v>36</v>
      </c>
      <c r="N604" s="31">
        <f>DATEDIF(Table2_1[[#This Row],[Buyer Date of Birth]],Table2_1[[#This Row],[Transaction  Date]],"Y")</f>
        <v>54</v>
      </c>
      <c r="O604" s="33">
        <v>3672</v>
      </c>
      <c r="P604" s="33">
        <f>Table2_1[[#This Row],[Quantity Purchased]]*Table2_1[[#This Row],[UnitPrice]]*(1-Table2_1[[#This Row],[Discount]])</f>
        <v>6609.6</v>
      </c>
      <c r="Q604" s="33">
        <f>Table2_1[[#This Row],[Revenue]]-Table2_1[[#This Row],[COGS]]</f>
        <v>2937.6000000000004</v>
      </c>
      <c r="R604" s="39">
        <f>WEEKDAY(Table2_1[[#This Row],[Transaction  Date]])</f>
        <v>4</v>
      </c>
      <c r="S604" s="17" t="str">
        <f>IF(WEEKDAY(Table2_1[[#This Row],[Transaction  Date]],2)&lt;=5,"Weekday","Weekend")</f>
        <v>Weekday</v>
      </c>
      <c r="T604" s="37" t="str">
        <f>FLOOR(Table2_1[[#This Row],[Age]],15)&amp; "-"&amp; FLOOR(Table2_1[[#This Row],[Age]],15)+14</f>
        <v>45-59</v>
      </c>
    </row>
    <row r="605" spans="1:20" x14ac:dyDescent="0.3">
      <c r="A605" s="18">
        <v>45421</v>
      </c>
      <c r="B605" s="17" t="s">
        <v>940</v>
      </c>
      <c r="C605" s="17" t="s">
        <v>32</v>
      </c>
      <c r="D605" s="18">
        <v>16696</v>
      </c>
      <c r="E605" s="16" t="s">
        <v>33</v>
      </c>
      <c r="F605" s="31">
        <v>90</v>
      </c>
      <c r="G605" s="17" t="s">
        <v>34</v>
      </c>
      <c r="H605" s="17" t="s">
        <v>35</v>
      </c>
      <c r="I605" s="17" t="s">
        <v>17</v>
      </c>
      <c r="J605" s="27">
        <v>0.1</v>
      </c>
      <c r="K605" s="17" t="s">
        <v>930</v>
      </c>
      <c r="L605" s="32">
        <v>14</v>
      </c>
      <c r="M605" s="32">
        <f>_xlfn.XLOOKUP(Table2_1[[#This Row],[Product Code]],Product_Code,Unit_Price,0)</f>
        <v>28</v>
      </c>
      <c r="N605" s="31">
        <f>DATEDIF(Table2_1[[#This Row],[Buyer Date of Birth]],Table2_1[[#This Row],[Transaction  Date]],"Y")</f>
        <v>78</v>
      </c>
      <c r="O605" s="33">
        <v>1260</v>
      </c>
      <c r="P605" s="33">
        <f>Table2_1[[#This Row],[Quantity Purchased]]*Table2_1[[#This Row],[UnitPrice]]*(1-Table2_1[[#This Row],[Discount]])</f>
        <v>2268</v>
      </c>
      <c r="Q605" s="33">
        <f>Table2_1[[#This Row],[Revenue]]-Table2_1[[#This Row],[COGS]]</f>
        <v>1008</v>
      </c>
      <c r="R605" s="39">
        <f>WEEKDAY(Table2_1[[#This Row],[Transaction  Date]])</f>
        <v>5</v>
      </c>
      <c r="S605" s="17" t="str">
        <f>IF(WEEKDAY(Table2_1[[#This Row],[Transaction  Date]],2)&lt;=5,"Weekday","Weekend")</f>
        <v>Weekday</v>
      </c>
      <c r="T605" s="37" t="str">
        <f>FLOOR(Table2_1[[#This Row],[Age]],15)&amp; "-"&amp; FLOOR(Table2_1[[#This Row],[Age]],15)+14</f>
        <v>75-89</v>
      </c>
    </row>
    <row r="606" spans="1:20" x14ac:dyDescent="0.3">
      <c r="A606" s="18">
        <v>45421</v>
      </c>
      <c r="B606" s="17" t="s">
        <v>1484</v>
      </c>
      <c r="C606" s="17" t="s">
        <v>32</v>
      </c>
      <c r="D606" s="18">
        <v>21509</v>
      </c>
      <c r="E606" s="16" t="s">
        <v>20</v>
      </c>
      <c r="F606" s="31">
        <v>180</v>
      </c>
      <c r="G606" s="17" t="s">
        <v>21</v>
      </c>
      <c r="H606" s="17" t="s">
        <v>48</v>
      </c>
      <c r="I606" s="17" t="s">
        <v>17</v>
      </c>
      <c r="J606" s="27">
        <v>0.1</v>
      </c>
      <c r="K606" s="17" t="s">
        <v>934</v>
      </c>
      <c r="L606" s="32">
        <v>10</v>
      </c>
      <c r="M606" s="32">
        <f>_xlfn.XLOOKUP(Table2_1[[#This Row],[Product Code]],Product_Code,Unit_Price,0)</f>
        <v>45</v>
      </c>
      <c r="N606" s="31">
        <f>DATEDIF(Table2_1[[#This Row],[Buyer Date of Birth]],Table2_1[[#This Row],[Transaction  Date]],"Y")</f>
        <v>65</v>
      </c>
      <c r="O606" s="33">
        <v>1800</v>
      </c>
      <c r="P606" s="33">
        <f>Table2_1[[#This Row],[Quantity Purchased]]*Table2_1[[#This Row],[UnitPrice]]*(1-Table2_1[[#This Row],[Discount]])</f>
        <v>7290</v>
      </c>
      <c r="Q606" s="33">
        <f>Table2_1[[#This Row],[Revenue]]-Table2_1[[#This Row],[COGS]]</f>
        <v>5490</v>
      </c>
      <c r="R606" s="39">
        <f>WEEKDAY(Table2_1[[#This Row],[Transaction  Date]])</f>
        <v>5</v>
      </c>
      <c r="S606" s="17" t="str">
        <f>IF(WEEKDAY(Table2_1[[#This Row],[Transaction  Date]],2)&lt;=5,"Weekday","Weekend")</f>
        <v>Weekday</v>
      </c>
      <c r="T606" s="37" t="str">
        <f>FLOOR(Table2_1[[#This Row],[Age]],15)&amp; "-"&amp; FLOOR(Table2_1[[#This Row],[Age]],15)+14</f>
        <v>60-74</v>
      </c>
    </row>
    <row r="607" spans="1:20" x14ac:dyDescent="0.3">
      <c r="A607" s="18">
        <v>45421</v>
      </c>
      <c r="B607" s="17" t="s">
        <v>1485</v>
      </c>
      <c r="C607" s="17" t="s">
        <v>46</v>
      </c>
      <c r="D607" s="18">
        <v>20938</v>
      </c>
      <c r="E607" s="16" t="s">
        <v>20</v>
      </c>
      <c r="F607" s="31">
        <v>15</v>
      </c>
      <c r="G607" s="17" t="s">
        <v>64</v>
      </c>
      <c r="H607" s="17" t="s">
        <v>52</v>
      </c>
      <c r="I607" s="17" t="s">
        <v>17</v>
      </c>
      <c r="J607" s="27">
        <v>0.1</v>
      </c>
      <c r="K607" s="17" t="s">
        <v>933</v>
      </c>
      <c r="L607" s="32">
        <v>5</v>
      </c>
      <c r="M607" s="32">
        <f>_xlfn.XLOOKUP(Table2_1[[#This Row],[Product Code]],Product_Code,Unit_Price,0)</f>
        <v>7</v>
      </c>
      <c r="N607" s="31">
        <f>DATEDIF(Table2_1[[#This Row],[Buyer Date of Birth]],Table2_1[[#This Row],[Transaction  Date]],"Y")</f>
        <v>67</v>
      </c>
      <c r="O607" s="33">
        <v>75</v>
      </c>
      <c r="P607" s="33">
        <f>Table2_1[[#This Row],[Quantity Purchased]]*Table2_1[[#This Row],[UnitPrice]]*(1-Table2_1[[#This Row],[Discount]])</f>
        <v>94.5</v>
      </c>
      <c r="Q607" s="33">
        <f>Table2_1[[#This Row],[Revenue]]-Table2_1[[#This Row],[COGS]]</f>
        <v>19.5</v>
      </c>
      <c r="R607" s="39">
        <f>WEEKDAY(Table2_1[[#This Row],[Transaction  Date]])</f>
        <v>5</v>
      </c>
      <c r="S607" s="17" t="str">
        <f>IF(WEEKDAY(Table2_1[[#This Row],[Transaction  Date]],2)&lt;=5,"Weekday","Weekend")</f>
        <v>Weekday</v>
      </c>
      <c r="T607" s="37" t="str">
        <f>FLOOR(Table2_1[[#This Row],[Age]],15)&amp; "-"&amp; FLOOR(Table2_1[[#This Row],[Age]],15)+14</f>
        <v>60-74</v>
      </c>
    </row>
    <row r="608" spans="1:20" x14ac:dyDescent="0.3">
      <c r="A608" s="18">
        <v>45421</v>
      </c>
      <c r="B608" s="17" t="s">
        <v>1486</v>
      </c>
      <c r="C608" s="17" t="s">
        <v>83</v>
      </c>
      <c r="D608" s="18">
        <v>34651</v>
      </c>
      <c r="E608" s="16" t="s">
        <v>14</v>
      </c>
      <c r="F608" s="31">
        <v>400</v>
      </c>
      <c r="G608" s="17" t="s">
        <v>47</v>
      </c>
      <c r="H608" s="17" t="s">
        <v>43</v>
      </c>
      <c r="I608" s="17" t="s">
        <v>17</v>
      </c>
      <c r="J608" s="27">
        <v>0.1</v>
      </c>
      <c r="K608" s="17" t="s">
        <v>931</v>
      </c>
      <c r="L608" s="32">
        <v>7</v>
      </c>
      <c r="M608" s="32">
        <f>_xlfn.XLOOKUP(Table2_1[[#This Row],[Product Code]],Product_Code,Unit_Price,0)</f>
        <v>9</v>
      </c>
      <c r="N608" s="31">
        <f>DATEDIF(Table2_1[[#This Row],[Buyer Date of Birth]],Table2_1[[#This Row],[Transaction  Date]],"Y")</f>
        <v>29</v>
      </c>
      <c r="O608" s="33">
        <v>2800</v>
      </c>
      <c r="P608" s="33">
        <f>Table2_1[[#This Row],[Quantity Purchased]]*Table2_1[[#This Row],[UnitPrice]]*(1-Table2_1[[#This Row],[Discount]])</f>
        <v>3240</v>
      </c>
      <c r="Q608" s="33">
        <f>Table2_1[[#This Row],[Revenue]]-Table2_1[[#This Row],[COGS]]</f>
        <v>440</v>
      </c>
      <c r="R608" s="39">
        <f>WEEKDAY(Table2_1[[#This Row],[Transaction  Date]])</f>
        <v>5</v>
      </c>
      <c r="S608" s="17" t="str">
        <f>IF(WEEKDAY(Table2_1[[#This Row],[Transaction  Date]],2)&lt;=5,"Weekday","Weekend")</f>
        <v>Weekday</v>
      </c>
      <c r="T608" s="37" t="str">
        <f>FLOOR(Table2_1[[#This Row],[Age]],15)&amp; "-"&amp; FLOOR(Table2_1[[#This Row],[Age]],15)+14</f>
        <v>15-29</v>
      </c>
    </row>
    <row r="609" spans="1:20" x14ac:dyDescent="0.3">
      <c r="A609" s="18">
        <v>45421</v>
      </c>
      <c r="B609" s="17" t="s">
        <v>1487</v>
      </c>
      <c r="C609" s="17" t="s">
        <v>55</v>
      </c>
      <c r="D609" s="18">
        <v>32026</v>
      </c>
      <c r="E609" s="16" t="s">
        <v>20</v>
      </c>
      <c r="F609" s="31">
        <v>103</v>
      </c>
      <c r="G609" s="17" t="s">
        <v>65</v>
      </c>
      <c r="H609" s="17" t="s">
        <v>48</v>
      </c>
      <c r="I609" s="17" t="s">
        <v>17</v>
      </c>
      <c r="J609" s="27">
        <v>0.1</v>
      </c>
      <c r="K609" s="17" t="s">
        <v>928</v>
      </c>
      <c r="L609" s="32">
        <v>3</v>
      </c>
      <c r="M609" s="32">
        <f>_xlfn.XLOOKUP(Table2_1[[#This Row],[Product Code]],Product_Code,Unit_Price,0)</f>
        <v>5</v>
      </c>
      <c r="N609" s="31">
        <f>DATEDIF(Table2_1[[#This Row],[Buyer Date of Birth]],Table2_1[[#This Row],[Transaction  Date]],"Y")</f>
        <v>36</v>
      </c>
      <c r="O609" s="33">
        <v>309</v>
      </c>
      <c r="P609" s="33">
        <f>Table2_1[[#This Row],[Quantity Purchased]]*Table2_1[[#This Row],[UnitPrice]]*(1-Table2_1[[#This Row],[Discount]])</f>
        <v>463.5</v>
      </c>
      <c r="Q609" s="33">
        <f>Table2_1[[#This Row],[Revenue]]-Table2_1[[#This Row],[COGS]]</f>
        <v>154.5</v>
      </c>
      <c r="R609" s="39">
        <f>WEEKDAY(Table2_1[[#This Row],[Transaction  Date]])</f>
        <v>5</v>
      </c>
      <c r="S609" s="17" t="str">
        <f>IF(WEEKDAY(Table2_1[[#This Row],[Transaction  Date]],2)&lt;=5,"Weekday","Weekend")</f>
        <v>Weekday</v>
      </c>
      <c r="T609" s="37" t="str">
        <f>FLOOR(Table2_1[[#This Row],[Age]],15)&amp; "-"&amp; FLOOR(Table2_1[[#This Row],[Age]],15)+14</f>
        <v>30-44</v>
      </c>
    </row>
    <row r="610" spans="1:20" x14ac:dyDescent="0.3">
      <c r="A610" s="18">
        <v>45421</v>
      </c>
      <c r="B610" s="17" t="s">
        <v>1871</v>
      </c>
      <c r="C610" s="17" t="s">
        <v>78</v>
      </c>
      <c r="D610" s="18">
        <v>37893</v>
      </c>
      <c r="E610" s="16" t="s">
        <v>14</v>
      </c>
      <c r="F610" s="31">
        <v>370</v>
      </c>
      <c r="G610" s="17" t="s">
        <v>42</v>
      </c>
      <c r="H610" s="17" t="s">
        <v>52</v>
      </c>
      <c r="I610" s="17" t="s">
        <v>17</v>
      </c>
      <c r="J610" s="27">
        <v>0.1</v>
      </c>
      <c r="K610" s="17" t="s">
        <v>926</v>
      </c>
      <c r="L610" s="32">
        <v>10</v>
      </c>
      <c r="M610" s="32">
        <f>_xlfn.XLOOKUP(Table2_1[[#This Row],[Product Code]],Product_Code,Unit_Price,0)</f>
        <v>11</v>
      </c>
      <c r="N610" s="31">
        <f>DATEDIF(Table2_1[[#This Row],[Buyer Date of Birth]],Table2_1[[#This Row],[Transaction  Date]],"Y")</f>
        <v>20</v>
      </c>
      <c r="O610" s="33">
        <v>3700</v>
      </c>
      <c r="P610" s="33">
        <f>Table2_1[[#This Row],[Quantity Purchased]]*Table2_1[[#This Row],[UnitPrice]]*(1-Table2_1[[#This Row],[Discount]])</f>
        <v>3663</v>
      </c>
      <c r="Q610" s="33">
        <f>Table2_1[[#This Row],[Revenue]]-Table2_1[[#This Row],[COGS]]</f>
        <v>-37</v>
      </c>
      <c r="R610" s="39">
        <f>WEEKDAY(Table2_1[[#This Row],[Transaction  Date]])</f>
        <v>5</v>
      </c>
      <c r="S610" s="17" t="str">
        <f>IF(WEEKDAY(Table2_1[[#This Row],[Transaction  Date]],2)&lt;=5,"Weekday","Weekend")</f>
        <v>Weekday</v>
      </c>
      <c r="T610" s="37" t="str">
        <f>FLOOR(Table2_1[[#This Row],[Age]],15)&amp; "-"&amp; FLOOR(Table2_1[[#This Row],[Age]],15)+14</f>
        <v>15-29</v>
      </c>
    </row>
    <row r="611" spans="1:20" x14ac:dyDescent="0.3">
      <c r="A611" s="18">
        <v>45422</v>
      </c>
      <c r="B611" s="17" t="s">
        <v>1488</v>
      </c>
      <c r="C611" s="17" t="s">
        <v>94</v>
      </c>
      <c r="D611" s="18">
        <v>22950</v>
      </c>
      <c r="E611" s="16" t="s">
        <v>68</v>
      </c>
      <c r="F611" s="31">
        <v>135</v>
      </c>
      <c r="G611" s="17" t="s">
        <v>47</v>
      </c>
      <c r="H611" s="17" t="s">
        <v>28</v>
      </c>
      <c r="I611" s="17" t="s">
        <v>17</v>
      </c>
      <c r="J611" s="27">
        <v>0.1</v>
      </c>
      <c r="K611" s="17" t="s">
        <v>931</v>
      </c>
      <c r="L611" s="32">
        <v>7</v>
      </c>
      <c r="M611" s="32">
        <f>_xlfn.XLOOKUP(Table2_1[[#This Row],[Product Code]],Product_Code,Unit_Price,0)</f>
        <v>9</v>
      </c>
      <c r="N611" s="31">
        <f>DATEDIF(Table2_1[[#This Row],[Buyer Date of Birth]],Table2_1[[#This Row],[Transaction  Date]],"Y")</f>
        <v>61</v>
      </c>
      <c r="O611" s="33">
        <v>945</v>
      </c>
      <c r="P611" s="33">
        <f>Table2_1[[#This Row],[Quantity Purchased]]*Table2_1[[#This Row],[UnitPrice]]*(1-Table2_1[[#This Row],[Discount]])</f>
        <v>1093.5</v>
      </c>
      <c r="Q611" s="33">
        <f>Table2_1[[#This Row],[Revenue]]-Table2_1[[#This Row],[COGS]]</f>
        <v>148.5</v>
      </c>
      <c r="R611" s="39">
        <f>WEEKDAY(Table2_1[[#This Row],[Transaction  Date]])</f>
        <v>6</v>
      </c>
      <c r="S611" s="17" t="str">
        <f>IF(WEEKDAY(Table2_1[[#This Row],[Transaction  Date]],2)&lt;=5,"Weekday","Weekend")</f>
        <v>Weekday</v>
      </c>
      <c r="T611" s="37" t="str">
        <f>FLOOR(Table2_1[[#This Row],[Age]],15)&amp; "-"&amp; FLOOR(Table2_1[[#This Row],[Age]],15)+14</f>
        <v>60-74</v>
      </c>
    </row>
    <row r="612" spans="1:20" x14ac:dyDescent="0.3">
      <c r="A612" s="18">
        <v>45422</v>
      </c>
      <c r="B612" s="17" t="s">
        <v>1489</v>
      </c>
      <c r="C612" s="17" t="s">
        <v>26</v>
      </c>
      <c r="D612" s="18">
        <v>32584</v>
      </c>
      <c r="E612" s="16" t="s">
        <v>20</v>
      </c>
      <c r="F612" s="31">
        <v>156</v>
      </c>
      <c r="G612" s="17" t="s">
        <v>27</v>
      </c>
      <c r="H612" s="17" t="s">
        <v>28</v>
      </c>
      <c r="I612" s="17" t="s">
        <v>17</v>
      </c>
      <c r="J612" s="27">
        <v>0.1</v>
      </c>
      <c r="K612" s="17" t="s">
        <v>927</v>
      </c>
      <c r="L612" s="32">
        <v>18</v>
      </c>
      <c r="M612" s="32">
        <f>_xlfn.XLOOKUP(Table2_1[[#This Row],[Product Code]],Product_Code,Unit_Price,0)</f>
        <v>22</v>
      </c>
      <c r="N612" s="31">
        <f>DATEDIF(Table2_1[[#This Row],[Buyer Date of Birth]],Table2_1[[#This Row],[Transaction  Date]],"Y")</f>
        <v>35</v>
      </c>
      <c r="O612" s="33">
        <v>2808</v>
      </c>
      <c r="P612" s="33">
        <f>Table2_1[[#This Row],[Quantity Purchased]]*Table2_1[[#This Row],[UnitPrice]]*(1-Table2_1[[#This Row],[Discount]])</f>
        <v>3088.8</v>
      </c>
      <c r="Q612" s="33">
        <f>Table2_1[[#This Row],[Revenue]]-Table2_1[[#This Row],[COGS]]</f>
        <v>280.80000000000018</v>
      </c>
      <c r="R612" s="39">
        <f>WEEKDAY(Table2_1[[#This Row],[Transaction  Date]])</f>
        <v>6</v>
      </c>
      <c r="S612" s="17" t="str">
        <f>IF(WEEKDAY(Table2_1[[#This Row],[Transaction  Date]],2)&lt;=5,"Weekday","Weekend")</f>
        <v>Weekday</v>
      </c>
      <c r="T612" s="37" t="str">
        <f>FLOOR(Table2_1[[#This Row],[Age]],15)&amp; "-"&amp; FLOOR(Table2_1[[#This Row],[Age]],15)+14</f>
        <v>30-44</v>
      </c>
    </row>
    <row r="613" spans="1:20" x14ac:dyDescent="0.3">
      <c r="A613" s="18">
        <v>45422</v>
      </c>
      <c r="B613" s="17" t="s">
        <v>1490</v>
      </c>
      <c r="C613" s="17" t="s">
        <v>51</v>
      </c>
      <c r="D613" s="18">
        <v>19374</v>
      </c>
      <c r="E613" s="16" t="s">
        <v>14</v>
      </c>
      <c r="F613" s="31">
        <v>236</v>
      </c>
      <c r="G613" s="17" t="s">
        <v>56</v>
      </c>
      <c r="H613" s="17" t="s">
        <v>52</v>
      </c>
      <c r="I613" s="17" t="s">
        <v>17</v>
      </c>
      <c r="J613" s="27">
        <v>0.1</v>
      </c>
      <c r="K613" s="17" t="s">
        <v>935</v>
      </c>
      <c r="L613" s="32">
        <v>18</v>
      </c>
      <c r="M613" s="32">
        <f>_xlfn.XLOOKUP(Table2_1[[#This Row],[Product Code]],Product_Code,Unit_Price,0)</f>
        <v>36</v>
      </c>
      <c r="N613" s="31">
        <f>DATEDIF(Table2_1[[#This Row],[Buyer Date of Birth]],Table2_1[[#This Row],[Transaction  Date]],"Y")</f>
        <v>71</v>
      </c>
      <c r="O613" s="33">
        <v>4248</v>
      </c>
      <c r="P613" s="33">
        <f>Table2_1[[#This Row],[Quantity Purchased]]*Table2_1[[#This Row],[UnitPrice]]*(1-Table2_1[[#This Row],[Discount]])</f>
        <v>7646.4000000000005</v>
      </c>
      <c r="Q613" s="33">
        <f>Table2_1[[#This Row],[Revenue]]-Table2_1[[#This Row],[COGS]]</f>
        <v>3398.4000000000005</v>
      </c>
      <c r="R613" s="39">
        <f>WEEKDAY(Table2_1[[#This Row],[Transaction  Date]])</f>
        <v>6</v>
      </c>
      <c r="S613" s="17" t="str">
        <f>IF(WEEKDAY(Table2_1[[#This Row],[Transaction  Date]],2)&lt;=5,"Weekday","Weekend")</f>
        <v>Weekday</v>
      </c>
      <c r="T613" s="37" t="str">
        <f>FLOOR(Table2_1[[#This Row],[Age]],15)&amp; "-"&amp; FLOOR(Table2_1[[#This Row],[Age]],15)+14</f>
        <v>60-74</v>
      </c>
    </row>
    <row r="614" spans="1:20" x14ac:dyDescent="0.3">
      <c r="A614" s="18">
        <v>45423</v>
      </c>
      <c r="B614" s="17" t="s">
        <v>1491</v>
      </c>
      <c r="C614" s="17" t="s">
        <v>71</v>
      </c>
      <c r="D614" s="18">
        <v>22731</v>
      </c>
      <c r="E614" s="16" t="s">
        <v>33</v>
      </c>
      <c r="F614" s="31">
        <v>94</v>
      </c>
      <c r="G614" s="17" t="s">
        <v>34</v>
      </c>
      <c r="H614" s="17" t="s">
        <v>48</v>
      </c>
      <c r="I614" s="17" t="s">
        <v>29</v>
      </c>
      <c r="J614" s="27">
        <v>0.1</v>
      </c>
      <c r="K614" s="17" t="s">
        <v>930</v>
      </c>
      <c r="L614" s="32">
        <v>14</v>
      </c>
      <c r="M614" s="32">
        <f>_xlfn.XLOOKUP(Table2_1[[#This Row],[Product Code]],Product_Code,Unit_Price,0)</f>
        <v>28</v>
      </c>
      <c r="N614" s="31">
        <f>DATEDIF(Table2_1[[#This Row],[Buyer Date of Birth]],Table2_1[[#This Row],[Transaction  Date]],"Y")</f>
        <v>62</v>
      </c>
      <c r="O614" s="33">
        <v>1316</v>
      </c>
      <c r="P614" s="33">
        <f>Table2_1[[#This Row],[Quantity Purchased]]*Table2_1[[#This Row],[UnitPrice]]*(1-Table2_1[[#This Row],[Discount]])</f>
        <v>2368.8000000000002</v>
      </c>
      <c r="Q614" s="33">
        <f>Table2_1[[#This Row],[Revenue]]-Table2_1[[#This Row],[COGS]]</f>
        <v>1052.8000000000002</v>
      </c>
      <c r="R614" s="39">
        <f>WEEKDAY(Table2_1[[#This Row],[Transaction  Date]])</f>
        <v>7</v>
      </c>
      <c r="S614" s="17" t="str">
        <f>IF(WEEKDAY(Table2_1[[#This Row],[Transaction  Date]],2)&lt;=5,"Weekday","Weekend")</f>
        <v>Weekend</v>
      </c>
      <c r="T614" s="37" t="str">
        <f>FLOOR(Table2_1[[#This Row],[Age]],15)&amp; "-"&amp; FLOOR(Table2_1[[#This Row],[Age]],15)+14</f>
        <v>60-74</v>
      </c>
    </row>
    <row r="615" spans="1:20" x14ac:dyDescent="0.3">
      <c r="A615" s="18">
        <v>45423</v>
      </c>
      <c r="B615" s="17" t="s">
        <v>1492</v>
      </c>
      <c r="C615" s="17" t="s">
        <v>71</v>
      </c>
      <c r="D615" s="18">
        <v>34352</v>
      </c>
      <c r="E615" s="16" t="s">
        <v>33</v>
      </c>
      <c r="F615" s="31">
        <v>145</v>
      </c>
      <c r="G615" s="17" t="s">
        <v>59</v>
      </c>
      <c r="H615" s="17" t="s">
        <v>43</v>
      </c>
      <c r="I615" s="17" t="s">
        <v>17</v>
      </c>
      <c r="J615" s="27">
        <v>0.1</v>
      </c>
      <c r="K615" s="17" t="s">
        <v>932</v>
      </c>
      <c r="L615" s="32">
        <v>19</v>
      </c>
      <c r="M615" s="32">
        <f>_xlfn.XLOOKUP(Table2_1[[#This Row],[Product Code]],Product_Code,Unit_Price,0)</f>
        <v>23</v>
      </c>
      <c r="N615" s="31">
        <f>DATEDIF(Table2_1[[#This Row],[Buyer Date of Birth]],Table2_1[[#This Row],[Transaction  Date]],"Y")</f>
        <v>30</v>
      </c>
      <c r="O615" s="33">
        <v>2755</v>
      </c>
      <c r="P615" s="33">
        <f>Table2_1[[#This Row],[Quantity Purchased]]*Table2_1[[#This Row],[UnitPrice]]*(1-Table2_1[[#This Row],[Discount]])</f>
        <v>3001.5</v>
      </c>
      <c r="Q615" s="33">
        <f>Table2_1[[#This Row],[Revenue]]-Table2_1[[#This Row],[COGS]]</f>
        <v>246.5</v>
      </c>
      <c r="R615" s="39">
        <f>WEEKDAY(Table2_1[[#This Row],[Transaction  Date]])</f>
        <v>7</v>
      </c>
      <c r="S615" s="17" t="str">
        <f>IF(WEEKDAY(Table2_1[[#This Row],[Transaction  Date]],2)&lt;=5,"Weekday","Weekend")</f>
        <v>Weekend</v>
      </c>
      <c r="T615" s="37" t="str">
        <f>FLOOR(Table2_1[[#This Row],[Age]],15)&amp; "-"&amp; FLOOR(Table2_1[[#This Row],[Age]],15)+14</f>
        <v>30-44</v>
      </c>
    </row>
    <row r="616" spans="1:20" x14ac:dyDescent="0.3">
      <c r="A616" s="18">
        <v>45424</v>
      </c>
      <c r="B616" s="17" t="s">
        <v>1493</v>
      </c>
      <c r="C616" s="17" t="s">
        <v>38</v>
      </c>
      <c r="D616" s="18">
        <v>27436</v>
      </c>
      <c r="E616" s="16" t="s">
        <v>14</v>
      </c>
      <c r="F616" s="31">
        <v>212</v>
      </c>
      <c r="G616" s="17" t="s">
        <v>42</v>
      </c>
      <c r="H616" s="17" t="s">
        <v>28</v>
      </c>
      <c r="I616" s="17" t="s">
        <v>17</v>
      </c>
      <c r="J616" s="27">
        <v>0.1</v>
      </c>
      <c r="K616" s="17" t="s">
        <v>926</v>
      </c>
      <c r="L616" s="32">
        <v>10</v>
      </c>
      <c r="M616" s="32">
        <f>_xlfn.XLOOKUP(Table2_1[[#This Row],[Product Code]],Product_Code,Unit_Price,0)</f>
        <v>11</v>
      </c>
      <c r="N616" s="31">
        <f>DATEDIF(Table2_1[[#This Row],[Buyer Date of Birth]],Table2_1[[#This Row],[Transaction  Date]],"Y")</f>
        <v>49</v>
      </c>
      <c r="O616" s="33">
        <v>2120</v>
      </c>
      <c r="P616" s="33">
        <f>Table2_1[[#This Row],[Quantity Purchased]]*Table2_1[[#This Row],[UnitPrice]]*(1-Table2_1[[#This Row],[Discount]])</f>
        <v>2098.8000000000002</v>
      </c>
      <c r="Q616" s="33">
        <f>Table2_1[[#This Row],[Revenue]]-Table2_1[[#This Row],[COGS]]</f>
        <v>-21.199999999999818</v>
      </c>
      <c r="R616" s="39">
        <f>WEEKDAY(Table2_1[[#This Row],[Transaction  Date]])</f>
        <v>1</v>
      </c>
      <c r="S616" s="17" t="str">
        <f>IF(WEEKDAY(Table2_1[[#This Row],[Transaction  Date]],2)&lt;=5,"Weekday","Weekend")</f>
        <v>Weekend</v>
      </c>
      <c r="T616" s="37" t="str">
        <f>FLOOR(Table2_1[[#This Row],[Age]],15)&amp; "-"&amp; FLOOR(Table2_1[[#This Row],[Age]],15)+14</f>
        <v>45-59</v>
      </c>
    </row>
    <row r="617" spans="1:20" x14ac:dyDescent="0.3">
      <c r="A617" s="18">
        <v>45424</v>
      </c>
      <c r="B617" s="17" t="s">
        <v>1494</v>
      </c>
      <c r="C617" s="17" t="s">
        <v>78</v>
      </c>
      <c r="D617" s="18">
        <v>29326</v>
      </c>
      <c r="E617" s="16" t="s">
        <v>33</v>
      </c>
      <c r="F617" s="31">
        <v>33</v>
      </c>
      <c r="G617" s="17" t="s">
        <v>47</v>
      </c>
      <c r="H617" s="17" t="s">
        <v>43</v>
      </c>
      <c r="I617" s="17" t="s">
        <v>17</v>
      </c>
      <c r="J617" s="27">
        <v>0.1</v>
      </c>
      <c r="K617" s="17" t="s">
        <v>931</v>
      </c>
      <c r="L617" s="32">
        <v>7</v>
      </c>
      <c r="M617" s="32">
        <f>_xlfn.XLOOKUP(Table2_1[[#This Row],[Product Code]],Product_Code,Unit_Price,0)</f>
        <v>9</v>
      </c>
      <c r="N617" s="31">
        <f>DATEDIF(Table2_1[[#This Row],[Buyer Date of Birth]],Table2_1[[#This Row],[Transaction  Date]],"Y")</f>
        <v>44</v>
      </c>
      <c r="O617" s="33">
        <v>231</v>
      </c>
      <c r="P617" s="33">
        <f>Table2_1[[#This Row],[Quantity Purchased]]*Table2_1[[#This Row],[UnitPrice]]*(1-Table2_1[[#This Row],[Discount]])</f>
        <v>267.3</v>
      </c>
      <c r="Q617" s="33">
        <f>Table2_1[[#This Row],[Revenue]]-Table2_1[[#This Row],[COGS]]</f>
        <v>36.300000000000011</v>
      </c>
      <c r="R617" s="39">
        <f>WEEKDAY(Table2_1[[#This Row],[Transaction  Date]])</f>
        <v>1</v>
      </c>
      <c r="S617" s="17" t="str">
        <f>IF(WEEKDAY(Table2_1[[#This Row],[Transaction  Date]],2)&lt;=5,"Weekday","Weekend")</f>
        <v>Weekend</v>
      </c>
      <c r="T617" s="37" t="str">
        <f>FLOOR(Table2_1[[#This Row],[Age]],15)&amp; "-"&amp; FLOOR(Table2_1[[#This Row],[Age]],15)+14</f>
        <v>30-44</v>
      </c>
    </row>
    <row r="618" spans="1:20" x14ac:dyDescent="0.3">
      <c r="A618" s="18">
        <v>45425</v>
      </c>
      <c r="B618" s="17" t="s">
        <v>1495</v>
      </c>
      <c r="C618" s="17" t="s">
        <v>83</v>
      </c>
      <c r="D618" s="18">
        <v>16883</v>
      </c>
      <c r="E618" s="16" t="s">
        <v>14</v>
      </c>
      <c r="F618" s="31">
        <v>150</v>
      </c>
      <c r="G618" s="17" t="s">
        <v>64</v>
      </c>
      <c r="H618" s="17" t="s">
        <v>28</v>
      </c>
      <c r="I618" s="17" t="s">
        <v>17</v>
      </c>
      <c r="J618" s="27">
        <v>0.1</v>
      </c>
      <c r="K618" s="17" t="s">
        <v>933</v>
      </c>
      <c r="L618" s="32">
        <v>5</v>
      </c>
      <c r="M618" s="32">
        <f>_xlfn.XLOOKUP(Table2_1[[#This Row],[Product Code]],Product_Code,Unit_Price,0)</f>
        <v>7</v>
      </c>
      <c r="N618" s="31">
        <f>DATEDIF(Table2_1[[#This Row],[Buyer Date of Birth]],Table2_1[[#This Row],[Transaction  Date]],"Y")</f>
        <v>78</v>
      </c>
      <c r="O618" s="33">
        <v>750</v>
      </c>
      <c r="P618" s="33">
        <f>Table2_1[[#This Row],[Quantity Purchased]]*Table2_1[[#This Row],[UnitPrice]]*(1-Table2_1[[#This Row],[Discount]])</f>
        <v>945</v>
      </c>
      <c r="Q618" s="33">
        <f>Table2_1[[#This Row],[Revenue]]-Table2_1[[#This Row],[COGS]]</f>
        <v>195</v>
      </c>
      <c r="R618" s="39">
        <f>WEEKDAY(Table2_1[[#This Row],[Transaction  Date]])</f>
        <v>2</v>
      </c>
      <c r="S618" s="17" t="str">
        <f>IF(WEEKDAY(Table2_1[[#This Row],[Transaction  Date]],2)&lt;=5,"Weekday","Weekend")</f>
        <v>Weekday</v>
      </c>
      <c r="T618" s="37" t="str">
        <f>FLOOR(Table2_1[[#This Row],[Age]],15)&amp; "-"&amp; FLOOR(Table2_1[[#This Row],[Age]],15)+14</f>
        <v>75-89</v>
      </c>
    </row>
    <row r="619" spans="1:20" x14ac:dyDescent="0.3">
      <c r="A619" s="18">
        <v>45425</v>
      </c>
      <c r="B619" s="17" t="s">
        <v>1496</v>
      </c>
      <c r="C619" s="17" t="s">
        <v>55</v>
      </c>
      <c r="D619" s="18">
        <v>25921</v>
      </c>
      <c r="E619" s="16" t="s">
        <v>68</v>
      </c>
      <c r="F619" s="31">
        <v>240</v>
      </c>
      <c r="G619" s="17" t="s">
        <v>47</v>
      </c>
      <c r="H619" s="17" t="s">
        <v>48</v>
      </c>
      <c r="I619" s="17" t="s">
        <v>17</v>
      </c>
      <c r="J619" s="27">
        <v>0.1</v>
      </c>
      <c r="K619" s="17" t="s">
        <v>931</v>
      </c>
      <c r="L619" s="32">
        <v>7</v>
      </c>
      <c r="M619" s="32">
        <f>_xlfn.XLOOKUP(Table2_1[[#This Row],[Product Code]],Product_Code,Unit_Price,0)</f>
        <v>9</v>
      </c>
      <c r="N619" s="31">
        <f>DATEDIF(Table2_1[[#This Row],[Buyer Date of Birth]],Table2_1[[#This Row],[Transaction  Date]],"Y")</f>
        <v>53</v>
      </c>
      <c r="O619" s="33">
        <v>1680</v>
      </c>
      <c r="P619" s="33">
        <f>Table2_1[[#This Row],[Quantity Purchased]]*Table2_1[[#This Row],[UnitPrice]]*(1-Table2_1[[#This Row],[Discount]])</f>
        <v>1944</v>
      </c>
      <c r="Q619" s="33">
        <f>Table2_1[[#This Row],[Revenue]]-Table2_1[[#This Row],[COGS]]</f>
        <v>264</v>
      </c>
      <c r="R619" s="39">
        <f>WEEKDAY(Table2_1[[#This Row],[Transaction  Date]])</f>
        <v>2</v>
      </c>
      <c r="S619" s="17" t="str">
        <f>IF(WEEKDAY(Table2_1[[#This Row],[Transaction  Date]],2)&lt;=5,"Weekday","Weekend")</f>
        <v>Weekday</v>
      </c>
      <c r="T619" s="37" t="str">
        <f>FLOOR(Table2_1[[#This Row],[Age]],15)&amp; "-"&amp; FLOOR(Table2_1[[#This Row],[Age]],15)+14</f>
        <v>45-59</v>
      </c>
    </row>
    <row r="620" spans="1:20" x14ac:dyDescent="0.3">
      <c r="A620" s="18">
        <v>45425</v>
      </c>
      <c r="B620" s="17" t="s">
        <v>1497</v>
      </c>
      <c r="C620" s="17" t="s">
        <v>26</v>
      </c>
      <c r="D620" s="18">
        <v>20098</v>
      </c>
      <c r="E620" s="16" t="s">
        <v>14</v>
      </c>
      <c r="F620" s="31">
        <v>18</v>
      </c>
      <c r="G620" s="17" t="s">
        <v>64</v>
      </c>
      <c r="H620" s="17" t="s">
        <v>52</v>
      </c>
      <c r="I620" s="17" t="s">
        <v>17</v>
      </c>
      <c r="J620" s="27">
        <v>0.1</v>
      </c>
      <c r="K620" s="17" t="s">
        <v>933</v>
      </c>
      <c r="L620" s="32">
        <v>5</v>
      </c>
      <c r="M620" s="32">
        <f>_xlfn.XLOOKUP(Table2_1[[#This Row],[Product Code]],Product_Code,Unit_Price,0)</f>
        <v>7</v>
      </c>
      <c r="N620" s="31">
        <f>DATEDIF(Table2_1[[#This Row],[Buyer Date of Birth]],Table2_1[[#This Row],[Transaction  Date]],"Y")</f>
        <v>69</v>
      </c>
      <c r="O620" s="33">
        <v>90</v>
      </c>
      <c r="P620" s="33">
        <f>Table2_1[[#This Row],[Quantity Purchased]]*Table2_1[[#This Row],[UnitPrice]]*(1-Table2_1[[#This Row],[Discount]])</f>
        <v>113.4</v>
      </c>
      <c r="Q620" s="33">
        <f>Table2_1[[#This Row],[Revenue]]-Table2_1[[#This Row],[COGS]]</f>
        <v>23.400000000000006</v>
      </c>
      <c r="R620" s="39">
        <f>WEEKDAY(Table2_1[[#This Row],[Transaction  Date]])</f>
        <v>2</v>
      </c>
      <c r="S620" s="17" t="str">
        <f>IF(WEEKDAY(Table2_1[[#This Row],[Transaction  Date]],2)&lt;=5,"Weekday","Weekend")</f>
        <v>Weekday</v>
      </c>
      <c r="T620" s="37" t="str">
        <f>FLOOR(Table2_1[[#This Row],[Age]],15)&amp; "-"&amp; FLOOR(Table2_1[[#This Row],[Age]],15)+14</f>
        <v>60-74</v>
      </c>
    </row>
    <row r="621" spans="1:20" x14ac:dyDescent="0.3">
      <c r="A621" s="18">
        <v>45425</v>
      </c>
      <c r="B621" s="17" t="s">
        <v>1498</v>
      </c>
      <c r="C621" s="17" t="s">
        <v>26</v>
      </c>
      <c r="D621" s="18">
        <v>25126</v>
      </c>
      <c r="E621" s="16" t="s">
        <v>14</v>
      </c>
      <c r="F621" s="31">
        <v>257</v>
      </c>
      <c r="G621" s="17" t="s">
        <v>65</v>
      </c>
      <c r="H621" s="17" t="s">
        <v>32</v>
      </c>
      <c r="I621" s="17" t="s">
        <v>17</v>
      </c>
      <c r="J621" s="27">
        <v>0.1</v>
      </c>
      <c r="K621" s="17" t="s">
        <v>928</v>
      </c>
      <c r="L621" s="32">
        <v>3</v>
      </c>
      <c r="M621" s="32">
        <f>_xlfn.XLOOKUP(Table2_1[[#This Row],[Product Code]],Product_Code,Unit_Price,0)</f>
        <v>5</v>
      </c>
      <c r="N621" s="31">
        <f>DATEDIF(Table2_1[[#This Row],[Buyer Date of Birth]],Table2_1[[#This Row],[Transaction  Date]],"Y")</f>
        <v>55</v>
      </c>
      <c r="O621" s="33">
        <v>771</v>
      </c>
      <c r="P621" s="33">
        <f>Table2_1[[#This Row],[Quantity Purchased]]*Table2_1[[#This Row],[UnitPrice]]*(1-Table2_1[[#This Row],[Discount]])</f>
        <v>1156.5</v>
      </c>
      <c r="Q621" s="33">
        <f>Table2_1[[#This Row],[Revenue]]-Table2_1[[#This Row],[COGS]]</f>
        <v>385.5</v>
      </c>
      <c r="R621" s="39">
        <f>WEEKDAY(Table2_1[[#This Row],[Transaction  Date]])</f>
        <v>2</v>
      </c>
      <c r="S621" s="17" t="str">
        <f>IF(WEEKDAY(Table2_1[[#This Row],[Transaction  Date]],2)&lt;=5,"Weekday","Weekend")</f>
        <v>Weekday</v>
      </c>
      <c r="T621" s="37" t="str">
        <f>FLOOR(Table2_1[[#This Row],[Age]],15)&amp; "-"&amp; FLOOR(Table2_1[[#This Row],[Age]],15)+14</f>
        <v>45-59</v>
      </c>
    </row>
    <row r="622" spans="1:20" x14ac:dyDescent="0.3">
      <c r="A622" s="18">
        <v>45425</v>
      </c>
      <c r="B622" s="17" t="s">
        <v>1499</v>
      </c>
      <c r="C622" s="17" t="s">
        <v>78</v>
      </c>
      <c r="D622" s="18">
        <v>35362</v>
      </c>
      <c r="E622" s="16" t="s">
        <v>68</v>
      </c>
      <c r="F622" s="31">
        <v>79</v>
      </c>
      <c r="G622" s="17" t="s">
        <v>42</v>
      </c>
      <c r="H622" s="17" t="s">
        <v>28</v>
      </c>
      <c r="I622" s="17" t="s">
        <v>17</v>
      </c>
      <c r="J622" s="27">
        <v>0.1</v>
      </c>
      <c r="K622" s="17" t="s">
        <v>926</v>
      </c>
      <c r="L622" s="32">
        <v>10</v>
      </c>
      <c r="M622" s="32">
        <f>_xlfn.XLOOKUP(Table2_1[[#This Row],[Product Code]],Product_Code,Unit_Price,0)</f>
        <v>11</v>
      </c>
      <c r="N622" s="31">
        <f>DATEDIF(Table2_1[[#This Row],[Buyer Date of Birth]],Table2_1[[#This Row],[Transaction  Date]],"Y")</f>
        <v>27</v>
      </c>
      <c r="O622" s="33">
        <v>790</v>
      </c>
      <c r="P622" s="33">
        <f>Table2_1[[#This Row],[Quantity Purchased]]*Table2_1[[#This Row],[UnitPrice]]*(1-Table2_1[[#This Row],[Discount]])</f>
        <v>782.1</v>
      </c>
      <c r="Q622" s="33">
        <f>Table2_1[[#This Row],[Revenue]]-Table2_1[[#This Row],[COGS]]</f>
        <v>-7.8999999999999773</v>
      </c>
      <c r="R622" s="39">
        <f>WEEKDAY(Table2_1[[#This Row],[Transaction  Date]])</f>
        <v>2</v>
      </c>
      <c r="S622" s="17" t="str">
        <f>IF(WEEKDAY(Table2_1[[#This Row],[Transaction  Date]],2)&lt;=5,"Weekday","Weekend")</f>
        <v>Weekday</v>
      </c>
      <c r="T622" s="37" t="str">
        <f>FLOOR(Table2_1[[#This Row],[Age]],15)&amp; "-"&amp; FLOOR(Table2_1[[#This Row],[Age]],15)+14</f>
        <v>15-29</v>
      </c>
    </row>
    <row r="623" spans="1:20" x14ac:dyDescent="0.3">
      <c r="A623" s="18">
        <v>45425</v>
      </c>
      <c r="B623" s="17" t="s">
        <v>1500</v>
      </c>
      <c r="C623" s="17" t="s">
        <v>13</v>
      </c>
      <c r="D623" s="18">
        <v>33789</v>
      </c>
      <c r="E623" s="16" t="s">
        <v>14</v>
      </c>
      <c r="F623" s="31">
        <v>414</v>
      </c>
      <c r="G623" s="17" t="s">
        <v>27</v>
      </c>
      <c r="H623" s="17" t="s">
        <v>43</v>
      </c>
      <c r="I623" s="17" t="s">
        <v>17</v>
      </c>
      <c r="J623" s="27">
        <v>0.1</v>
      </c>
      <c r="K623" s="17" t="s">
        <v>927</v>
      </c>
      <c r="L623" s="32">
        <v>18</v>
      </c>
      <c r="M623" s="32">
        <f>_xlfn.XLOOKUP(Table2_1[[#This Row],[Product Code]],Product_Code,Unit_Price,0)</f>
        <v>22</v>
      </c>
      <c r="N623" s="31">
        <f>DATEDIF(Table2_1[[#This Row],[Buyer Date of Birth]],Table2_1[[#This Row],[Transaction  Date]],"Y")</f>
        <v>31</v>
      </c>
      <c r="O623" s="33">
        <v>7452</v>
      </c>
      <c r="P623" s="33">
        <f>Table2_1[[#This Row],[Quantity Purchased]]*Table2_1[[#This Row],[UnitPrice]]*(1-Table2_1[[#This Row],[Discount]])</f>
        <v>8197.2000000000007</v>
      </c>
      <c r="Q623" s="33">
        <f>Table2_1[[#This Row],[Revenue]]-Table2_1[[#This Row],[COGS]]</f>
        <v>745.20000000000073</v>
      </c>
      <c r="R623" s="39">
        <f>WEEKDAY(Table2_1[[#This Row],[Transaction  Date]])</f>
        <v>2</v>
      </c>
      <c r="S623" s="17" t="str">
        <f>IF(WEEKDAY(Table2_1[[#This Row],[Transaction  Date]],2)&lt;=5,"Weekday","Weekend")</f>
        <v>Weekday</v>
      </c>
      <c r="T623" s="37" t="str">
        <f>FLOOR(Table2_1[[#This Row],[Age]],15)&amp; "-"&amp; FLOOR(Table2_1[[#This Row],[Age]],15)+14</f>
        <v>30-44</v>
      </c>
    </row>
    <row r="624" spans="1:20" x14ac:dyDescent="0.3">
      <c r="A624" s="18">
        <v>45425</v>
      </c>
      <c r="B624" s="17" t="s">
        <v>1501</v>
      </c>
      <c r="C624" s="17" t="s">
        <v>83</v>
      </c>
      <c r="D624" s="18">
        <v>25846</v>
      </c>
      <c r="E624" s="16" t="s">
        <v>14</v>
      </c>
      <c r="F624" s="31">
        <v>83</v>
      </c>
      <c r="G624" s="17" t="s">
        <v>59</v>
      </c>
      <c r="H624" s="17" t="s">
        <v>35</v>
      </c>
      <c r="I624" s="17" t="s">
        <v>17</v>
      </c>
      <c r="J624" s="27">
        <v>0.1</v>
      </c>
      <c r="K624" s="17" t="s">
        <v>932</v>
      </c>
      <c r="L624" s="32">
        <v>19</v>
      </c>
      <c r="M624" s="32">
        <f>_xlfn.XLOOKUP(Table2_1[[#This Row],[Product Code]],Product_Code,Unit_Price,0)</f>
        <v>23</v>
      </c>
      <c r="N624" s="31">
        <f>DATEDIF(Table2_1[[#This Row],[Buyer Date of Birth]],Table2_1[[#This Row],[Transaction  Date]],"Y")</f>
        <v>53</v>
      </c>
      <c r="O624" s="33">
        <v>1577</v>
      </c>
      <c r="P624" s="33">
        <f>Table2_1[[#This Row],[Quantity Purchased]]*Table2_1[[#This Row],[UnitPrice]]*(1-Table2_1[[#This Row],[Discount]])</f>
        <v>1718.1000000000001</v>
      </c>
      <c r="Q624" s="33">
        <f>Table2_1[[#This Row],[Revenue]]-Table2_1[[#This Row],[COGS]]</f>
        <v>141.10000000000014</v>
      </c>
      <c r="R624" s="39">
        <f>WEEKDAY(Table2_1[[#This Row],[Transaction  Date]])</f>
        <v>2</v>
      </c>
      <c r="S624" s="17" t="str">
        <f>IF(WEEKDAY(Table2_1[[#This Row],[Transaction  Date]],2)&lt;=5,"Weekday","Weekend")</f>
        <v>Weekday</v>
      </c>
      <c r="T624" s="37" t="str">
        <f>FLOOR(Table2_1[[#This Row],[Age]],15)&amp; "-"&amp; FLOOR(Table2_1[[#This Row],[Age]],15)+14</f>
        <v>45-59</v>
      </c>
    </row>
    <row r="625" spans="1:20" x14ac:dyDescent="0.3">
      <c r="A625" s="18">
        <v>45425</v>
      </c>
      <c r="B625" s="17" t="s">
        <v>1502</v>
      </c>
      <c r="C625" s="17" t="s">
        <v>55</v>
      </c>
      <c r="D625" s="18">
        <v>27463</v>
      </c>
      <c r="E625" s="16" t="s">
        <v>33</v>
      </c>
      <c r="F625" s="31">
        <v>323</v>
      </c>
      <c r="G625" s="17" t="s">
        <v>56</v>
      </c>
      <c r="H625" s="17" t="s">
        <v>35</v>
      </c>
      <c r="I625" s="17" t="s">
        <v>17</v>
      </c>
      <c r="J625" s="27">
        <v>0.1</v>
      </c>
      <c r="K625" s="17" t="s">
        <v>935</v>
      </c>
      <c r="L625" s="32">
        <v>18</v>
      </c>
      <c r="M625" s="32">
        <f>_xlfn.XLOOKUP(Table2_1[[#This Row],[Product Code]],Product_Code,Unit_Price,0)</f>
        <v>36</v>
      </c>
      <c r="N625" s="31">
        <f>DATEDIF(Table2_1[[#This Row],[Buyer Date of Birth]],Table2_1[[#This Row],[Transaction  Date]],"Y")</f>
        <v>49</v>
      </c>
      <c r="O625" s="33">
        <v>5814</v>
      </c>
      <c r="P625" s="33">
        <f>Table2_1[[#This Row],[Quantity Purchased]]*Table2_1[[#This Row],[UnitPrice]]*(1-Table2_1[[#This Row],[Discount]])</f>
        <v>10465.200000000001</v>
      </c>
      <c r="Q625" s="33">
        <f>Table2_1[[#This Row],[Revenue]]-Table2_1[[#This Row],[COGS]]</f>
        <v>4651.2000000000007</v>
      </c>
      <c r="R625" s="39">
        <f>WEEKDAY(Table2_1[[#This Row],[Transaction  Date]])</f>
        <v>2</v>
      </c>
      <c r="S625" s="17" t="str">
        <f>IF(WEEKDAY(Table2_1[[#This Row],[Transaction  Date]],2)&lt;=5,"Weekday","Weekend")</f>
        <v>Weekday</v>
      </c>
      <c r="T625" s="37" t="str">
        <f>FLOOR(Table2_1[[#This Row],[Age]],15)&amp; "-"&amp; FLOOR(Table2_1[[#This Row],[Age]],15)+14</f>
        <v>45-59</v>
      </c>
    </row>
    <row r="626" spans="1:20" x14ac:dyDescent="0.3">
      <c r="A626" s="18">
        <v>45426</v>
      </c>
      <c r="B626" s="17" t="s">
        <v>1503</v>
      </c>
      <c r="C626" s="17" t="s">
        <v>46</v>
      </c>
      <c r="D626" s="18">
        <v>30424</v>
      </c>
      <c r="E626" s="16" t="s">
        <v>14</v>
      </c>
      <c r="F626" s="31">
        <v>401</v>
      </c>
      <c r="G626" s="17" t="s">
        <v>59</v>
      </c>
      <c r="H626" s="17" t="s">
        <v>52</v>
      </c>
      <c r="I626" s="17" t="s">
        <v>17</v>
      </c>
      <c r="J626" s="27">
        <v>0.1</v>
      </c>
      <c r="K626" s="17" t="s">
        <v>932</v>
      </c>
      <c r="L626" s="32">
        <v>19</v>
      </c>
      <c r="M626" s="32">
        <f>_xlfn.XLOOKUP(Table2_1[[#This Row],[Product Code]],Product_Code,Unit_Price,0)</f>
        <v>23</v>
      </c>
      <c r="N626" s="31">
        <f>DATEDIF(Table2_1[[#This Row],[Buyer Date of Birth]],Table2_1[[#This Row],[Transaction  Date]],"Y")</f>
        <v>41</v>
      </c>
      <c r="O626" s="33">
        <v>7619</v>
      </c>
      <c r="P626" s="33">
        <f>Table2_1[[#This Row],[Quantity Purchased]]*Table2_1[[#This Row],[UnitPrice]]*(1-Table2_1[[#This Row],[Discount]])</f>
        <v>8300.7000000000007</v>
      </c>
      <c r="Q626" s="33">
        <f>Table2_1[[#This Row],[Revenue]]-Table2_1[[#This Row],[COGS]]</f>
        <v>681.70000000000073</v>
      </c>
      <c r="R626" s="39">
        <f>WEEKDAY(Table2_1[[#This Row],[Transaction  Date]])</f>
        <v>3</v>
      </c>
      <c r="S626" s="17" t="str">
        <f>IF(WEEKDAY(Table2_1[[#This Row],[Transaction  Date]],2)&lt;=5,"Weekday","Weekend")</f>
        <v>Weekday</v>
      </c>
      <c r="T626" s="37" t="str">
        <f>FLOOR(Table2_1[[#This Row],[Age]],15)&amp; "-"&amp; FLOOR(Table2_1[[#This Row],[Age]],15)+14</f>
        <v>30-44</v>
      </c>
    </row>
    <row r="627" spans="1:20" x14ac:dyDescent="0.3">
      <c r="A627" s="18">
        <v>45426</v>
      </c>
      <c r="B627" s="17" t="s">
        <v>1504</v>
      </c>
      <c r="C627" s="17" t="s">
        <v>78</v>
      </c>
      <c r="D627" s="18">
        <v>37884</v>
      </c>
      <c r="E627" s="16" t="s">
        <v>14</v>
      </c>
      <c r="F627" s="31">
        <v>136</v>
      </c>
      <c r="G627" s="17" t="s">
        <v>56</v>
      </c>
      <c r="H627" s="17" t="s">
        <v>48</v>
      </c>
      <c r="I627" s="17" t="s">
        <v>29</v>
      </c>
      <c r="J627" s="27">
        <v>0.1</v>
      </c>
      <c r="K627" s="17" t="s">
        <v>935</v>
      </c>
      <c r="L627" s="32">
        <v>18</v>
      </c>
      <c r="M627" s="32">
        <f>_xlfn.XLOOKUP(Table2_1[[#This Row],[Product Code]],Product_Code,Unit_Price,0)</f>
        <v>36</v>
      </c>
      <c r="N627" s="31">
        <f>DATEDIF(Table2_1[[#This Row],[Buyer Date of Birth]],Table2_1[[#This Row],[Transaction  Date]],"Y")</f>
        <v>20</v>
      </c>
      <c r="O627" s="33">
        <v>2448</v>
      </c>
      <c r="P627" s="33">
        <f>Table2_1[[#This Row],[Quantity Purchased]]*Table2_1[[#This Row],[UnitPrice]]*(1-Table2_1[[#This Row],[Discount]])</f>
        <v>4406.4000000000005</v>
      </c>
      <c r="Q627" s="33">
        <f>Table2_1[[#This Row],[Revenue]]-Table2_1[[#This Row],[COGS]]</f>
        <v>1958.4000000000005</v>
      </c>
      <c r="R627" s="39">
        <f>WEEKDAY(Table2_1[[#This Row],[Transaction  Date]])</f>
        <v>3</v>
      </c>
      <c r="S627" s="17" t="str">
        <f>IF(WEEKDAY(Table2_1[[#This Row],[Transaction  Date]],2)&lt;=5,"Weekday","Weekend")</f>
        <v>Weekday</v>
      </c>
      <c r="T627" s="37" t="str">
        <f>FLOOR(Table2_1[[#This Row],[Age]],15)&amp; "-"&amp; FLOOR(Table2_1[[#This Row],[Age]],15)+14</f>
        <v>15-29</v>
      </c>
    </row>
    <row r="628" spans="1:20" x14ac:dyDescent="0.3">
      <c r="A628" s="18">
        <v>45426</v>
      </c>
      <c r="B628" s="17" t="s">
        <v>1505</v>
      </c>
      <c r="C628" s="17" t="s">
        <v>32</v>
      </c>
      <c r="D628" s="18">
        <v>38740</v>
      </c>
      <c r="E628" s="16" t="s">
        <v>33</v>
      </c>
      <c r="F628" s="31">
        <v>434</v>
      </c>
      <c r="G628" s="17" t="s">
        <v>59</v>
      </c>
      <c r="H628" s="17" t="s">
        <v>52</v>
      </c>
      <c r="I628" s="17" t="s">
        <v>17</v>
      </c>
      <c r="J628" s="27">
        <v>0.1</v>
      </c>
      <c r="K628" s="17" t="s">
        <v>932</v>
      </c>
      <c r="L628" s="32">
        <v>19</v>
      </c>
      <c r="M628" s="32">
        <f>_xlfn.XLOOKUP(Table2_1[[#This Row],[Product Code]],Product_Code,Unit_Price,0)</f>
        <v>23</v>
      </c>
      <c r="N628" s="31">
        <f>DATEDIF(Table2_1[[#This Row],[Buyer Date of Birth]],Table2_1[[#This Row],[Transaction  Date]],"Y")</f>
        <v>18</v>
      </c>
      <c r="O628" s="33">
        <v>8246</v>
      </c>
      <c r="P628" s="33">
        <f>Table2_1[[#This Row],[Quantity Purchased]]*Table2_1[[#This Row],[UnitPrice]]*(1-Table2_1[[#This Row],[Discount]])</f>
        <v>8983.8000000000011</v>
      </c>
      <c r="Q628" s="33">
        <f>Table2_1[[#This Row],[Revenue]]-Table2_1[[#This Row],[COGS]]</f>
        <v>737.80000000000109</v>
      </c>
      <c r="R628" s="39">
        <f>WEEKDAY(Table2_1[[#This Row],[Transaction  Date]])</f>
        <v>3</v>
      </c>
      <c r="S628" s="17" t="str">
        <f>IF(WEEKDAY(Table2_1[[#This Row],[Transaction  Date]],2)&lt;=5,"Weekday","Weekend")</f>
        <v>Weekday</v>
      </c>
      <c r="T628" s="37" t="str">
        <f>FLOOR(Table2_1[[#This Row],[Age]],15)&amp; "-"&amp; FLOOR(Table2_1[[#This Row],[Age]],15)+14</f>
        <v>15-29</v>
      </c>
    </row>
    <row r="629" spans="1:20" x14ac:dyDescent="0.3">
      <c r="A629" s="18">
        <v>45426</v>
      </c>
      <c r="B629" s="17" t="s">
        <v>1506</v>
      </c>
      <c r="C629" s="17" t="s">
        <v>78</v>
      </c>
      <c r="D629" s="18">
        <v>24447</v>
      </c>
      <c r="E629" s="16" t="s">
        <v>14</v>
      </c>
      <c r="F629" s="31">
        <v>90</v>
      </c>
      <c r="G629" s="17" t="s">
        <v>56</v>
      </c>
      <c r="H629" s="17" t="s">
        <v>52</v>
      </c>
      <c r="I629" s="17" t="s">
        <v>17</v>
      </c>
      <c r="J629" s="27">
        <v>0.1</v>
      </c>
      <c r="K629" s="17" t="s">
        <v>935</v>
      </c>
      <c r="L629" s="32">
        <v>18</v>
      </c>
      <c r="M629" s="32">
        <f>_xlfn.XLOOKUP(Table2_1[[#This Row],[Product Code]],Product_Code,Unit_Price,0)</f>
        <v>36</v>
      </c>
      <c r="N629" s="31">
        <f>DATEDIF(Table2_1[[#This Row],[Buyer Date of Birth]],Table2_1[[#This Row],[Transaction  Date]],"Y")</f>
        <v>57</v>
      </c>
      <c r="O629" s="33">
        <v>1620</v>
      </c>
      <c r="P629" s="33">
        <f>Table2_1[[#This Row],[Quantity Purchased]]*Table2_1[[#This Row],[UnitPrice]]*(1-Table2_1[[#This Row],[Discount]])</f>
        <v>2916</v>
      </c>
      <c r="Q629" s="33">
        <f>Table2_1[[#This Row],[Revenue]]-Table2_1[[#This Row],[COGS]]</f>
        <v>1296</v>
      </c>
      <c r="R629" s="39">
        <f>WEEKDAY(Table2_1[[#This Row],[Transaction  Date]])</f>
        <v>3</v>
      </c>
      <c r="S629" s="17" t="str">
        <f>IF(WEEKDAY(Table2_1[[#This Row],[Transaction  Date]],2)&lt;=5,"Weekday","Weekend")</f>
        <v>Weekday</v>
      </c>
      <c r="T629" s="37" t="str">
        <f>FLOOR(Table2_1[[#This Row],[Age]],15)&amp; "-"&amp; FLOOR(Table2_1[[#This Row],[Age]],15)+14</f>
        <v>45-59</v>
      </c>
    </row>
    <row r="630" spans="1:20" x14ac:dyDescent="0.3">
      <c r="A630" s="18">
        <v>45426</v>
      </c>
      <c r="B630" s="17" t="s">
        <v>1507</v>
      </c>
      <c r="C630" s="17" t="s">
        <v>38</v>
      </c>
      <c r="D630" s="18">
        <v>33379</v>
      </c>
      <c r="E630" s="16" t="s">
        <v>33</v>
      </c>
      <c r="F630" s="31">
        <v>24</v>
      </c>
      <c r="G630" s="17" t="s">
        <v>15</v>
      </c>
      <c r="H630" s="17" t="s">
        <v>48</v>
      </c>
      <c r="I630" s="17" t="s">
        <v>17</v>
      </c>
      <c r="J630" s="27">
        <v>0.1</v>
      </c>
      <c r="K630" s="17" t="s">
        <v>929</v>
      </c>
      <c r="L630" s="32">
        <v>10</v>
      </c>
      <c r="M630" s="32">
        <f>_xlfn.XLOOKUP(Table2_1[[#This Row],[Product Code]],Product_Code,Unit_Price,0)</f>
        <v>14</v>
      </c>
      <c r="N630" s="31">
        <f>DATEDIF(Table2_1[[#This Row],[Buyer Date of Birth]],Table2_1[[#This Row],[Transaction  Date]],"Y")</f>
        <v>32</v>
      </c>
      <c r="O630" s="33">
        <v>240</v>
      </c>
      <c r="P630" s="33">
        <f>Table2_1[[#This Row],[Quantity Purchased]]*Table2_1[[#This Row],[UnitPrice]]*(1-Table2_1[[#This Row],[Discount]])</f>
        <v>302.40000000000003</v>
      </c>
      <c r="Q630" s="33">
        <f>Table2_1[[#This Row],[Revenue]]-Table2_1[[#This Row],[COGS]]</f>
        <v>62.400000000000034</v>
      </c>
      <c r="R630" s="39">
        <f>WEEKDAY(Table2_1[[#This Row],[Transaction  Date]])</f>
        <v>3</v>
      </c>
      <c r="S630" s="17" t="str">
        <f>IF(WEEKDAY(Table2_1[[#This Row],[Transaction  Date]],2)&lt;=5,"Weekday","Weekend")</f>
        <v>Weekday</v>
      </c>
      <c r="T630" s="37" t="str">
        <f>FLOOR(Table2_1[[#This Row],[Age]],15)&amp; "-"&amp; FLOOR(Table2_1[[#This Row],[Age]],15)+14</f>
        <v>30-44</v>
      </c>
    </row>
    <row r="631" spans="1:20" x14ac:dyDescent="0.3">
      <c r="A631" s="18">
        <v>45427</v>
      </c>
      <c r="B631" s="17" t="s">
        <v>1508</v>
      </c>
      <c r="C631" s="17" t="s">
        <v>94</v>
      </c>
      <c r="D631" s="18">
        <v>32639</v>
      </c>
      <c r="E631" s="16" t="s">
        <v>33</v>
      </c>
      <c r="F631" s="31">
        <v>35</v>
      </c>
      <c r="G631" s="17" t="s">
        <v>21</v>
      </c>
      <c r="H631" s="17" t="s">
        <v>52</v>
      </c>
      <c r="I631" s="17" t="s">
        <v>17</v>
      </c>
      <c r="J631" s="27">
        <v>0.1</v>
      </c>
      <c r="K631" s="17" t="s">
        <v>934</v>
      </c>
      <c r="L631" s="32">
        <v>10</v>
      </c>
      <c r="M631" s="32">
        <f>_xlfn.XLOOKUP(Table2_1[[#This Row],[Product Code]],Product_Code,Unit_Price,0)</f>
        <v>45</v>
      </c>
      <c r="N631" s="31">
        <f>DATEDIF(Table2_1[[#This Row],[Buyer Date of Birth]],Table2_1[[#This Row],[Transaction  Date]],"Y")</f>
        <v>35</v>
      </c>
      <c r="O631" s="33">
        <v>350</v>
      </c>
      <c r="P631" s="33">
        <f>Table2_1[[#This Row],[Quantity Purchased]]*Table2_1[[#This Row],[UnitPrice]]*(1-Table2_1[[#This Row],[Discount]])</f>
        <v>1417.5</v>
      </c>
      <c r="Q631" s="33">
        <f>Table2_1[[#This Row],[Revenue]]-Table2_1[[#This Row],[COGS]]</f>
        <v>1067.5</v>
      </c>
      <c r="R631" s="39">
        <f>WEEKDAY(Table2_1[[#This Row],[Transaction  Date]])</f>
        <v>4</v>
      </c>
      <c r="S631" s="17" t="str">
        <f>IF(WEEKDAY(Table2_1[[#This Row],[Transaction  Date]],2)&lt;=5,"Weekday","Weekend")</f>
        <v>Weekday</v>
      </c>
      <c r="T631" s="37" t="str">
        <f>FLOOR(Table2_1[[#This Row],[Age]],15)&amp; "-"&amp; FLOOR(Table2_1[[#This Row],[Age]],15)+14</f>
        <v>30-44</v>
      </c>
    </row>
    <row r="632" spans="1:20" x14ac:dyDescent="0.3">
      <c r="A632" s="18">
        <v>45427</v>
      </c>
      <c r="B632" s="17" t="s">
        <v>1509</v>
      </c>
      <c r="C632" s="17" t="s">
        <v>51</v>
      </c>
      <c r="D632" s="18">
        <v>35762</v>
      </c>
      <c r="E632" s="16" t="s">
        <v>33</v>
      </c>
      <c r="F632" s="31">
        <v>139</v>
      </c>
      <c r="G632" s="17" t="s">
        <v>65</v>
      </c>
      <c r="H632" s="17" t="s">
        <v>48</v>
      </c>
      <c r="I632" s="17" t="s">
        <v>17</v>
      </c>
      <c r="J632" s="27">
        <v>0.1</v>
      </c>
      <c r="K632" s="17" t="s">
        <v>928</v>
      </c>
      <c r="L632" s="32">
        <v>3</v>
      </c>
      <c r="M632" s="32">
        <f>_xlfn.XLOOKUP(Table2_1[[#This Row],[Product Code]],Product_Code,Unit_Price,0)</f>
        <v>5</v>
      </c>
      <c r="N632" s="31">
        <f>DATEDIF(Table2_1[[#This Row],[Buyer Date of Birth]],Table2_1[[#This Row],[Transaction  Date]],"Y")</f>
        <v>26</v>
      </c>
      <c r="O632" s="33">
        <v>417</v>
      </c>
      <c r="P632" s="33">
        <f>Table2_1[[#This Row],[Quantity Purchased]]*Table2_1[[#This Row],[UnitPrice]]*(1-Table2_1[[#This Row],[Discount]])</f>
        <v>625.5</v>
      </c>
      <c r="Q632" s="33">
        <f>Table2_1[[#This Row],[Revenue]]-Table2_1[[#This Row],[COGS]]</f>
        <v>208.5</v>
      </c>
      <c r="R632" s="39">
        <f>WEEKDAY(Table2_1[[#This Row],[Transaction  Date]])</f>
        <v>4</v>
      </c>
      <c r="S632" s="17" t="str">
        <f>IF(WEEKDAY(Table2_1[[#This Row],[Transaction  Date]],2)&lt;=5,"Weekday","Weekend")</f>
        <v>Weekday</v>
      </c>
      <c r="T632" s="37" t="str">
        <f>FLOOR(Table2_1[[#This Row],[Age]],15)&amp; "-"&amp; FLOOR(Table2_1[[#This Row],[Age]],15)+14</f>
        <v>15-29</v>
      </c>
    </row>
    <row r="633" spans="1:20" x14ac:dyDescent="0.3">
      <c r="A633" s="18">
        <v>45427</v>
      </c>
      <c r="B633" s="17" t="s">
        <v>1510</v>
      </c>
      <c r="C633" s="17" t="s">
        <v>32</v>
      </c>
      <c r="D633" s="18">
        <v>32833</v>
      </c>
      <c r="E633" s="16" t="s">
        <v>20</v>
      </c>
      <c r="F633" s="31">
        <v>166</v>
      </c>
      <c r="G633" s="17" t="s">
        <v>34</v>
      </c>
      <c r="H633" s="17" t="s">
        <v>52</v>
      </c>
      <c r="I633" s="17" t="s">
        <v>17</v>
      </c>
      <c r="J633" s="27">
        <v>0.1</v>
      </c>
      <c r="K633" s="17" t="s">
        <v>930</v>
      </c>
      <c r="L633" s="32">
        <v>14</v>
      </c>
      <c r="M633" s="32">
        <f>_xlfn.XLOOKUP(Table2_1[[#This Row],[Product Code]],Product_Code,Unit_Price,0)</f>
        <v>28</v>
      </c>
      <c r="N633" s="31">
        <f>DATEDIF(Table2_1[[#This Row],[Buyer Date of Birth]],Table2_1[[#This Row],[Transaction  Date]],"Y")</f>
        <v>34</v>
      </c>
      <c r="O633" s="33">
        <v>2324</v>
      </c>
      <c r="P633" s="33">
        <f>Table2_1[[#This Row],[Quantity Purchased]]*Table2_1[[#This Row],[UnitPrice]]*(1-Table2_1[[#This Row],[Discount]])</f>
        <v>4183.2</v>
      </c>
      <c r="Q633" s="33">
        <f>Table2_1[[#This Row],[Revenue]]-Table2_1[[#This Row],[COGS]]</f>
        <v>1859.1999999999998</v>
      </c>
      <c r="R633" s="39">
        <f>WEEKDAY(Table2_1[[#This Row],[Transaction  Date]])</f>
        <v>4</v>
      </c>
      <c r="S633" s="17" t="str">
        <f>IF(WEEKDAY(Table2_1[[#This Row],[Transaction  Date]],2)&lt;=5,"Weekday","Weekend")</f>
        <v>Weekday</v>
      </c>
      <c r="T633" s="37" t="str">
        <f>FLOOR(Table2_1[[#This Row],[Age]],15)&amp; "-"&amp; FLOOR(Table2_1[[#This Row],[Age]],15)+14</f>
        <v>30-44</v>
      </c>
    </row>
    <row r="634" spans="1:20" x14ac:dyDescent="0.3">
      <c r="A634" s="18">
        <v>45427</v>
      </c>
      <c r="B634" s="17" t="s">
        <v>1511</v>
      </c>
      <c r="C634" s="17" t="s">
        <v>38</v>
      </c>
      <c r="D634" s="18">
        <v>33567</v>
      </c>
      <c r="E634" s="16" t="s">
        <v>14</v>
      </c>
      <c r="F634" s="31">
        <v>445</v>
      </c>
      <c r="G634" s="17" t="s">
        <v>34</v>
      </c>
      <c r="H634" s="17" t="s">
        <v>48</v>
      </c>
      <c r="I634" s="17" t="s">
        <v>17</v>
      </c>
      <c r="J634" s="27">
        <v>0.1</v>
      </c>
      <c r="K634" s="17" t="s">
        <v>930</v>
      </c>
      <c r="L634" s="32">
        <v>14</v>
      </c>
      <c r="M634" s="32">
        <f>_xlfn.XLOOKUP(Table2_1[[#This Row],[Product Code]],Product_Code,Unit_Price,0)</f>
        <v>28</v>
      </c>
      <c r="N634" s="31">
        <f>DATEDIF(Table2_1[[#This Row],[Buyer Date of Birth]],Table2_1[[#This Row],[Transaction  Date]],"Y")</f>
        <v>32</v>
      </c>
      <c r="O634" s="33">
        <v>6230</v>
      </c>
      <c r="P634" s="33">
        <f>Table2_1[[#This Row],[Quantity Purchased]]*Table2_1[[#This Row],[UnitPrice]]*(1-Table2_1[[#This Row],[Discount]])</f>
        <v>11214</v>
      </c>
      <c r="Q634" s="33">
        <f>Table2_1[[#This Row],[Revenue]]-Table2_1[[#This Row],[COGS]]</f>
        <v>4984</v>
      </c>
      <c r="R634" s="39">
        <f>WEEKDAY(Table2_1[[#This Row],[Transaction  Date]])</f>
        <v>4</v>
      </c>
      <c r="S634" s="17" t="str">
        <f>IF(WEEKDAY(Table2_1[[#This Row],[Transaction  Date]],2)&lt;=5,"Weekday","Weekend")</f>
        <v>Weekday</v>
      </c>
      <c r="T634" s="37" t="str">
        <f>FLOOR(Table2_1[[#This Row],[Age]],15)&amp; "-"&amp; FLOOR(Table2_1[[#This Row],[Age]],15)+14</f>
        <v>30-44</v>
      </c>
    </row>
    <row r="635" spans="1:20" x14ac:dyDescent="0.3">
      <c r="A635" s="18">
        <v>45428</v>
      </c>
      <c r="B635" s="17" t="s">
        <v>1512</v>
      </c>
      <c r="C635" s="17" t="s">
        <v>55</v>
      </c>
      <c r="D635" s="18">
        <v>33405</v>
      </c>
      <c r="E635" s="16" t="s">
        <v>33</v>
      </c>
      <c r="F635" s="31">
        <v>440</v>
      </c>
      <c r="G635" s="17" t="s">
        <v>27</v>
      </c>
      <c r="H635" s="17" t="s">
        <v>52</v>
      </c>
      <c r="I635" s="17" t="s">
        <v>17</v>
      </c>
      <c r="J635" s="27">
        <v>0.1</v>
      </c>
      <c r="K635" s="17" t="s">
        <v>927</v>
      </c>
      <c r="L635" s="32">
        <v>18</v>
      </c>
      <c r="M635" s="32">
        <f>_xlfn.XLOOKUP(Table2_1[[#This Row],[Product Code]],Product_Code,Unit_Price,0)</f>
        <v>22</v>
      </c>
      <c r="N635" s="31">
        <f>DATEDIF(Table2_1[[#This Row],[Buyer Date of Birth]],Table2_1[[#This Row],[Transaction  Date]],"Y")</f>
        <v>32</v>
      </c>
      <c r="O635" s="33">
        <v>7920</v>
      </c>
      <c r="P635" s="33">
        <f>Table2_1[[#This Row],[Quantity Purchased]]*Table2_1[[#This Row],[UnitPrice]]*(1-Table2_1[[#This Row],[Discount]])</f>
        <v>8712</v>
      </c>
      <c r="Q635" s="33">
        <f>Table2_1[[#This Row],[Revenue]]-Table2_1[[#This Row],[COGS]]</f>
        <v>792</v>
      </c>
      <c r="R635" s="39">
        <f>WEEKDAY(Table2_1[[#This Row],[Transaction  Date]])</f>
        <v>5</v>
      </c>
      <c r="S635" s="17" t="str">
        <f>IF(WEEKDAY(Table2_1[[#This Row],[Transaction  Date]],2)&lt;=5,"Weekday","Weekend")</f>
        <v>Weekday</v>
      </c>
      <c r="T635" s="37" t="str">
        <f>FLOOR(Table2_1[[#This Row],[Age]],15)&amp; "-"&amp; FLOOR(Table2_1[[#This Row],[Age]],15)+14</f>
        <v>30-44</v>
      </c>
    </row>
    <row r="636" spans="1:20" x14ac:dyDescent="0.3">
      <c r="A636" s="18">
        <v>45429</v>
      </c>
      <c r="B636" s="17" t="s">
        <v>1513</v>
      </c>
      <c r="C636" s="17" t="s">
        <v>38</v>
      </c>
      <c r="D636" s="18">
        <v>21171</v>
      </c>
      <c r="E636" s="16" t="s">
        <v>14</v>
      </c>
      <c r="F636" s="31">
        <v>493</v>
      </c>
      <c r="G636" s="17" t="s">
        <v>21</v>
      </c>
      <c r="H636" s="17" t="s">
        <v>48</v>
      </c>
      <c r="I636" s="17" t="s">
        <v>17</v>
      </c>
      <c r="J636" s="27">
        <v>0.1</v>
      </c>
      <c r="K636" s="17" t="s">
        <v>934</v>
      </c>
      <c r="L636" s="32">
        <v>10</v>
      </c>
      <c r="M636" s="32">
        <f>_xlfn.XLOOKUP(Table2_1[[#This Row],[Product Code]],Product_Code,Unit_Price,0)</f>
        <v>45</v>
      </c>
      <c r="N636" s="31">
        <f>DATEDIF(Table2_1[[#This Row],[Buyer Date of Birth]],Table2_1[[#This Row],[Transaction  Date]],"Y")</f>
        <v>66</v>
      </c>
      <c r="O636" s="33">
        <v>4930</v>
      </c>
      <c r="P636" s="33">
        <f>Table2_1[[#This Row],[Quantity Purchased]]*Table2_1[[#This Row],[UnitPrice]]*(1-Table2_1[[#This Row],[Discount]])</f>
        <v>19966.5</v>
      </c>
      <c r="Q636" s="33">
        <f>Table2_1[[#This Row],[Revenue]]-Table2_1[[#This Row],[COGS]]</f>
        <v>15036.5</v>
      </c>
      <c r="R636" s="39">
        <f>WEEKDAY(Table2_1[[#This Row],[Transaction  Date]])</f>
        <v>6</v>
      </c>
      <c r="S636" s="17" t="str">
        <f>IF(WEEKDAY(Table2_1[[#This Row],[Transaction  Date]],2)&lt;=5,"Weekday","Weekend")</f>
        <v>Weekday</v>
      </c>
      <c r="T636" s="37" t="str">
        <f>FLOOR(Table2_1[[#This Row],[Age]],15)&amp; "-"&amp; FLOOR(Table2_1[[#This Row],[Age]],15)+14</f>
        <v>60-74</v>
      </c>
    </row>
    <row r="637" spans="1:20" x14ac:dyDescent="0.3">
      <c r="A637" s="18">
        <v>45429</v>
      </c>
      <c r="B637" s="17" t="s">
        <v>1872</v>
      </c>
      <c r="C637" s="17" t="s">
        <v>55</v>
      </c>
      <c r="D637" s="18">
        <v>33536</v>
      </c>
      <c r="E637" s="16" t="s">
        <v>68</v>
      </c>
      <c r="F637" s="31">
        <v>260</v>
      </c>
      <c r="G637" s="17" t="s">
        <v>42</v>
      </c>
      <c r="H637" s="17" t="s">
        <v>52</v>
      </c>
      <c r="I637" s="17" t="s">
        <v>17</v>
      </c>
      <c r="J637" s="27">
        <v>0.1</v>
      </c>
      <c r="K637" s="17" t="s">
        <v>926</v>
      </c>
      <c r="L637" s="32">
        <v>10</v>
      </c>
      <c r="M637" s="32">
        <f>_xlfn.XLOOKUP(Table2_1[[#This Row],[Product Code]],Product_Code,Unit_Price,0)</f>
        <v>11</v>
      </c>
      <c r="N637" s="31">
        <f>DATEDIF(Table2_1[[#This Row],[Buyer Date of Birth]],Table2_1[[#This Row],[Transaction  Date]],"Y")</f>
        <v>32</v>
      </c>
      <c r="O637" s="33">
        <v>2600</v>
      </c>
      <c r="P637" s="33">
        <f>Table2_1[[#This Row],[Quantity Purchased]]*Table2_1[[#This Row],[UnitPrice]]*(1-Table2_1[[#This Row],[Discount]])</f>
        <v>2574</v>
      </c>
      <c r="Q637" s="33">
        <f>Table2_1[[#This Row],[Revenue]]-Table2_1[[#This Row],[COGS]]</f>
        <v>-26</v>
      </c>
      <c r="R637" s="39">
        <f>WEEKDAY(Table2_1[[#This Row],[Transaction  Date]])</f>
        <v>6</v>
      </c>
      <c r="S637" s="17" t="str">
        <f>IF(WEEKDAY(Table2_1[[#This Row],[Transaction  Date]],2)&lt;=5,"Weekday","Weekend")</f>
        <v>Weekday</v>
      </c>
      <c r="T637" s="37" t="str">
        <f>FLOOR(Table2_1[[#This Row],[Age]],15)&amp; "-"&amp; FLOOR(Table2_1[[#This Row],[Age]],15)+14</f>
        <v>30-44</v>
      </c>
    </row>
    <row r="638" spans="1:20" x14ac:dyDescent="0.3">
      <c r="A638" s="18">
        <v>45429</v>
      </c>
      <c r="B638" s="17" t="s">
        <v>1514</v>
      </c>
      <c r="C638" s="17" t="s">
        <v>26</v>
      </c>
      <c r="D638" s="18">
        <v>22128</v>
      </c>
      <c r="E638" s="16" t="s">
        <v>68</v>
      </c>
      <c r="F638" s="31">
        <v>197</v>
      </c>
      <c r="G638" s="17" t="s">
        <v>65</v>
      </c>
      <c r="H638" s="17" t="s">
        <v>48</v>
      </c>
      <c r="I638" s="17" t="s">
        <v>17</v>
      </c>
      <c r="J638" s="27">
        <v>0.1</v>
      </c>
      <c r="K638" s="17" t="s">
        <v>928</v>
      </c>
      <c r="L638" s="32">
        <v>3</v>
      </c>
      <c r="M638" s="32">
        <f>_xlfn.XLOOKUP(Table2_1[[#This Row],[Product Code]],Product_Code,Unit_Price,0)</f>
        <v>5</v>
      </c>
      <c r="N638" s="31">
        <f>DATEDIF(Table2_1[[#This Row],[Buyer Date of Birth]],Table2_1[[#This Row],[Transaction  Date]],"Y")</f>
        <v>63</v>
      </c>
      <c r="O638" s="33">
        <v>591</v>
      </c>
      <c r="P638" s="33">
        <f>Table2_1[[#This Row],[Quantity Purchased]]*Table2_1[[#This Row],[UnitPrice]]*(1-Table2_1[[#This Row],[Discount]])</f>
        <v>886.5</v>
      </c>
      <c r="Q638" s="33">
        <f>Table2_1[[#This Row],[Revenue]]-Table2_1[[#This Row],[COGS]]</f>
        <v>295.5</v>
      </c>
      <c r="R638" s="39">
        <f>WEEKDAY(Table2_1[[#This Row],[Transaction  Date]])</f>
        <v>6</v>
      </c>
      <c r="S638" s="17" t="str">
        <f>IF(WEEKDAY(Table2_1[[#This Row],[Transaction  Date]],2)&lt;=5,"Weekday","Weekend")</f>
        <v>Weekday</v>
      </c>
      <c r="T638" s="37" t="str">
        <f>FLOOR(Table2_1[[#This Row],[Age]],15)&amp; "-"&amp; FLOOR(Table2_1[[#This Row],[Age]],15)+14</f>
        <v>60-74</v>
      </c>
    </row>
    <row r="639" spans="1:20" x14ac:dyDescent="0.3">
      <c r="A639" s="18">
        <v>45429</v>
      </c>
      <c r="B639" s="17" t="s">
        <v>1515</v>
      </c>
      <c r="C639" s="17" t="s">
        <v>83</v>
      </c>
      <c r="D639" s="18">
        <v>17505</v>
      </c>
      <c r="E639" s="16" t="s">
        <v>14</v>
      </c>
      <c r="F639" s="31">
        <v>439</v>
      </c>
      <c r="G639" s="17" t="s">
        <v>64</v>
      </c>
      <c r="H639" s="17" t="s">
        <v>35</v>
      </c>
      <c r="I639" s="17" t="s">
        <v>17</v>
      </c>
      <c r="J639" s="27">
        <v>0.1</v>
      </c>
      <c r="K639" s="17" t="s">
        <v>933</v>
      </c>
      <c r="L639" s="32">
        <v>5</v>
      </c>
      <c r="M639" s="32">
        <f>_xlfn.XLOOKUP(Table2_1[[#This Row],[Product Code]],Product_Code,Unit_Price,0)</f>
        <v>7</v>
      </c>
      <c r="N639" s="31">
        <f>DATEDIF(Table2_1[[#This Row],[Buyer Date of Birth]],Table2_1[[#This Row],[Transaction  Date]],"Y")</f>
        <v>76</v>
      </c>
      <c r="O639" s="33">
        <v>2195</v>
      </c>
      <c r="P639" s="33">
        <f>Table2_1[[#This Row],[Quantity Purchased]]*Table2_1[[#This Row],[UnitPrice]]*(1-Table2_1[[#This Row],[Discount]])</f>
        <v>2765.7000000000003</v>
      </c>
      <c r="Q639" s="33">
        <f>Table2_1[[#This Row],[Revenue]]-Table2_1[[#This Row],[COGS]]</f>
        <v>570.70000000000027</v>
      </c>
      <c r="R639" s="39">
        <f>WEEKDAY(Table2_1[[#This Row],[Transaction  Date]])</f>
        <v>6</v>
      </c>
      <c r="S639" s="17" t="str">
        <f>IF(WEEKDAY(Table2_1[[#This Row],[Transaction  Date]],2)&lt;=5,"Weekday","Weekend")</f>
        <v>Weekday</v>
      </c>
      <c r="T639" s="37" t="str">
        <f>FLOOR(Table2_1[[#This Row],[Age]],15)&amp; "-"&amp; FLOOR(Table2_1[[#This Row],[Age]],15)+14</f>
        <v>75-89</v>
      </c>
    </row>
    <row r="640" spans="1:20" x14ac:dyDescent="0.3">
      <c r="A640" s="18">
        <v>45429</v>
      </c>
      <c r="B640" s="17" t="s">
        <v>1516</v>
      </c>
      <c r="C640" s="17" t="s">
        <v>13</v>
      </c>
      <c r="D640" s="18">
        <v>24316</v>
      </c>
      <c r="E640" s="16" t="s">
        <v>33</v>
      </c>
      <c r="F640" s="31">
        <v>489</v>
      </c>
      <c r="G640" s="17" t="s">
        <v>42</v>
      </c>
      <c r="H640" s="17" t="s">
        <v>43</v>
      </c>
      <c r="I640" s="17" t="s">
        <v>17</v>
      </c>
      <c r="J640" s="27">
        <v>0.1</v>
      </c>
      <c r="K640" s="17" t="s">
        <v>926</v>
      </c>
      <c r="L640" s="32">
        <v>10</v>
      </c>
      <c r="M640" s="32">
        <f>_xlfn.XLOOKUP(Table2_1[[#This Row],[Product Code]],Product_Code,Unit_Price,0)</f>
        <v>11</v>
      </c>
      <c r="N640" s="31">
        <f>DATEDIF(Table2_1[[#This Row],[Buyer Date of Birth]],Table2_1[[#This Row],[Transaction  Date]],"Y")</f>
        <v>57</v>
      </c>
      <c r="O640" s="33">
        <v>4890</v>
      </c>
      <c r="P640" s="33">
        <f>Table2_1[[#This Row],[Quantity Purchased]]*Table2_1[[#This Row],[UnitPrice]]*(1-Table2_1[[#This Row],[Discount]])</f>
        <v>4841.1000000000004</v>
      </c>
      <c r="Q640" s="33">
        <f>Table2_1[[#This Row],[Revenue]]-Table2_1[[#This Row],[COGS]]</f>
        <v>-48.899999999999636</v>
      </c>
      <c r="R640" s="39">
        <f>WEEKDAY(Table2_1[[#This Row],[Transaction  Date]])</f>
        <v>6</v>
      </c>
      <c r="S640" s="17" t="str">
        <f>IF(WEEKDAY(Table2_1[[#This Row],[Transaction  Date]],2)&lt;=5,"Weekday","Weekend")</f>
        <v>Weekday</v>
      </c>
      <c r="T640" s="37" t="str">
        <f>FLOOR(Table2_1[[#This Row],[Age]],15)&amp; "-"&amp; FLOOR(Table2_1[[#This Row],[Age]],15)+14</f>
        <v>45-59</v>
      </c>
    </row>
    <row r="641" spans="1:20" x14ac:dyDescent="0.3">
      <c r="A641" s="18">
        <v>45430</v>
      </c>
      <c r="B641" s="17" t="s">
        <v>1517</v>
      </c>
      <c r="C641" s="17" t="s">
        <v>51</v>
      </c>
      <c r="D641" s="18">
        <v>20532</v>
      </c>
      <c r="E641" s="16" t="s">
        <v>20</v>
      </c>
      <c r="F641" s="31">
        <v>280</v>
      </c>
      <c r="G641" s="17" t="s">
        <v>21</v>
      </c>
      <c r="H641" s="17" t="s">
        <v>48</v>
      </c>
      <c r="I641" s="17" t="s">
        <v>17</v>
      </c>
      <c r="J641" s="27">
        <v>0.1</v>
      </c>
      <c r="K641" s="17" t="s">
        <v>934</v>
      </c>
      <c r="L641" s="32">
        <v>10</v>
      </c>
      <c r="M641" s="32">
        <f>_xlfn.XLOOKUP(Table2_1[[#This Row],[Product Code]],Product_Code,Unit_Price,0)</f>
        <v>45</v>
      </c>
      <c r="N641" s="31">
        <f>DATEDIF(Table2_1[[#This Row],[Buyer Date of Birth]],Table2_1[[#This Row],[Transaction  Date]],"Y")</f>
        <v>68</v>
      </c>
      <c r="O641" s="33">
        <v>2800</v>
      </c>
      <c r="P641" s="33">
        <f>Table2_1[[#This Row],[Quantity Purchased]]*Table2_1[[#This Row],[UnitPrice]]*(1-Table2_1[[#This Row],[Discount]])</f>
        <v>11340</v>
      </c>
      <c r="Q641" s="33">
        <f>Table2_1[[#This Row],[Revenue]]-Table2_1[[#This Row],[COGS]]</f>
        <v>8540</v>
      </c>
      <c r="R641" s="39">
        <f>WEEKDAY(Table2_1[[#This Row],[Transaction  Date]])</f>
        <v>7</v>
      </c>
      <c r="S641" s="17" t="str">
        <f>IF(WEEKDAY(Table2_1[[#This Row],[Transaction  Date]],2)&lt;=5,"Weekday","Weekend")</f>
        <v>Weekend</v>
      </c>
      <c r="T641" s="37" t="str">
        <f>FLOOR(Table2_1[[#This Row],[Age]],15)&amp; "-"&amp; FLOOR(Table2_1[[#This Row],[Age]],15)+14</f>
        <v>60-74</v>
      </c>
    </row>
    <row r="642" spans="1:20" x14ac:dyDescent="0.3">
      <c r="A642" s="18">
        <v>45430</v>
      </c>
      <c r="B642" s="17" t="s">
        <v>1518</v>
      </c>
      <c r="C642" s="17" t="s">
        <v>71</v>
      </c>
      <c r="D642" s="18">
        <v>24301</v>
      </c>
      <c r="E642" s="16" t="s">
        <v>68</v>
      </c>
      <c r="F642" s="31">
        <v>172</v>
      </c>
      <c r="G642" s="17" t="s">
        <v>59</v>
      </c>
      <c r="H642" s="17" t="s">
        <v>52</v>
      </c>
      <c r="I642" s="17" t="s">
        <v>17</v>
      </c>
      <c r="J642" s="27">
        <v>0.1</v>
      </c>
      <c r="K642" s="17" t="s">
        <v>932</v>
      </c>
      <c r="L642" s="32">
        <v>19</v>
      </c>
      <c r="M642" s="32">
        <f>_xlfn.XLOOKUP(Table2_1[[#This Row],[Product Code]],Product_Code,Unit_Price,0)</f>
        <v>23</v>
      </c>
      <c r="N642" s="31">
        <f>DATEDIF(Table2_1[[#This Row],[Buyer Date of Birth]],Table2_1[[#This Row],[Transaction  Date]],"Y")</f>
        <v>57</v>
      </c>
      <c r="O642" s="33">
        <v>3268</v>
      </c>
      <c r="P642" s="33">
        <f>Table2_1[[#This Row],[Quantity Purchased]]*Table2_1[[#This Row],[UnitPrice]]*(1-Table2_1[[#This Row],[Discount]])</f>
        <v>3560.4</v>
      </c>
      <c r="Q642" s="33">
        <f>Table2_1[[#This Row],[Revenue]]-Table2_1[[#This Row],[COGS]]</f>
        <v>292.40000000000009</v>
      </c>
      <c r="R642" s="39">
        <f>WEEKDAY(Table2_1[[#This Row],[Transaction  Date]])</f>
        <v>7</v>
      </c>
      <c r="S642" s="17" t="str">
        <f>IF(WEEKDAY(Table2_1[[#This Row],[Transaction  Date]],2)&lt;=5,"Weekday","Weekend")</f>
        <v>Weekend</v>
      </c>
      <c r="T642" s="37" t="str">
        <f>FLOOR(Table2_1[[#This Row],[Age]],15)&amp; "-"&amp; FLOOR(Table2_1[[#This Row],[Age]],15)+14</f>
        <v>45-59</v>
      </c>
    </row>
    <row r="643" spans="1:20" x14ac:dyDescent="0.3">
      <c r="A643" s="18">
        <v>45431</v>
      </c>
      <c r="B643" s="17" t="s">
        <v>1519</v>
      </c>
      <c r="C643" s="17" t="s">
        <v>13</v>
      </c>
      <c r="D643" s="18">
        <v>33394</v>
      </c>
      <c r="E643" s="16" t="s">
        <v>14</v>
      </c>
      <c r="F643" s="31">
        <v>166</v>
      </c>
      <c r="G643" s="17" t="s">
        <v>65</v>
      </c>
      <c r="H643" s="17" t="s">
        <v>52</v>
      </c>
      <c r="I643" s="17" t="s">
        <v>17</v>
      </c>
      <c r="J643" s="27">
        <v>0.1</v>
      </c>
      <c r="K643" s="17" t="s">
        <v>928</v>
      </c>
      <c r="L643" s="32">
        <v>3</v>
      </c>
      <c r="M643" s="32">
        <f>_xlfn.XLOOKUP(Table2_1[[#This Row],[Product Code]],Product_Code,Unit_Price,0)</f>
        <v>5</v>
      </c>
      <c r="N643" s="31">
        <f>DATEDIF(Table2_1[[#This Row],[Buyer Date of Birth]],Table2_1[[#This Row],[Transaction  Date]],"Y")</f>
        <v>32</v>
      </c>
      <c r="O643" s="33">
        <v>498</v>
      </c>
      <c r="P643" s="33">
        <f>Table2_1[[#This Row],[Quantity Purchased]]*Table2_1[[#This Row],[UnitPrice]]*(1-Table2_1[[#This Row],[Discount]])</f>
        <v>747</v>
      </c>
      <c r="Q643" s="33">
        <f>Table2_1[[#This Row],[Revenue]]-Table2_1[[#This Row],[COGS]]</f>
        <v>249</v>
      </c>
      <c r="R643" s="39">
        <f>WEEKDAY(Table2_1[[#This Row],[Transaction  Date]])</f>
        <v>1</v>
      </c>
      <c r="S643" s="17" t="str">
        <f>IF(WEEKDAY(Table2_1[[#This Row],[Transaction  Date]],2)&lt;=5,"Weekday","Weekend")</f>
        <v>Weekend</v>
      </c>
      <c r="T643" s="37" t="str">
        <f>FLOOR(Table2_1[[#This Row],[Age]],15)&amp; "-"&amp; FLOOR(Table2_1[[#This Row],[Age]],15)+14</f>
        <v>30-44</v>
      </c>
    </row>
    <row r="644" spans="1:20" x14ac:dyDescent="0.3">
      <c r="A644" s="18">
        <v>45431</v>
      </c>
      <c r="B644" s="17" t="s">
        <v>1520</v>
      </c>
      <c r="C644" s="17" t="s">
        <v>71</v>
      </c>
      <c r="D644" s="18">
        <v>20540</v>
      </c>
      <c r="E644" s="16" t="s">
        <v>14</v>
      </c>
      <c r="F644" s="31">
        <v>161</v>
      </c>
      <c r="G644" s="17" t="s">
        <v>42</v>
      </c>
      <c r="H644" s="17" t="s">
        <v>43</v>
      </c>
      <c r="I644" s="17" t="s">
        <v>17</v>
      </c>
      <c r="J644" s="27">
        <v>0.1</v>
      </c>
      <c r="K644" s="17" t="s">
        <v>926</v>
      </c>
      <c r="L644" s="32">
        <v>10</v>
      </c>
      <c r="M644" s="32">
        <f>_xlfn.XLOOKUP(Table2_1[[#This Row],[Product Code]],Product_Code,Unit_Price,0)</f>
        <v>11</v>
      </c>
      <c r="N644" s="31">
        <f>DATEDIF(Table2_1[[#This Row],[Buyer Date of Birth]],Table2_1[[#This Row],[Transaction  Date]],"Y")</f>
        <v>68</v>
      </c>
      <c r="O644" s="33">
        <v>1610</v>
      </c>
      <c r="P644" s="33">
        <f>Table2_1[[#This Row],[Quantity Purchased]]*Table2_1[[#This Row],[UnitPrice]]*(1-Table2_1[[#This Row],[Discount]])</f>
        <v>1593.9</v>
      </c>
      <c r="Q644" s="33">
        <f>Table2_1[[#This Row],[Revenue]]-Table2_1[[#This Row],[COGS]]</f>
        <v>-16.099999999999909</v>
      </c>
      <c r="R644" s="39">
        <f>WEEKDAY(Table2_1[[#This Row],[Transaction  Date]])</f>
        <v>1</v>
      </c>
      <c r="S644" s="17" t="str">
        <f>IF(WEEKDAY(Table2_1[[#This Row],[Transaction  Date]],2)&lt;=5,"Weekday","Weekend")</f>
        <v>Weekend</v>
      </c>
      <c r="T644" s="37" t="str">
        <f>FLOOR(Table2_1[[#This Row],[Age]],15)&amp; "-"&amp; FLOOR(Table2_1[[#This Row],[Age]],15)+14</f>
        <v>60-74</v>
      </c>
    </row>
    <row r="645" spans="1:20" x14ac:dyDescent="0.3">
      <c r="A645" s="18">
        <v>45431</v>
      </c>
      <c r="B645" s="17" t="s">
        <v>1873</v>
      </c>
      <c r="C645" s="17" t="s">
        <v>13</v>
      </c>
      <c r="D645" s="18">
        <v>27349</v>
      </c>
      <c r="E645" s="16" t="s">
        <v>68</v>
      </c>
      <c r="F645" s="31">
        <v>37</v>
      </c>
      <c r="G645" s="17" t="s">
        <v>47</v>
      </c>
      <c r="H645" s="17" t="s">
        <v>28</v>
      </c>
      <c r="I645" s="17" t="s">
        <v>17</v>
      </c>
      <c r="J645" s="27">
        <v>0.1</v>
      </c>
      <c r="K645" s="17" t="s">
        <v>931</v>
      </c>
      <c r="L645" s="32">
        <v>7</v>
      </c>
      <c r="M645" s="32">
        <f>_xlfn.XLOOKUP(Table2_1[[#This Row],[Product Code]],Product_Code,Unit_Price,0)</f>
        <v>9</v>
      </c>
      <c r="N645" s="31">
        <f>DATEDIF(Table2_1[[#This Row],[Buyer Date of Birth]],Table2_1[[#This Row],[Transaction  Date]],"Y")</f>
        <v>49</v>
      </c>
      <c r="O645" s="33">
        <v>259</v>
      </c>
      <c r="P645" s="33">
        <f>Table2_1[[#This Row],[Quantity Purchased]]*Table2_1[[#This Row],[UnitPrice]]*(1-Table2_1[[#This Row],[Discount]])</f>
        <v>299.7</v>
      </c>
      <c r="Q645" s="33">
        <f>Table2_1[[#This Row],[Revenue]]-Table2_1[[#This Row],[COGS]]</f>
        <v>40.699999999999989</v>
      </c>
      <c r="R645" s="39">
        <f>WEEKDAY(Table2_1[[#This Row],[Transaction  Date]])</f>
        <v>1</v>
      </c>
      <c r="S645" s="17" t="str">
        <f>IF(WEEKDAY(Table2_1[[#This Row],[Transaction  Date]],2)&lt;=5,"Weekday","Weekend")</f>
        <v>Weekend</v>
      </c>
      <c r="T645" s="37" t="str">
        <f>FLOOR(Table2_1[[#This Row],[Age]],15)&amp; "-"&amp; FLOOR(Table2_1[[#This Row],[Age]],15)+14</f>
        <v>45-59</v>
      </c>
    </row>
    <row r="646" spans="1:20" x14ac:dyDescent="0.3">
      <c r="A646" s="18">
        <v>45431</v>
      </c>
      <c r="B646" s="17" t="s">
        <v>1521</v>
      </c>
      <c r="C646" s="17" t="s">
        <v>13</v>
      </c>
      <c r="D646" s="18">
        <v>32896</v>
      </c>
      <c r="E646" s="16" t="s">
        <v>68</v>
      </c>
      <c r="F646" s="31">
        <v>139</v>
      </c>
      <c r="G646" s="17" t="s">
        <v>64</v>
      </c>
      <c r="H646" s="17" t="s">
        <v>52</v>
      </c>
      <c r="I646" s="17" t="s">
        <v>17</v>
      </c>
      <c r="J646" s="27">
        <v>0.1</v>
      </c>
      <c r="K646" s="17" t="s">
        <v>933</v>
      </c>
      <c r="L646" s="32">
        <v>5</v>
      </c>
      <c r="M646" s="32">
        <f>_xlfn.XLOOKUP(Table2_1[[#This Row],[Product Code]],Product_Code,Unit_Price,0)</f>
        <v>7</v>
      </c>
      <c r="N646" s="31">
        <f>DATEDIF(Table2_1[[#This Row],[Buyer Date of Birth]],Table2_1[[#This Row],[Transaction  Date]],"Y")</f>
        <v>34</v>
      </c>
      <c r="O646" s="33">
        <v>695</v>
      </c>
      <c r="P646" s="33">
        <f>Table2_1[[#This Row],[Quantity Purchased]]*Table2_1[[#This Row],[UnitPrice]]*(1-Table2_1[[#This Row],[Discount]])</f>
        <v>875.7</v>
      </c>
      <c r="Q646" s="33">
        <f>Table2_1[[#This Row],[Revenue]]-Table2_1[[#This Row],[COGS]]</f>
        <v>180.70000000000005</v>
      </c>
      <c r="R646" s="39">
        <f>WEEKDAY(Table2_1[[#This Row],[Transaction  Date]])</f>
        <v>1</v>
      </c>
      <c r="S646" s="17" t="str">
        <f>IF(WEEKDAY(Table2_1[[#This Row],[Transaction  Date]],2)&lt;=5,"Weekday","Weekend")</f>
        <v>Weekend</v>
      </c>
      <c r="T646" s="37" t="str">
        <f>FLOOR(Table2_1[[#This Row],[Age]],15)&amp; "-"&amp; FLOOR(Table2_1[[#This Row],[Age]],15)+14</f>
        <v>30-44</v>
      </c>
    </row>
    <row r="647" spans="1:20" x14ac:dyDescent="0.3">
      <c r="A647" s="18">
        <v>45431</v>
      </c>
      <c r="B647" s="17" t="s">
        <v>1522</v>
      </c>
      <c r="C647" s="17" t="s">
        <v>26</v>
      </c>
      <c r="D647" s="18">
        <v>35558</v>
      </c>
      <c r="E647" s="16" t="s">
        <v>14</v>
      </c>
      <c r="F647" s="31">
        <v>241</v>
      </c>
      <c r="G647" s="17" t="s">
        <v>34</v>
      </c>
      <c r="H647" s="17" t="s">
        <v>28</v>
      </c>
      <c r="I647" s="17" t="s">
        <v>17</v>
      </c>
      <c r="J647" s="27">
        <v>0.1</v>
      </c>
      <c r="K647" s="17" t="s">
        <v>930</v>
      </c>
      <c r="L647" s="32">
        <v>14</v>
      </c>
      <c r="M647" s="32">
        <f>_xlfn.XLOOKUP(Table2_1[[#This Row],[Product Code]],Product_Code,Unit_Price,0)</f>
        <v>28</v>
      </c>
      <c r="N647" s="31">
        <f>DATEDIF(Table2_1[[#This Row],[Buyer Date of Birth]],Table2_1[[#This Row],[Transaction  Date]],"Y")</f>
        <v>27</v>
      </c>
      <c r="O647" s="33">
        <v>3374</v>
      </c>
      <c r="P647" s="33">
        <f>Table2_1[[#This Row],[Quantity Purchased]]*Table2_1[[#This Row],[UnitPrice]]*(1-Table2_1[[#This Row],[Discount]])</f>
        <v>6073.2</v>
      </c>
      <c r="Q647" s="33">
        <f>Table2_1[[#This Row],[Revenue]]-Table2_1[[#This Row],[COGS]]</f>
        <v>2699.2</v>
      </c>
      <c r="R647" s="39">
        <f>WEEKDAY(Table2_1[[#This Row],[Transaction  Date]])</f>
        <v>1</v>
      </c>
      <c r="S647" s="17" t="str">
        <f>IF(WEEKDAY(Table2_1[[#This Row],[Transaction  Date]],2)&lt;=5,"Weekday","Weekend")</f>
        <v>Weekend</v>
      </c>
      <c r="T647" s="37" t="str">
        <f>FLOOR(Table2_1[[#This Row],[Age]],15)&amp; "-"&amp; FLOOR(Table2_1[[#This Row],[Age]],15)+14</f>
        <v>15-29</v>
      </c>
    </row>
    <row r="648" spans="1:20" x14ac:dyDescent="0.3">
      <c r="A648" s="18">
        <v>45431</v>
      </c>
      <c r="B648" s="17" t="s">
        <v>1874</v>
      </c>
      <c r="C648" s="17" t="s">
        <v>83</v>
      </c>
      <c r="D648" s="18">
        <v>29610</v>
      </c>
      <c r="E648" s="16" t="s">
        <v>68</v>
      </c>
      <c r="F648" s="31">
        <v>382</v>
      </c>
      <c r="G648" s="17" t="s">
        <v>47</v>
      </c>
      <c r="H648" s="17" t="s">
        <v>28</v>
      </c>
      <c r="I648" s="17" t="s">
        <v>17</v>
      </c>
      <c r="J648" s="27">
        <v>0.1</v>
      </c>
      <c r="K648" s="17" t="s">
        <v>931</v>
      </c>
      <c r="L648" s="32">
        <v>7</v>
      </c>
      <c r="M648" s="32">
        <f>_xlfn.XLOOKUP(Table2_1[[#This Row],[Product Code]],Product_Code,Unit_Price,0)</f>
        <v>9</v>
      </c>
      <c r="N648" s="31">
        <f>DATEDIF(Table2_1[[#This Row],[Buyer Date of Birth]],Table2_1[[#This Row],[Transaction  Date]],"Y")</f>
        <v>43</v>
      </c>
      <c r="O648" s="33">
        <v>2674</v>
      </c>
      <c r="P648" s="33">
        <f>Table2_1[[#This Row],[Quantity Purchased]]*Table2_1[[#This Row],[UnitPrice]]*(1-Table2_1[[#This Row],[Discount]])</f>
        <v>3094.2000000000003</v>
      </c>
      <c r="Q648" s="33">
        <f>Table2_1[[#This Row],[Revenue]]-Table2_1[[#This Row],[COGS]]</f>
        <v>420.20000000000027</v>
      </c>
      <c r="R648" s="39">
        <f>WEEKDAY(Table2_1[[#This Row],[Transaction  Date]])</f>
        <v>1</v>
      </c>
      <c r="S648" s="17" t="str">
        <f>IF(WEEKDAY(Table2_1[[#This Row],[Transaction  Date]],2)&lt;=5,"Weekday","Weekend")</f>
        <v>Weekend</v>
      </c>
      <c r="T648" s="37" t="str">
        <f>FLOOR(Table2_1[[#This Row],[Age]],15)&amp; "-"&amp; FLOOR(Table2_1[[#This Row],[Age]],15)+14</f>
        <v>30-44</v>
      </c>
    </row>
    <row r="649" spans="1:20" x14ac:dyDescent="0.3">
      <c r="A649" s="18">
        <v>45432</v>
      </c>
      <c r="B649" s="17" t="s">
        <v>1027</v>
      </c>
      <c r="C649" s="17" t="s">
        <v>38</v>
      </c>
      <c r="D649" s="18">
        <v>19682</v>
      </c>
      <c r="E649" s="16" t="s">
        <v>20</v>
      </c>
      <c r="F649" s="31">
        <v>475</v>
      </c>
      <c r="G649" s="17" t="s">
        <v>15</v>
      </c>
      <c r="H649" s="17" t="s">
        <v>39</v>
      </c>
      <c r="I649" s="17" t="s">
        <v>23</v>
      </c>
      <c r="J649" s="27">
        <v>0.1</v>
      </c>
      <c r="K649" s="17" t="s">
        <v>929</v>
      </c>
      <c r="L649" s="32">
        <v>10</v>
      </c>
      <c r="M649" s="32">
        <f>_xlfn.XLOOKUP(Table2_1[[#This Row],[Product Code]],Product_Code,Unit_Price,0)</f>
        <v>14</v>
      </c>
      <c r="N649" s="31">
        <f>DATEDIF(Table2_1[[#This Row],[Buyer Date of Birth]],Table2_1[[#This Row],[Transaction  Date]],"Y")</f>
        <v>70</v>
      </c>
      <c r="O649" s="33">
        <v>4750</v>
      </c>
      <c r="P649" s="33">
        <f>Table2_1[[#This Row],[Quantity Purchased]]*Table2_1[[#This Row],[UnitPrice]]*(1-Table2_1[[#This Row],[Discount]])</f>
        <v>5985</v>
      </c>
      <c r="Q649" s="33">
        <f>Table2_1[[#This Row],[Revenue]]-Table2_1[[#This Row],[COGS]]</f>
        <v>1235</v>
      </c>
      <c r="R649" s="39">
        <f>WEEKDAY(Table2_1[[#This Row],[Transaction  Date]])</f>
        <v>2</v>
      </c>
      <c r="S649" s="17" t="str">
        <f>IF(WEEKDAY(Table2_1[[#This Row],[Transaction  Date]],2)&lt;=5,"Weekday","Weekend")</f>
        <v>Weekday</v>
      </c>
      <c r="T649" s="37" t="str">
        <f>FLOOR(Table2_1[[#This Row],[Age]],15)&amp; "-"&amp; FLOOR(Table2_1[[#This Row],[Age]],15)+14</f>
        <v>60-74</v>
      </c>
    </row>
    <row r="650" spans="1:20" x14ac:dyDescent="0.3">
      <c r="A650" s="18">
        <v>45432</v>
      </c>
      <c r="B650" s="17" t="s">
        <v>996</v>
      </c>
      <c r="C650" s="17" t="s">
        <v>26</v>
      </c>
      <c r="D650" s="18">
        <v>37513</v>
      </c>
      <c r="E650" s="16" t="s">
        <v>14</v>
      </c>
      <c r="F650" s="31">
        <v>174</v>
      </c>
      <c r="G650" s="17" t="s">
        <v>42</v>
      </c>
      <c r="H650" s="17" t="s">
        <v>48</v>
      </c>
      <c r="I650" s="17" t="s">
        <v>29</v>
      </c>
      <c r="J650" s="27">
        <v>0.1</v>
      </c>
      <c r="K650" s="17" t="s">
        <v>926</v>
      </c>
      <c r="L650" s="32">
        <v>10</v>
      </c>
      <c r="M650" s="32">
        <f>_xlfn.XLOOKUP(Table2_1[[#This Row],[Product Code]],Product_Code,Unit_Price,0)</f>
        <v>11</v>
      </c>
      <c r="N650" s="31">
        <f>DATEDIF(Table2_1[[#This Row],[Buyer Date of Birth]],Table2_1[[#This Row],[Transaction  Date]],"Y")</f>
        <v>21</v>
      </c>
      <c r="O650" s="33">
        <v>1740</v>
      </c>
      <c r="P650" s="33">
        <f>Table2_1[[#This Row],[Quantity Purchased]]*Table2_1[[#This Row],[UnitPrice]]*(1-Table2_1[[#This Row],[Discount]])</f>
        <v>1722.6000000000001</v>
      </c>
      <c r="Q650" s="33">
        <f>Table2_1[[#This Row],[Revenue]]-Table2_1[[#This Row],[COGS]]</f>
        <v>-17.399999999999864</v>
      </c>
      <c r="R650" s="39">
        <f>WEEKDAY(Table2_1[[#This Row],[Transaction  Date]])</f>
        <v>2</v>
      </c>
      <c r="S650" s="17" t="str">
        <f>IF(WEEKDAY(Table2_1[[#This Row],[Transaction  Date]],2)&lt;=5,"Weekday","Weekend")</f>
        <v>Weekday</v>
      </c>
      <c r="T650" s="37" t="str">
        <f>FLOOR(Table2_1[[#This Row],[Age]],15)&amp; "-"&amp; FLOOR(Table2_1[[#This Row],[Age]],15)+14</f>
        <v>15-29</v>
      </c>
    </row>
    <row r="651" spans="1:20" x14ac:dyDescent="0.3">
      <c r="A651" s="18">
        <v>45432</v>
      </c>
      <c r="B651" s="17" t="s">
        <v>1523</v>
      </c>
      <c r="C651" s="17" t="s">
        <v>94</v>
      </c>
      <c r="D651" s="18">
        <v>34172</v>
      </c>
      <c r="E651" s="16" t="s">
        <v>14</v>
      </c>
      <c r="F651" s="31">
        <v>451</v>
      </c>
      <c r="G651" s="17" t="s">
        <v>65</v>
      </c>
      <c r="H651" s="17" t="s">
        <v>52</v>
      </c>
      <c r="I651" s="17" t="s">
        <v>17</v>
      </c>
      <c r="J651" s="27">
        <v>0.1</v>
      </c>
      <c r="K651" s="17" t="s">
        <v>928</v>
      </c>
      <c r="L651" s="32">
        <v>3</v>
      </c>
      <c r="M651" s="32">
        <f>_xlfn.XLOOKUP(Table2_1[[#This Row],[Product Code]],Product_Code,Unit_Price,0)</f>
        <v>5</v>
      </c>
      <c r="N651" s="31">
        <f>DATEDIF(Table2_1[[#This Row],[Buyer Date of Birth]],Table2_1[[#This Row],[Transaction  Date]],"Y")</f>
        <v>30</v>
      </c>
      <c r="O651" s="33">
        <v>1353</v>
      </c>
      <c r="P651" s="33">
        <f>Table2_1[[#This Row],[Quantity Purchased]]*Table2_1[[#This Row],[UnitPrice]]*(1-Table2_1[[#This Row],[Discount]])</f>
        <v>2029.5</v>
      </c>
      <c r="Q651" s="33">
        <f>Table2_1[[#This Row],[Revenue]]-Table2_1[[#This Row],[COGS]]</f>
        <v>676.5</v>
      </c>
      <c r="R651" s="39">
        <f>WEEKDAY(Table2_1[[#This Row],[Transaction  Date]])</f>
        <v>2</v>
      </c>
      <c r="S651" s="17" t="str">
        <f>IF(WEEKDAY(Table2_1[[#This Row],[Transaction  Date]],2)&lt;=5,"Weekday","Weekend")</f>
        <v>Weekday</v>
      </c>
      <c r="T651" s="37" t="str">
        <f>FLOOR(Table2_1[[#This Row],[Age]],15)&amp; "-"&amp; FLOOR(Table2_1[[#This Row],[Age]],15)+14</f>
        <v>30-44</v>
      </c>
    </row>
    <row r="652" spans="1:20" x14ac:dyDescent="0.3">
      <c r="A652" s="18">
        <v>45432</v>
      </c>
      <c r="B652" s="17" t="s">
        <v>1524</v>
      </c>
      <c r="C652" s="17" t="s">
        <v>55</v>
      </c>
      <c r="D652" s="18">
        <v>29657</v>
      </c>
      <c r="E652" s="16" t="s">
        <v>68</v>
      </c>
      <c r="F652" s="31">
        <v>91</v>
      </c>
      <c r="G652" s="17" t="s">
        <v>64</v>
      </c>
      <c r="H652" s="17" t="s">
        <v>48</v>
      </c>
      <c r="I652" s="17" t="s">
        <v>17</v>
      </c>
      <c r="J652" s="27">
        <v>0.1</v>
      </c>
      <c r="K652" s="17" t="s">
        <v>933</v>
      </c>
      <c r="L652" s="32">
        <v>5</v>
      </c>
      <c r="M652" s="32">
        <f>_xlfn.XLOOKUP(Table2_1[[#This Row],[Product Code]],Product_Code,Unit_Price,0)</f>
        <v>7</v>
      </c>
      <c r="N652" s="31">
        <f>DATEDIF(Table2_1[[#This Row],[Buyer Date of Birth]],Table2_1[[#This Row],[Transaction  Date]],"Y")</f>
        <v>43</v>
      </c>
      <c r="O652" s="33">
        <v>455</v>
      </c>
      <c r="P652" s="33">
        <f>Table2_1[[#This Row],[Quantity Purchased]]*Table2_1[[#This Row],[UnitPrice]]*(1-Table2_1[[#This Row],[Discount]])</f>
        <v>573.30000000000007</v>
      </c>
      <c r="Q652" s="33">
        <f>Table2_1[[#This Row],[Revenue]]-Table2_1[[#This Row],[COGS]]</f>
        <v>118.30000000000007</v>
      </c>
      <c r="R652" s="39">
        <f>WEEKDAY(Table2_1[[#This Row],[Transaction  Date]])</f>
        <v>2</v>
      </c>
      <c r="S652" s="17" t="str">
        <f>IF(WEEKDAY(Table2_1[[#This Row],[Transaction  Date]],2)&lt;=5,"Weekday","Weekend")</f>
        <v>Weekday</v>
      </c>
      <c r="T652" s="37" t="str">
        <f>FLOOR(Table2_1[[#This Row],[Age]],15)&amp; "-"&amp; FLOOR(Table2_1[[#This Row],[Age]],15)+14</f>
        <v>30-44</v>
      </c>
    </row>
    <row r="653" spans="1:20" x14ac:dyDescent="0.3">
      <c r="A653" s="18">
        <v>45432</v>
      </c>
      <c r="B653" s="17" t="s">
        <v>1525</v>
      </c>
      <c r="C653" s="17" t="s">
        <v>51</v>
      </c>
      <c r="D653" s="18">
        <v>31378</v>
      </c>
      <c r="E653" s="16" t="s">
        <v>33</v>
      </c>
      <c r="F653" s="31">
        <v>348</v>
      </c>
      <c r="G653" s="17" t="s">
        <v>34</v>
      </c>
      <c r="H653" s="17" t="s">
        <v>52</v>
      </c>
      <c r="I653" s="17" t="s">
        <v>17</v>
      </c>
      <c r="J653" s="27">
        <v>0.1</v>
      </c>
      <c r="K653" s="17" t="s">
        <v>930</v>
      </c>
      <c r="L653" s="32">
        <v>14</v>
      </c>
      <c r="M653" s="32">
        <f>_xlfn.XLOOKUP(Table2_1[[#This Row],[Product Code]],Product_Code,Unit_Price,0)</f>
        <v>28</v>
      </c>
      <c r="N653" s="31">
        <f>DATEDIF(Table2_1[[#This Row],[Buyer Date of Birth]],Table2_1[[#This Row],[Transaction  Date]],"Y")</f>
        <v>38</v>
      </c>
      <c r="O653" s="33">
        <v>4872</v>
      </c>
      <c r="P653" s="33">
        <f>Table2_1[[#This Row],[Quantity Purchased]]*Table2_1[[#This Row],[UnitPrice]]*(1-Table2_1[[#This Row],[Discount]])</f>
        <v>8769.6</v>
      </c>
      <c r="Q653" s="33">
        <f>Table2_1[[#This Row],[Revenue]]-Table2_1[[#This Row],[COGS]]</f>
        <v>3897.6000000000004</v>
      </c>
      <c r="R653" s="39">
        <f>WEEKDAY(Table2_1[[#This Row],[Transaction  Date]])</f>
        <v>2</v>
      </c>
      <c r="S653" s="17" t="str">
        <f>IF(WEEKDAY(Table2_1[[#This Row],[Transaction  Date]],2)&lt;=5,"Weekday","Weekend")</f>
        <v>Weekday</v>
      </c>
      <c r="T653" s="37" t="str">
        <f>FLOOR(Table2_1[[#This Row],[Age]],15)&amp; "-"&amp; FLOOR(Table2_1[[#This Row],[Age]],15)+14</f>
        <v>30-44</v>
      </c>
    </row>
    <row r="654" spans="1:20" x14ac:dyDescent="0.3">
      <c r="A654" s="18">
        <v>45432</v>
      </c>
      <c r="B654" s="17" t="s">
        <v>1526</v>
      </c>
      <c r="C654" s="17" t="s">
        <v>26</v>
      </c>
      <c r="D654" s="18">
        <v>18640</v>
      </c>
      <c r="E654" s="16" t="s">
        <v>33</v>
      </c>
      <c r="F654" s="31">
        <v>389</v>
      </c>
      <c r="G654" s="17" t="s">
        <v>27</v>
      </c>
      <c r="H654" s="17" t="s">
        <v>52</v>
      </c>
      <c r="I654" s="17" t="s">
        <v>17</v>
      </c>
      <c r="J654" s="27">
        <v>0.1</v>
      </c>
      <c r="K654" s="17" t="s">
        <v>927</v>
      </c>
      <c r="L654" s="32">
        <v>18</v>
      </c>
      <c r="M654" s="32">
        <f>_xlfn.XLOOKUP(Table2_1[[#This Row],[Product Code]],Product_Code,Unit_Price,0)</f>
        <v>22</v>
      </c>
      <c r="N654" s="31">
        <f>DATEDIF(Table2_1[[#This Row],[Buyer Date of Birth]],Table2_1[[#This Row],[Transaction  Date]],"Y")</f>
        <v>73</v>
      </c>
      <c r="O654" s="33">
        <v>7002</v>
      </c>
      <c r="P654" s="33">
        <f>Table2_1[[#This Row],[Quantity Purchased]]*Table2_1[[#This Row],[UnitPrice]]*(1-Table2_1[[#This Row],[Discount]])</f>
        <v>7702.2</v>
      </c>
      <c r="Q654" s="33">
        <f>Table2_1[[#This Row],[Revenue]]-Table2_1[[#This Row],[COGS]]</f>
        <v>700.19999999999982</v>
      </c>
      <c r="R654" s="39">
        <f>WEEKDAY(Table2_1[[#This Row],[Transaction  Date]])</f>
        <v>2</v>
      </c>
      <c r="S654" s="17" t="str">
        <f>IF(WEEKDAY(Table2_1[[#This Row],[Transaction  Date]],2)&lt;=5,"Weekday","Weekend")</f>
        <v>Weekday</v>
      </c>
      <c r="T654" s="37" t="str">
        <f>FLOOR(Table2_1[[#This Row],[Age]],15)&amp; "-"&amp; FLOOR(Table2_1[[#This Row],[Age]],15)+14</f>
        <v>60-74</v>
      </c>
    </row>
    <row r="655" spans="1:20" x14ac:dyDescent="0.3">
      <c r="A655" s="18">
        <v>45432</v>
      </c>
      <c r="B655" s="17" t="s">
        <v>1527</v>
      </c>
      <c r="C655" s="17" t="s">
        <v>94</v>
      </c>
      <c r="D655" s="18">
        <v>22264</v>
      </c>
      <c r="E655" s="16" t="s">
        <v>14</v>
      </c>
      <c r="F655" s="31">
        <v>187</v>
      </c>
      <c r="G655" s="17" t="s">
        <v>42</v>
      </c>
      <c r="H655" s="17" t="s">
        <v>39</v>
      </c>
      <c r="I655" s="17" t="s">
        <v>17</v>
      </c>
      <c r="J655" s="27">
        <v>0.1</v>
      </c>
      <c r="K655" s="17" t="s">
        <v>926</v>
      </c>
      <c r="L655" s="32">
        <v>10</v>
      </c>
      <c r="M655" s="32">
        <f>_xlfn.XLOOKUP(Table2_1[[#This Row],[Product Code]],Product_Code,Unit_Price,0)</f>
        <v>11</v>
      </c>
      <c r="N655" s="31">
        <f>DATEDIF(Table2_1[[#This Row],[Buyer Date of Birth]],Table2_1[[#This Row],[Transaction  Date]],"Y")</f>
        <v>63</v>
      </c>
      <c r="O655" s="33">
        <v>1870</v>
      </c>
      <c r="P655" s="33">
        <f>Table2_1[[#This Row],[Quantity Purchased]]*Table2_1[[#This Row],[UnitPrice]]*(1-Table2_1[[#This Row],[Discount]])</f>
        <v>1851.3</v>
      </c>
      <c r="Q655" s="33">
        <f>Table2_1[[#This Row],[Revenue]]-Table2_1[[#This Row],[COGS]]</f>
        <v>-18.700000000000045</v>
      </c>
      <c r="R655" s="39">
        <f>WEEKDAY(Table2_1[[#This Row],[Transaction  Date]])</f>
        <v>2</v>
      </c>
      <c r="S655" s="17" t="str">
        <f>IF(WEEKDAY(Table2_1[[#This Row],[Transaction  Date]],2)&lt;=5,"Weekday","Weekend")</f>
        <v>Weekday</v>
      </c>
      <c r="T655" s="37" t="str">
        <f>FLOOR(Table2_1[[#This Row],[Age]],15)&amp; "-"&amp; FLOOR(Table2_1[[#This Row],[Age]],15)+14</f>
        <v>60-74</v>
      </c>
    </row>
    <row r="656" spans="1:20" x14ac:dyDescent="0.3">
      <c r="A656" s="18">
        <v>45432</v>
      </c>
      <c r="B656" s="17" t="s">
        <v>1528</v>
      </c>
      <c r="C656" s="17" t="s">
        <v>51</v>
      </c>
      <c r="D656" s="18">
        <v>21218</v>
      </c>
      <c r="E656" s="16" t="s">
        <v>20</v>
      </c>
      <c r="F656" s="31">
        <v>200</v>
      </c>
      <c r="G656" s="17" t="s">
        <v>42</v>
      </c>
      <c r="H656" s="17" t="s">
        <v>43</v>
      </c>
      <c r="I656" s="17" t="s">
        <v>17</v>
      </c>
      <c r="J656" s="27">
        <v>0.1</v>
      </c>
      <c r="K656" s="17" t="s">
        <v>926</v>
      </c>
      <c r="L656" s="32">
        <v>10</v>
      </c>
      <c r="M656" s="32">
        <f>_xlfn.XLOOKUP(Table2_1[[#This Row],[Product Code]],Product_Code,Unit_Price,0)</f>
        <v>11</v>
      </c>
      <c r="N656" s="31">
        <f>DATEDIF(Table2_1[[#This Row],[Buyer Date of Birth]],Table2_1[[#This Row],[Transaction  Date]],"Y")</f>
        <v>66</v>
      </c>
      <c r="O656" s="33">
        <v>2000</v>
      </c>
      <c r="P656" s="33">
        <f>Table2_1[[#This Row],[Quantity Purchased]]*Table2_1[[#This Row],[UnitPrice]]*(1-Table2_1[[#This Row],[Discount]])</f>
        <v>1980</v>
      </c>
      <c r="Q656" s="33">
        <f>Table2_1[[#This Row],[Revenue]]-Table2_1[[#This Row],[COGS]]</f>
        <v>-20</v>
      </c>
      <c r="R656" s="39">
        <f>WEEKDAY(Table2_1[[#This Row],[Transaction  Date]])</f>
        <v>2</v>
      </c>
      <c r="S656" s="17" t="str">
        <f>IF(WEEKDAY(Table2_1[[#This Row],[Transaction  Date]],2)&lt;=5,"Weekday","Weekend")</f>
        <v>Weekday</v>
      </c>
      <c r="T656" s="37" t="str">
        <f>FLOOR(Table2_1[[#This Row],[Age]],15)&amp; "-"&amp; FLOOR(Table2_1[[#This Row],[Age]],15)+14</f>
        <v>60-74</v>
      </c>
    </row>
    <row r="657" spans="1:20" x14ac:dyDescent="0.3">
      <c r="A657" s="18">
        <v>45433</v>
      </c>
      <c r="B657" s="17" t="s">
        <v>1529</v>
      </c>
      <c r="C657" s="17" t="s">
        <v>94</v>
      </c>
      <c r="D657" s="18">
        <v>18575</v>
      </c>
      <c r="E657" s="16" t="s">
        <v>33</v>
      </c>
      <c r="F657" s="31">
        <v>417</v>
      </c>
      <c r="G657" s="17" t="s">
        <v>64</v>
      </c>
      <c r="H657" s="17" t="s">
        <v>43</v>
      </c>
      <c r="I657" s="17" t="s">
        <v>29</v>
      </c>
      <c r="J657" s="27">
        <v>0.1</v>
      </c>
      <c r="K657" s="17" t="s">
        <v>933</v>
      </c>
      <c r="L657" s="32">
        <v>5</v>
      </c>
      <c r="M657" s="32">
        <f>_xlfn.XLOOKUP(Table2_1[[#This Row],[Product Code]],Product_Code,Unit_Price,0)</f>
        <v>7</v>
      </c>
      <c r="N657" s="31">
        <f>DATEDIF(Table2_1[[#This Row],[Buyer Date of Birth]],Table2_1[[#This Row],[Transaction  Date]],"Y")</f>
        <v>73</v>
      </c>
      <c r="O657" s="33">
        <v>2085</v>
      </c>
      <c r="P657" s="33">
        <f>Table2_1[[#This Row],[Quantity Purchased]]*Table2_1[[#This Row],[UnitPrice]]*(1-Table2_1[[#This Row],[Discount]])</f>
        <v>2627.1</v>
      </c>
      <c r="Q657" s="33">
        <f>Table2_1[[#This Row],[Revenue]]-Table2_1[[#This Row],[COGS]]</f>
        <v>542.09999999999991</v>
      </c>
      <c r="R657" s="39">
        <f>WEEKDAY(Table2_1[[#This Row],[Transaction  Date]])</f>
        <v>3</v>
      </c>
      <c r="S657" s="17" t="str">
        <f>IF(WEEKDAY(Table2_1[[#This Row],[Transaction  Date]],2)&lt;=5,"Weekday","Weekend")</f>
        <v>Weekday</v>
      </c>
      <c r="T657" s="37" t="str">
        <f>FLOOR(Table2_1[[#This Row],[Age]],15)&amp; "-"&amp; FLOOR(Table2_1[[#This Row],[Age]],15)+14</f>
        <v>60-74</v>
      </c>
    </row>
    <row r="658" spans="1:20" x14ac:dyDescent="0.3">
      <c r="A658" s="18">
        <v>45433</v>
      </c>
      <c r="B658" s="17" t="s">
        <v>1530</v>
      </c>
      <c r="C658" s="17" t="s">
        <v>51</v>
      </c>
      <c r="D658" s="18">
        <v>31932</v>
      </c>
      <c r="E658" s="16" t="s">
        <v>33</v>
      </c>
      <c r="F658" s="31">
        <v>315</v>
      </c>
      <c r="G658" s="17" t="s">
        <v>42</v>
      </c>
      <c r="H658" s="17" t="s">
        <v>48</v>
      </c>
      <c r="I658" s="17" t="s">
        <v>17</v>
      </c>
      <c r="J658" s="27">
        <v>0.1</v>
      </c>
      <c r="K658" s="17" t="s">
        <v>926</v>
      </c>
      <c r="L658" s="32">
        <v>10</v>
      </c>
      <c r="M658" s="32">
        <f>_xlfn.XLOOKUP(Table2_1[[#This Row],[Product Code]],Product_Code,Unit_Price,0)</f>
        <v>11</v>
      </c>
      <c r="N658" s="31">
        <f>DATEDIF(Table2_1[[#This Row],[Buyer Date of Birth]],Table2_1[[#This Row],[Transaction  Date]],"Y")</f>
        <v>36</v>
      </c>
      <c r="O658" s="33">
        <v>3150</v>
      </c>
      <c r="P658" s="33">
        <f>Table2_1[[#This Row],[Quantity Purchased]]*Table2_1[[#This Row],[UnitPrice]]*(1-Table2_1[[#This Row],[Discount]])</f>
        <v>3118.5</v>
      </c>
      <c r="Q658" s="33">
        <f>Table2_1[[#This Row],[Revenue]]-Table2_1[[#This Row],[COGS]]</f>
        <v>-31.5</v>
      </c>
      <c r="R658" s="39">
        <f>WEEKDAY(Table2_1[[#This Row],[Transaction  Date]])</f>
        <v>3</v>
      </c>
      <c r="S658" s="17" t="str">
        <f>IF(WEEKDAY(Table2_1[[#This Row],[Transaction  Date]],2)&lt;=5,"Weekday","Weekend")</f>
        <v>Weekday</v>
      </c>
      <c r="T658" s="37" t="str">
        <f>FLOOR(Table2_1[[#This Row],[Age]],15)&amp; "-"&amp; FLOOR(Table2_1[[#This Row],[Age]],15)+14</f>
        <v>30-44</v>
      </c>
    </row>
    <row r="659" spans="1:20" x14ac:dyDescent="0.3">
      <c r="A659" s="18">
        <v>45433</v>
      </c>
      <c r="B659" s="17" t="s">
        <v>1531</v>
      </c>
      <c r="C659" s="17" t="s">
        <v>55</v>
      </c>
      <c r="D659" s="18">
        <v>34958</v>
      </c>
      <c r="E659" s="16" t="s">
        <v>68</v>
      </c>
      <c r="F659" s="31">
        <v>285</v>
      </c>
      <c r="G659" s="17" t="s">
        <v>27</v>
      </c>
      <c r="H659" s="17" t="s">
        <v>39</v>
      </c>
      <c r="I659" s="17" t="s">
        <v>17</v>
      </c>
      <c r="J659" s="27">
        <v>0.1</v>
      </c>
      <c r="K659" s="17" t="s">
        <v>927</v>
      </c>
      <c r="L659" s="32">
        <v>18</v>
      </c>
      <c r="M659" s="32">
        <f>_xlfn.XLOOKUP(Table2_1[[#This Row],[Product Code]],Product_Code,Unit_Price,0)</f>
        <v>22</v>
      </c>
      <c r="N659" s="31">
        <f>DATEDIF(Table2_1[[#This Row],[Buyer Date of Birth]],Table2_1[[#This Row],[Transaction  Date]],"Y")</f>
        <v>28</v>
      </c>
      <c r="O659" s="33">
        <v>5130</v>
      </c>
      <c r="P659" s="33">
        <f>Table2_1[[#This Row],[Quantity Purchased]]*Table2_1[[#This Row],[UnitPrice]]*(1-Table2_1[[#This Row],[Discount]])</f>
        <v>5643</v>
      </c>
      <c r="Q659" s="33">
        <f>Table2_1[[#This Row],[Revenue]]-Table2_1[[#This Row],[COGS]]</f>
        <v>513</v>
      </c>
      <c r="R659" s="39">
        <f>WEEKDAY(Table2_1[[#This Row],[Transaction  Date]])</f>
        <v>3</v>
      </c>
      <c r="S659" s="17" t="str">
        <f>IF(WEEKDAY(Table2_1[[#This Row],[Transaction  Date]],2)&lt;=5,"Weekday","Weekend")</f>
        <v>Weekday</v>
      </c>
      <c r="T659" s="37" t="str">
        <f>FLOOR(Table2_1[[#This Row],[Age]],15)&amp; "-"&amp; FLOOR(Table2_1[[#This Row],[Age]],15)+14</f>
        <v>15-29</v>
      </c>
    </row>
    <row r="660" spans="1:20" x14ac:dyDescent="0.3">
      <c r="A660" s="18">
        <v>45433</v>
      </c>
      <c r="B660" s="17" t="s">
        <v>1532</v>
      </c>
      <c r="C660" s="17" t="s">
        <v>55</v>
      </c>
      <c r="D660" s="18">
        <v>21963</v>
      </c>
      <c r="E660" s="16" t="s">
        <v>14</v>
      </c>
      <c r="F660" s="31">
        <v>233</v>
      </c>
      <c r="G660" s="17" t="s">
        <v>65</v>
      </c>
      <c r="H660" s="17" t="s">
        <v>28</v>
      </c>
      <c r="I660" s="17" t="s">
        <v>17</v>
      </c>
      <c r="J660" s="27">
        <v>0.1</v>
      </c>
      <c r="K660" s="17" t="s">
        <v>928</v>
      </c>
      <c r="L660" s="32">
        <v>3</v>
      </c>
      <c r="M660" s="32">
        <f>_xlfn.XLOOKUP(Table2_1[[#This Row],[Product Code]],Product_Code,Unit_Price,0)</f>
        <v>5</v>
      </c>
      <c r="N660" s="31">
        <f>DATEDIF(Table2_1[[#This Row],[Buyer Date of Birth]],Table2_1[[#This Row],[Transaction  Date]],"Y")</f>
        <v>64</v>
      </c>
      <c r="O660" s="33">
        <v>699</v>
      </c>
      <c r="P660" s="33">
        <f>Table2_1[[#This Row],[Quantity Purchased]]*Table2_1[[#This Row],[UnitPrice]]*(1-Table2_1[[#This Row],[Discount]])</f>
        <v>1048.5</v>
      </c>
      <c r="Q660" s="33">
        <f>Table2_1[[#This Row],[Revenue]]-Table2_1[[#This Row],[COGS]]</f>
        <v>349.5</v>
      </c>
      <c r="R660" s="39">
        <f>WEEKDAY(Table2_1[[#This Row],[Transaction  Date]])</f>
        <v>3</v>
      </c>
      <c r="S660" s="17" t="str">
        <f>IF(WEEKDAY(Table2_1[[#This Row],[Transaction  Date]],2)&lt;=5,"Weekday","Weekend")</f>
        <v>Weekday</v>
      </c>
      <c r="T660" s="37" t="str">
        <f>FLOOR(Table2_1[[#This Row],[Age]],15)&amp; "-"&amp; FLOOR(Table2_1[[#This Row],[Age]],15)+14</f>
        <v>60-74</v>
      </c>
    </row>
    <row r="661" spans="1:20" x14ac:dyDescent="0.3">
      <c r="A661" s="18">
        <v>45433</v>
      </c>
      <c r="B661" s="17" t="s">
        <v>1533</v>
      </c>
      <c r="C661" s="17" t="s">
        <v>26</v>
      </c>
      <c r="D661" s="18">
        <v>33202</v>
      </c>
      <c r="E661" s="16" t="s">
        <v>14</v>
      </c>
      <c r="F661" s="31">
        <v>279</v>
      </c>
      <c r="G661" s="17" t="s">
        <v>65</v>
      </c>
      <c r="H661" s="17" t="s">
        <v>52</v>
      </c>
      <c r="I661" s="17" t="s">
        <v>17</v>
      </c>
      <c r="J661" s="27">
        <v>0.1</v>
      </c>
      <c r="K661" s="17" t="s">
        <v>928</v>
      </c>
      <c r="L661" s="32">
        <v>3</v>
      </c>
      <c r="M661" s="32">
        <f>_xlfn.XLOOKUP(Table2_1[[#This Row],[Product Code]],Product_Code,Unit_Price,0)</f>
        <v>5</v>
      </c>
      <c r="N661" s="31">
        <f>DATEDIF(Table2_1[[#This Row],[Buyer Date of Birth]],Table2_1[[#This Row],[Transaction  Date]],"Y")</f>
        <v>33</v>
      </c>
      <c r="O661" s="33">
        <v>837</v>
      </c>
      <c r="P661" s="33">
        <f>Table2_1[[#This Row],[Quantity Purchased]]*Table2_1[[#This Row],[UnitPrice]]*(1-Table2_1[[#This Row],[Discount]])</f>
        <v>1255.5</v>
      </c>
      <c r="Q661" s="33">
        <f>Table2_1[[#This Row],[Revenue]]-Table2_1[[#This Row],[COGS]]</f>
        <v>418.5</v>
      </c>
      <c r="R661" s="39">
        <f>WEEKDAY(Table2_1[[#This Row],[Transaction  Date]])</f>
        <v>3</v>
      </c>
      <c r="S661" s="17" t="str">
        <f>IF(WEEKDAY(Table2_1[[#This Row],[Transaction  Date]],2)&lt;=5,"Weekday","Weekend")</f>
        <v>Weekday</v>
      </c>
      <c r="T661" s="37" t="str">
        <f>FLOOR(Table2_1[[#This Row],[Age]],15)&amp; "-"&amp; FLOOR(Table2_1[[#This Row],[Age]],15)+14</f>
        <v>30-44</v>
      </c>
    </row>
    <row r="662" spans="1:20" x14ac:dyDescent="0.3">
      <c r="A662" s="18">
        <v>45433</v>
      </c>
      <c r="B662" s="17" t="s">
        <v>1534</v>
      </c>
      <c r="C662" s="17" t="s">
        <v>78</v>
      </c>
      <c r="D662" s="18">
        <v>22646</v>
      </c>
      <c r="E662" s="16" t="s">
        <v>68</v>
      </c>
      <c r="F662" s="31">
        <v>107</v>
      </c>
      <c r="G662" s="17" t="s">
        <v>42</v>
      </c>
      <c r="H662" s="17" t="s">
        <v>43</v>
      </c>
      <c r="I662" s="17" t="s">
        <v>17</v>
      </c>
      <c r="J662" s="27">
        <v>0.1</v>
      </c>
      <c r="K662" s="17" t="s">
        <v>926</v>
      </c>
      <c r="L662" s="32">
        <v>10</v>
      </c>
      <c r="M662" s="32">
        <f>_xlfn.XLOOKUP(Table2_1[[#This Row],[Product Code]],Product_Code,Unit_Price,0)</f>
        <v>11</v>
      </c>
      <c r="N662" s="31">
        <f>DATEDIF(Table2_1[[#This Row],[Buyer Date of Birth]],Table2_1[[#This Row],[Transaction  Date]],"Y")</f>
        <v>62</v>
      </c>
      <c r="O662" s="33">
        <v>1070</v>
      </c>
      <c r="P662" s="33">
        <f>Table2_1[[#This Row],[Quantity Purchased]]*Table2_1[[#This Row],[UnitPrice]]*(1-Table2_1[[#This Row],[Discount]])</f>
        <v>1059.3</v>
      </c>
      <c r="Q662" s="33">
        <f>Table2_1[[#This Row],[Revenue]]-Table2_1[[#This Row],[COGS]]</f>
        <v>-10.700000000000045</v>
      </c>
      <c r="R662" s="39">
        <f>WEEKDAY(Table2_1[[#This Row],[Transaction  Date]])</f>
        <v>3</v>
      </c>
      <c r="S662" s="17" t="str">
        <f>IF(WEEKDAY(Table2_1[[#This Row],[Transaction  Date]],2)&lt;=5,"Weekday","Weekend")</f>
        <v>Weekday</v>
      </c>
      <c r="T662" s="37" t="str">
        <f>FLOOR(Table2_1[[#This Row],[Age]],15)&amp; "-"&amp; FLOOR(Table2_1[[#This Row],[Age]],15)+14</f>
        <v>60-74</v>
      </c>
    </row>
    <row r="663" spans="1:20" x14ac:dyDescent="0.3">
      <c r="A663" s="18">
        <v>45433</v>
      </c>
      <c r="B663" s="17" t="s">
        <v>1535</v>
      </c>
      <c r="C663" s="17" t="s">
        <v>46</v>
      </c>
      <c r="D663" s="18">
        <v>21509</v>
      </c>
      <c r="E663" s="16" t="s">
        <v>68</v>
      </c>
      <c r="F663" s="31">
        <v>392</v>
      </c>
      <c r="G663" s="17" t="s">
        <v>47</v>
      </c>
      <c r="H663" s="17" t="s">
        <v>48</v>
      </c>
      <c r="I663" s="17" t="s">
        <v>17</v>
      </c>
      <c r="J663" s="27">
        <v>0.1</v>
      </c>
      <c r="K663" s="17" t="s">
        <v>931</v>
      </c>
      <c r="L663" s="32">
        <v>7</v>
      </c>
      <c r="M663" s="32">
        <f>_xlfn.XLOOKUP(Table2_1[[#This Row],[Product Code]],Product_Code,Unit_Price,0)</f>
        <v>9</v>
      </c>
      <c r="N663" s="31">
        <f>DATEDIF(Table2_1[[#This Row],[Buyer Date of Birth]],Table2_1[[#This Row],[Transaction  Date]],"Y")</f>
        <v>65</v>
      </c>
      <c r="O663" s="33">
        <v>2744</v>
      </c>
      <c r="P663" s="33">
        <f>Table2_1[[#This Row],[Quantity Purchased]]*Table2_1[[#This Row],[UnitPrice]]*(1-Table2_1[[#This Row],[Discount]])</f>
        <v>3175.2000000000003</v>
      </c>
      <c r="Q663" s="33">
        <f>Table2_1[[#This Row],[Revenue]]-Table2_1[[#This Row],[COGS]]</f>
        <v>431.20000000000027</v>
      </c>
      <c r="R663" s="39">
        <f>WEEKDAY(Table2_1[[#This Row],[Transaction  Date]])</f>
        <v>3</v>
      </c>
      <c r="S663" s="17" t="str">
        <f>IF(WEEKDAY(Table2_1[[#This Row],[Transaction  Date]],2)&lt;=5,"Weekday","Weekend")</f>
        <v>Weekday</v>
      </c>
      <c r="T663" s="37" t="str">
        <f>FLOOR(Table2_1[[#This Row],[Age]],15)&amp; "-"&amp; FLOOR(Table2_1[[#This Row],[Age]],15)+14</f>
        <v>60-74</v>
      </c>
    </row>
    <row r="664" spans="1:20" x14ac:dyDescent="0.3">
      <c r="A664" s="18">
        <v>45433</v>
      </c>
      <c r="B664" s="17" t="s">
        <v>1536</v>
      </c>
      <c r="C664" s="17" t="s">
        <v>83</v>
      </c>
      <c r="D664" s="18">
        <v>25051</v>
      </c>
      <c r="E664" s="16" t="s">
        <v>33</v>
      </c>
      <c r="F664" s="31">
        <v>409</v>
      </c>
      <c r="G664" s="17" t="s">
        <v>59</v>
      </c>
      <c r="H664" s="17" t="s">
        <v>52</v>
      </c>
      <c r="I664" s="17" t="s">
        <v>17</v>
      </c>
      <c r="J664" s="27">
        <v>0.1</v>
      </c>
      <c r="K664" s="17" t="s">
        <v>932</v>
      </c>
      <c r="L664" s="32">
        <v>19</v>
      </c>
      <c r="M664" s="32">
        <f>_xlfn.XLOOKUP(Table2_1[[#This Row],[Product Code]],Product_Code,Unit_Price,0)</f>
        <v>23</v>
      </c>
      <c r="N664" s="31">
        <f>DATEDIF(Table2_1[[#This Row],[Buyer Date of Birth]],Table2_1[[#This Row],[Transaction  Date]],"Y")</f>
        <v>55</v>
      </c>
      <c r="O664" s="33">
        <v>7771</v>
      </c>
      <c r="P664" s="33">
        <f>Table2_1[[#This Row],[Quantity Purchased]]*Table2_1[[#This Row],[UnitPrice]]*(1-Table2_1[[#This Row],[Discount]])</f>
        <v>8466.3000000000011</v>
      </c>
      <c r="Q664" s="33">
        <f>Table2_1[[#This Row],[Revenue]]-Table2_1[[#This Row],[COGS]]</f>
        <v>695.30000000000109</v>
      </c>
      <c r="R664" s="39">
        <f>WEEKDAY(Table2_1[[#This Row],[Transaction  Date]])</f>
        <v>3</v>
      </c>
      <c r="S664" s="17" t="str">
        <f>IF(WEEKDAY(Table2_1[[#This Row],[Transaction  Date]],2)&lt;=5,"Weekday","Weekend")</f>
        <v>Weekday</v>
      </c>
      <c r="T664" s="37" t="str">
        <f>FLOOR(Table2_1[[#This Row],[Age]],15)&amp; "-"&amp; FLOOR(Table2_1[[#This Row],[Age]],15)+14</f>
        <v>45-59</v>
      </c>
    </row>
    <row r="665" spans="1:20" x14ac:dyDescent="0.3">
      <c r="A665" s="18">
        <v>45433</v>
      </c>
      <c r="B665" s="17" t="s">
        <v>1537</v>
      </c>
      <c r="C665" s="17" t="s">
        <v>78</v>
      </c>
      <c r="D665" s="18">
        <v>17357</v>
      </c>
      <c r="E665" s="16" t="s">
        <v>33</v>
      </c>
      <c r="F665" s="31">
        <v>147</v>
      </c>
      <c r="G665" s="17" t="s">
        <v>34</v>
      </c>
      <c r="H665" s="17" t="s">
        <v>52</v>
      </c>
      <c r="I665" s="17" t="s">
        <v>17</v>
      </c>
      <c r="J665" s="27">
        <v>0.1</v>
      </c>
      <c r="K665" s="17" t="s">
        <v>930</v>
      </c>
      <c r="L665" s="32">
        <v>14</v>
      </c>
      <c r="M665" s="32">
        <f>_xlfn.XLOOKUP(Table2_1[[#This Row],[Product Code]],Product_Code,Unit_Price,0)</f>
        <v>28</v>
      </c>
      <c r="N665" s="31">
        <f>DATEDIF(Table2_1[[#This Row],[Buyer Date of Birth]],Table2_1[[#This Row],[Transaction  Date]],"Y")</f>
        <v>76</v>
      </c>
      <c r="O665" s="33">
        <v>2058</v>
      </c>
      <c r="P665" s="33">
        <f>Table2_1[[#This Row],[Quantity Purchased]]*Table2_1[[#This Row],[UnitPrice]]*(1-Table2_1[[#This Row],[Discount]])</f>
        <v>3704.4</v>
      </c>
      <c r="Q665" s="33">
        <f>Table2_1[[#This Row],[Revenue]]-Table2_1[[#This Row],[COGS]]</f>
        <v>1646.4</v>
      </c>
      <c r="R665" s="39">
        <f>WEEKDAY(Table2_1[[#This Row],[Transaction  Date]])</f>
        <v>3</v>
      </c>
      <c r="S665" s="17" t="str">
        <f>IF(WEEKDAY(Table2_1[[#This Row],[Transaction  Date]],2)&lt;=5,"Weekday","Weekend")</f>
        <v>Weekday</v>
      </c>
      <c r="T665" s="37" t="str">
        <f>FLOOR(Table2_1[[#This Row],[Age]],15)&amp; "-"&amp; FLOOR(Table2_1[[#This Row],[Age]],15)+14</f>
        <v>75-89</v>
      </c>
    </row>
    <row r="666" spans="1:20" x14ac:dyDescent="0.3">
      <c r="A666" s="18">
        <v>45433</v>
      </c>
      <c r="B666" s="17" t="s">
        <v>1538</v>
      </c>
      <c r="C666" s="17" t="s">
        <v>71</v>
      </c>
      <c r="D666" s="18">
        <v>37337</v>
      </c>
      <c r="E666" s="16" t="s">
        <v>68</v>
      </c>
      <c r="F666" s="31">
        <v>232</v>
      </c>
      <c r="G666" s="17" t="s">
        <v>65</v>
      </c>
      <c r="H666" s="17" t="s">
        <v>52</v>
      </c>
      <c r="I666" s="17" t="s">
        <v>17</v>
      </c>
      <c r="J666" s="27">
        <v>0.1</v>
      </c>
      <c r="K666" s="17" t="s">
        <v>928</v>
      </c>
      <c r="L666" s="32">
        <v>3</v>
      </c>
      <c r="M666" s="32">
        <f>_xlfn.XLOOKUP(Table2_1[[#This Row],[Product Code]],Product_Code,Unit_Price,0)</f>
        <v>5</v>
      </c>
      <c r="N666" s="31">
        <f>DATEDIF(Table2_1[[#This Row],[Buyer Date of Birth]],Table2_1[[#This Row],[Transaction  Date]],"Y")</f>
        <v>22</v>
      </c>
      <c r="O666" s="33">
        <v>696</v>
      </c>
      <c r="P666" s="33">
        <f>Table2_1[[#This Row],[Quantity Purchased]]*Table2_1[[#This Row],[UnitPrice]]*(1-Table2_1[[#This Row],[Discount]])</f>
        <v>1044</v>
      </c>
      <c r="Q666" s="33">
        <f>Table2_1[[#This Row],[Revenue]]-Table2_1[[#This Row],[COGS]]</f>
        <v>348</v>
      </c>
      <c r="R666" s="39">
        <f>WEEKDAY(Table2_1[[#This Row],[Transaction  Date]])</f>
        <v>3</v>
      </c>
      <c r="S666" s="17" t="str">
        <f>IF(WEEKDAY(Table2_1[[#This Row],[Transaction  Date]],2)&lt;=5,"Weekday","Weekend")</f>
        <v>Weekday</v>
      </c>
      <c r="T666" s="37" t="str">
        <f>FLOOR(Table2_1[[#This Row],[Age]],15)&amp; "-"&amp; FLOOR(Table2_1[[#This Row],[Age]],15)+14</f>
        <v>15-29</v>
      </c>
    </row>
    <row r="667" spans="1:20" x14ac:dyDescent="0.3">
      <c r="A667" s="18">
        <v>45434</v>
      </c>
      <c r="B667" s="17" t="s">
        <v>1539</v>
      </c>
      <c r="C667" s="17" t="s">
        <v>94</v>
      </c>
      <c r="D667" s="18">
        <v>30859</v>
      </c>
      <c r="E667" s="16" t="s">
        <v>33</v>
      </c>
      <c r="F667" s="31">
        <v>318</v>
      </c>
      <c r="G667" s="17" t="s">
        <v>64</v>
      </c>
      <c r="H667" s="17" t="s">
        <v>48</v>
      </c>
      <c r="I667" s="17" t="s">
        <v>17</v>
      </c>
      <c r="J667" s="27">
        <v>0.1</v>
      </c>
      <c r="K667" s="17" t="s">
        <v>933</v>
      </c>
      <c r="L667" s="32">
        <v>5</v>
      </c>
      <c r="M667" s="32">
        <f>_xlfn.XLOOKUP(Table2_1[[#This Row],[Product Code]],Product_Code,Unit_Price,0)</f>
        <v>7</v>
      </c>
      <c r="N667" s="31">
        <f>DATEDIF(Table2_1[[#This Row],[Buyer Date of Birth]],Table2_1[[#This Row],[Transaction  Date]],"Y")</f>
        <v>39</v>
      </c>
      <c r="O667" s="33">
        <v>1590</v>
      </c>
      <c r="P667" s="33">
        <f>Table2_1[[#This Row],[Quantity Purchased]]*Table2_1[[#This Row],[UnitPrice]]*(1-Table2_1[[#This Row],[Discount]])</f>
        <v>2003.4</v>
      </c>
      <c r="Q667" s="33">
        <f>Table2_1[[#This Row],[Revenue]]-Table2_1[[#This Row],[COGS]]</f>
        <v>413.40000000000009</v>
      </c>
      <c r="R667" s="39">
        <f>WEEKDAY(Table2_1[[#This Row],[Transaction  Date]])</f>
        <v>4</v>
      </c>
      <c r="S667" s="17" t="str">
        <f>IF(WEEKDAY(Table2_1[[#This Row],[Transaction  Date]],2)&lt;=5,"Weekday","Weekend")</f>
        <v>Weekday</v>
      </c>
      <c r="T667" s="37" t="str">
        <f>FLOOR(Table2_1[[#This Row],[Age]],15)&amp; "-"&amp; FLOOR(Table2_1[[#This Row],[Age]],15)+14</f>
        <v>30-44</v>
      </c>
    </row>
    <row r="668" spans="1:20" x14ac:dyDescent="0.3">
      <c r="A668" s="18">
        <v>45434</v>
      </c>
      <c r="B668" s="17" t="s">
        <v>1540</v>
      </c>
      <c r="C668" s="17" t="s">
        <v>55</v>
      </c>
      <c r="D668" s="18">
        <v>37809</v>
      </c>
      <c r="E668" s="16" t="s">
        <v>68</v>
      </c>
      <c r="F668" s="31">
        <v>62</v>
      </c>
      <c r="G668" s="17" t="s">
        <v>27</v>
      </c>
      <c r="H668" s="17" t="s">
        <v>43</v>
      </c>
      <c r="I668" s="17" t="s">
        <v>17</v>
      </c>
      <c r="J668" s="27">
        <v>0.1</v>
      </c>
      <c r="K668" s="17" t="s">
        <v>927</v>
      </c>
      <c r="L668" s="32">
        <v>18</v>
      </c>
      <c r="M668" s="32">
        <f>_xlfn.XLOOKUP(Table2_1[[#This Row],[Product Code]],Product_Code,Unit_Price,0)</f>
        <v>22</v>
      </c>
      <c r="N668" s="31">
        <f>DATEDIF(Table2_1[[#This Row],[Buyer Date of Birth]],Table2_1[[#This Row],[Transaction  Date]],"Y")</f>
        <v>20</v>
      </c>
      <c r="O668" s="33">
        <v>1116</v>
      </c>
      <c r="P668" s="33">
        <f>Table2_1[[#This Row],[Quantity Purchased]]*Table2_1[[#This Row],[UnitPrice]]*(1-Table2_1[[#This Row],[Discount]])</f>
        <v>1227.6000000000001</v>
      </c>
      <c r="Q668" s="33">
        <f>Table2_1[[#This Row],[Revenue]]-Table2_1[[#This Row],[COGS]]</f>
        <v>111.60000000000014</v>
      </c>
      <c r="R668" s="39">
        <f>WEEKDAY(Table2_1[[#This Row],[Transaction  Date]])</f>
        <v>4</v>
      </c>
      <c r="S668" s="17" t="str">
        <f>IF(WEEKDAY(Table2_1[[#This Row],[Transaction  Date]],2)&lt;=5,"Weekday","Weekend")</f>
        <v>Weekday</v>
      </c>
      <c r="T668" s="37" t="str">
        <f>FLOOR(Table2_1[[#This Row],[Age]],15)&amp; "-"&amp; FLOOR(Table2_1[[#This Row],[Age]],15)+14</f>
        <v>15-29</v>
      </c>
    </row>
    <row r="669" spans="1:20" x14ac:dyDescent="0.3">
      <c r="A669" s="18">
        <v>45434</v>
      </c>
      <c r="B669" s="17" t="s">
        <v>1541</v>
      </c>
      <c r="C669" s="17" t="s">
        <v>78</v>
      </c>
      <c r="D669" s="18">
        <v>30864</v>
      </c>
      <c r="E669" s="16" t="s">
        <v>68</v>
      </c>
      <c r="F669" s="31">
        <v>339</v>
      </c>
      <c r="G669" s="17" t="s">
        <v>42</v>
      </c>
      <c r="H669" s="17" t="s">
        <v>52</v>
      </c>
      <c r="I669" s="17" t="s">
        <v>17</v>
      </c>
      <c r="J669" s="27">
        <v>0.1</v>
      </c>
      <c r="K669" s="17" t="s">
        <v>926</v>
      </c>
      <c r="L669" s="32">
        <v>10</v>
      </c>
      <c r="M669" s="32">
        <f>_xlfn.XLOOKUP(Table2_1[[#This Row],[Product Code]],Product_Code,Unit_Price,0)</f>
        <v>11</v>
      </c>
      <c r="N669" s="31">
        <f>DATEDIF(Table2_1[[#This Row],[Buyer Date of Birth]],Table2_1[[#This Row],[Transaction  Date]],"Y")</f>
        <v>39</v>
      </c>
      <c r="O669" s="33">
        <v>3390</v>
      </c>
      <c r="P669" s="33">
        <f>Table2_1[[#This Row],[Quantity Purchased]]*Table2_1[[#This Row],[UnitPrice]]*(1-Table2_1[[#This Row],[Discount]])</f>
        <v>3356.1</v>
      </c>
      <c r="Q669" s="33">
        <f>Table2_1[[#This Row],[Revenue]]-Table2_1[[#This Row],[COGS]]</f>
        <v>-33.900000000000091</v>
      </c>
      <c r="R669" s="39">
        <f>WEEKDAY(Table2_1[[#This Row],[Transaction  Date]])</f>
        <v>4</v>
      </c>
      <c r="S669" s="17" t="str">
        <f>IF(WEEKDAY(Table2_1[[#This Row],[Transaction  Date]],2)&lt;=5,"Weekday","Weekend")</f>
        <v>Weekday</v>
      </c>
      <c r="T669" s="37" t="str">
        <f>FLOOR(Table2_1[[#This Row],[Age]],15)&amp; "-"&amp; FLOOR(Table2_1[[#This Row],[Age]],15)+14</f>
        <v>30-44</v>
      </c>
    </row>
    <row r="670" spans="1:20" x14ac:dyDescent="0.3">
      <c r="A670" s="18">
        <v>45434</v>
      </c>
      <c r="B670" s="17" t="s">
        <v>1542</v>
      </c>
      <c r="C670" s="17" t="s">
        <v>51</v>
      </c>
      <c r="D670" s="18">
        <v>37012</v>
      </c>
      <c r="E670" s="16" t="s">
        <v>68</v>
      </c>
      <c r="F670" s="31">
        <v>138</v>
      </c>
      <c r="G670" s="17" t="s">
        <v>59</v>
      </c>
      <c r="H670" s="17" t="s">
        <v>48</v>
      </c>
      <c r="I670" s="17" t="s">
        <v>17</v>
      </c>
      <c r="J670" s="27">
        <v>0.1</v>
      </c>
      <c r="K670" s="17" t="s">
        <v>932</v>
      </c>
      <c r="L670" s="32">
        <v>19</v>
      </c>
      <c r="M670" s="32">
        <f>_xlfn.XLOOKUP(Table2_1[[#This Row],[Product Code]],Product_Code,Unit_Price,0)</f>
        <v>23</v>
      </c>
      <c r="N670" s="31">
        <f>DATEDIF(Table2_1[[#This Row],[Buyer Date of Birth]],Table2_1[[#This Row],[Transaction  Date]],"Y")</f>
        <v>23</v>
      </c>
      <c r="O670" s="33">
        <v>2622</v>
      </c>
      <c r="P670" s="33">
        <f>Table2_1[[#This Row],[Quantity Purchased]]*Table2_1[[#This Row],[UnitPrice]]*(1-Table2_1[[#This Row],[Discount]])</f>
        <v>2856.6</v>
      </c>
      <c r="Q670" s="33">
        <f>Table2_1[[#This Row],[Revenue]]-Table2_1[[#This Row],[COGS]]</f>
        <v>234.59999999999991</v>
      </c>
      <c r="R670" s="39">
        <f>WEEKDAY(Table2_1[[#This Row],[Transaction  Date]])</f>
        <v>4</v>
      </c>
      <c r="S670" s="17" t="str">
        <f>IF(WEEKDAY(Table2_1[[#This Row],[Transaction  Date]],2)&lt;=5,"Weekday","Weekend")</f>
        <v>Weekday</v>
      </c>
      <c r="T670" s="37" t="str">
        <f>FLOOR(Table2_1[[#This Row],[Age]],15)&amp; "-"&amp; FLOOR(Table2_1[[#This Row],[Age]],15)+14</f>
        <v>15-29</v>
      </c>
    </row>
    <row r="671" spans="1:20" x14ac:dyDescent="0.3">
      <c r="A671" s="18">
        <v>45434</v>
      </c>
      <c r="B671" s="17" t="s">
        <v>1543</v>
      </c>
      <c r="C671" s="17" t="s">
        <v>71</v>
      </c>
      <c r="D671" s="18">
        <v>29997</v>
      </c>
      <c r="E671" s="16" t="s">
        <v>20</v>
      </c>
      <c r="F671" s="31">
        <v>152</v>
      </c>
      <c r="G671" s="17" t="s">
        <v>65</v>
      </c>
      <c r="H671" s="17" t="s">
        <v>48</v>
      </c>
      <c r="I671" s="17" t="s">
        <v>17</v>
      </c>
      <c r="J671" s="27">
        <v>0.1</v>
      </c>
      <c r="K671" s="17" t="s">
        <v>928</v>
      </c>
      <c r="L671" s="32">
        <v>3</v>
      </c>
      <c r="M671" s="32">
        <f>_xlfn.XLOOKUP(Table2_1[[#This Row],[Product Code]],Product_Code,Unit_Price,0)</f>
        <v>5</v>
      </c>
      <c r="N671" s="31">
        <f>DATEDIF(Table2_1[[#This Row],[Buyer Date of Birth]],Table2_1[[#This Row],[Transaction  Date]],"Y")</f>
        <v>42</v>
      </c>
      <c r="O671" s="33">
        <v>456</v>
      </c>
      <c r="P671" s="33">
        <f>Table2_1[[#This Row],[Quantity Purchased]]*Table2_1[[#This Row],[UnitPrice]]*(1-Table2_1[[#This Row],[Discount]])</f>
        <v>684</v>
      </c>
      <c r="Q671" s="33">
        <f>Table2_1[[#This Row],[Revenue]]-Table2_1[[#This Row],[COGS]]</f>
        <v>228</v>
      </c>
      <c r="R671" s="39">
        <f>WEEKDAY(Table2_1[[#This Row],[Transaction  Date]])</f>
        <v>4</v>
      </c>
      <c r="S671" s="17" t="str">
        <f>IF(WEEKDAY(Table2_1[[#This Row],[Transaction  Date]],2)&lt;=5,"Weekday","Weekend")</f>
        <v>Weekday</v>
      </c>
      <c r="T671" s="37" t="str">
        <f>FLOOR(Table2_1[[#This Row],[Age]],15)&amp; "-"&amp; FLOOR(Table2_1[[#This Row],[Age]],15)+14</f>
        <v>30-44</v>
      </c>
    </row>
    <row r="672" spans="1:20" x14ac:dyDescent="0.3">
      <c r="A672" s="18">
        <v>45435</v>
      </c>
      <c r="B672" s="17" t="s">
        <v>1544</v>
      </c>
      <c r="C672" s="17" t="s">
        <v>26</v>
      </c>
      <c r="D672" s="18">
        <v>26531</v>
      </c>
      <c r="E672" s="16" t="s">
        <v>20</v>
      </c>
      <c r="F672" s="31">
        <v>213</v>
      </c>
      <c r="G672" s="17" t="s">
        <v>34</v>
      </c>
      <c r="H672" s="17" t="s">
        <v>35</v>
      </c>
      <c r="I672" s="17" t="s">
        <v>17</v>
      </c>
      <c r="J672" s="27">
        <v>0.1</v>
      </c>
      <c r="K672" s="17" t="s">
        <v>930</v>
      </c>
      <c r="L672" s="32">
        <v>14</v>
      </c>
      <c r="M672" s="32">
        <f>_xlfn.XLOOKUP(Table2_1[[#This Row],[Product Code]],Product_Code,Unit_Price,0)</f>
        <v>28</v>
      </c>
      <c r="N672" s="31">
        <f>DATEDIF(Table2_1[[#This Row],[Buyer Date of Birth]],Table2_1[[#This Row],[Transaction  Date]],"Y")</f>
        <v>51</v>
      </c>
      <c r="O672" s="33">
        <v>2982</v>
      </c>
      <c r="P672" s="33">
        <f>Table2_1[[#This Row],[Quantity Purchased]]*Table2_1[[#This Row],[UnitPrice]]*(1-Table2_1[[#This Row],[Discount]])</f>
        <v>5367.6</v>
      </c>
      <c r="Q672" s="33">
        <f>Table2_1[[#This Row],[Revenue]]-Table2_1[[#This Row],[COGS]]</f>
        <v>2385.6000000000004</v>
      </c>
      <c r="R672" s="39">
        <f>WEEKDAY(Table2_1[[#This Row],[Transaction  Date]])</f>
        <v>5</v>
      </c>
      <c r="S672" s="17" t="str">
        <f>IF(WEEKDAY(Table2_1[[#This Row],[Transaction  Date]],2)&lt;=5,"Weekday","Weekend")</f>
        <v>Weekday</v>
      </c>
      <c r="T672" s="37" t="str">
        <f>FLOOR(Table2_1[[#This Row],[Age]],15)&amp; "-"&amp; FLOOR(Table2_1[[#This Row],[Age]],15)+14</f>
        <v>45-59</v>
      </c>
    </row>
    <row r="673" spans="1:20" x14ac:dyDescent="0.3">
      <c r="A673" s="18">
        <v>45435</v>
      </c>
      <c r="B673" s="17" t="s">
        <v>1545</v>
      </c>
      <c r="C673" s="17" t="s">
        <v>51</v>
      </c>
      <c r="D673" s="18">
        <v>27394</v>
      </c>
      <c r="E673" s="16" t="s">
        <v>68</v>
      </c>
      <c r="F673" s="31">
        <v>34</v>
      </c>
      <c r="G673" s="17" t="s">
        <v>59</v>
      </c>
      <c r="H673" s="17" t="s">
        <v>52</v>
      </c>
      <c r="I673" s="17" t="s">
        <v>17</v>
      </c>
      <c r="J673" s="27">
        <v>0.1</v>
      </c>
      <c r="K673" s="17" t="s">
        <v>932</v>
      </c>
      <c r="L673" s="32">
        <v>19</v>
      </c>
      <c r="M673" s="32">
        <f>_xlfn.XLOOKUP(Table2_1[[#This Row],[Product Code]],Product_Code,Unit_Price,0)</f>
        <v>23</v>
      </c>
      <c r="N673" s="31">
        <f>DATEDIF(Table2_1[[#This Row],[Buyer Date of Birth]],Table2_1[[#This Row],[Transaction  Date]],"Y")</f>
        <v>49</v>
      </c>
      <c r="O673" s="33">
        <v>646</v>
      </c>
      <c r="P673" s="33">
        <f>Table2_1[[#This Row],[Quantity Purchased]]*Table2_1[[#This Row],[UnitPrice]]*(1-Table2_1[[#This Row],[Discount]])</f>
        <v>703.80000000000007</v>
      </c>
      <c r="Q673" s="33">
        <f>Table2_1[[#This Row],[Revenue]]-Table2_1[[#This Row],[COGS]]</f>
        <v>57.800000000000068</v>
      </c>
      <c r="R673" s="39">
        <f>WEEKDAY(Table2_1[[#This Row],[Transaction  Date]])</f>
        <v>5</v>
      </c>
      <c r="S673" s="17" t="str">
        <f>IF(WEEKDAY(Table2_1[[#This Row],[Transaction  Date]],2)&lt;=5,"Weekday","Weekend")</f>
        <v>Weekday</v>
      </c>
      <c r="T673" s="37" t="str">
        <f>FLOOR(Table2_1[[#This Row],[Age]],15)&amp; "-"&amp; FLOOR(Table2_1[[#This Row],[Age]],15)+14</f>
        <v>45-59</v>
      </c>
    </row>
    <row r="674" spans="1:20" x14ac:dyDescent="0.3">
      <c r="A674" s="18">
        <v>45435</v>
      </c>
      <c r="B674" s="17" t="s">
        <v>1546</v>
      </c>
      <c r="C674" s="17" t="s">
        <v>78</v>
      </c>
      <c r="D674" s="18">
        <v>36052</v>
      </c>
      <c r="E674" s="16" t="s">
        <v>20</v>
      </c>
      <c r="F674" s="31">
        <v>309</v>
      </c>
      <c r="G674" s="17" t="s">
        <v>65</v>
      </c>
      <c r="H674" s="17" t="s">
        <v>28</v>
      </c>
      <c r="I674" s="17" t="s">
        <v>17</v>
      </c>
      <c r="J674" s="27">
        <v>0.1</v>
      </c>
      <c r="K674" s="17" t="s">
        <v>928</v>
      </c>
      <c r="L674" s="32">
        <v>3</v>
      </c>
      <c r="M674" s="32">
        <f>_xlfn.XLOOKUP(Table2_1[[#This Row],[Product Code]],Product_Code,Unit_Price,0)</f>
        <v>5</v>
      </c>
      <c r="N674" s="31">
        <f>DATEDIF(Table2_1[[#This Row],[Buyer Date of Birth]],Table2_1[[#This Row],[Transaction  Date]],"Y")</f>
        <v>25</v>
      </c>
      <c r="O674" s="33">
        <v>927</v>
      </c>
      <c r="P674" s="33">
        <f>Table2_1[[#This Row],[Quantity Purchased]]*Table2_1[[#This Row],[UnitPrice]]*(1-Table2_1[[#This Row],[Discount]])</f>
        <v>1390.5</v>
      </c>
      <c r="Q674" s="33">
        <f>Table2_1[[#This Row],[Revenue]]-Table2_1[[#This Row],[COGS]]</f>
        <v>463.5</v>
      </c>
      <c r="R674" s="39">
        <f>WEEKDAY(Table2_1[[#This Row],[Transaction  Date]])</f>
        <v>5</v>
      </c>
      <c r="S674" s="17" t="str">
        <f>IF(WEEKDAY(Table2_1[[#This Row],[Transaction  Date]],2)&lt;=5,"Weekday","Weekend")</f>
        <v>Weekday</v>
      </c>
      <c r="T674" s="37" t="str">
        <f>FLOOR(Table2_1[[#This Row],[Age]],15)&amp; "-"&amp; FLOOR(Table2_1[[#This Row],[Age]],15)+14</f>
        <v>15-29</v>
      </c>
    </row>
    <row r="675" spans="1:20" x14ac:dyDescent="0.3">
      <c r="A675" s="18">
        <v>45435</v>
      </c>
      <c r="B675" s="17" t="s">
        <v>1547</v>
      </c>
      <c r="C675" s="17" t="s">
        <v>13</v>
      </c>
      <c r="D675" s="18">
        <v>36232</v>
      </c>
      <c r="E675" s="16" t="s">
        <v>33</v>
      </c>
      <c r="F675" s="31">
        <v>339</v>
      </c>
      <c r="G675" s="17" t="s">
        <v>47</v>
      </c>
      <c r="H675" s="17" t="s">
        <v>52</v>
      </c>
      <c r="I675" s="17" t="s">
        <v>17</v>
      </c>
      <c r="J675" s="27">
        <v>0.1</v>
      </c>
      <c r="K675" s="17" t="s">
        <v>931</v>
      </c>
      <c r="L675" s="32">
        <v>7</v>
      </c>
      <c r="M675" s="32">
        <f>_xlfn.XLOOKUP(Table2_1[[#This Row],[Product Code]],Product_Code,Unit_Price,0)</f>
        <v>9</v>
      </c>
      <c r="N675" s="31">
        <f>DATEDIF(Table2_1[[#This Row],[Buyer Date of Birth]],Table2_1[[#This Row],[Transaction  Date]],"Y")</f>
        <v>25</v>
      </c>
      <c r="O675" s="33">
        <v>2373</v>
      </c>
      <c r="P675" s="33">
        <f>Table2_1[[#This Row],[Quantity Purchased]]*Table2_1[[#This Row],[UnitPrice]]*(1-Table2_1[[#This Row],[Discount]])</f>
        <v>2745.9</v>
      </c>
      <c r="Q675" s="33">
        <f>Table2_1[[#This Row],[Revenue]]-Table2_1[[#This Row],[COGS]]</f>
        <v>372.90000000000009</v>
      </c>
      <c r="R675" s="39">
        <f>WEEKDAY(Table2_1[[#This Row],[Transaction  Date]])</f>
        <v>5</v>
      </c>
      <c r="S675" s="17" t="str">
        <f>IF(WEEKDAY(Table2_1[[#This Row],[Transaction  Date]],2)&lt;=5,"Weekday","Weekend")</f>
        <v>Weekday</v>
      </c>
      <c r="T675" s="37" t="str">
        <f>FLOOR(Table2_1[[#This Row],[Age]],15)&amp; "-"&amp; FLOOR(Table2_1[[#This Row],[Age]],15)+14</f>
        <v>15-29</v>
      </c>
    </row>
    <row r="676" spans="1:20" x14ac:dyDescent="0.3">
      <c r="A676" s="18">
        <v>45436</v>
      </c>
      <c r="B676" s="17" t="s">
        <v>1548</v>
      </c>
      <c r="C676" s="17" t="s">
        <v>38</v>
      </c>
      <c r="D676" s="18">
        <v>22338</v>
      </c>
      <c r="E676" s="16" t="s">
        <v>20</v>
      </c>
      <c r="F676" s="31">
        <v>459</v>
      </c>
      <c r="G676" s="17" t="s">
        <v>56</v>
      </c>
      <c r="H676" s="17" t="s">
        <v>48</v>
      </c>
      <c r="I676" s="17" t="s">
        <v>17</v>
      </c>
      <c r="J676" s="27">
        <v>0.1</v>
      </c>
      <c r="K676" s="17" t="s">
        <v>935</v>
      </c>
      <c r="L676" s="32">
        <v>18</v>
      </c>
      <c r="M676" s="32">
        <f>_xlfn.XLOOKUP(Table2_1[[#This Row],[Product Code]],Product_Code,Unit_Price,0)</f>
        <v>36</v>
      </c>
      <c r="N676" s="31">
        <f>DATEDIF(Table2_1[[#This Row],[Buyer Date of Birth]],Table2_1[[#This Row],[Transaction  Date]],"Y")</f>
        <v>63</v>
      </c>
      <c r="O676" s="33">
        <v>8262</v>
      </c>
      <c r="P676" s="33">
        <f>Table2_1[[#This Row],[Quantity Purchased]]*Table2_1[[#This Row],[UnitPrice]]*(1-Table2_1[[#This Row],[Discount]])</f>
        <v>14871.6</v>
      </c>
      <c r="Q676" s="33">
        <f>Table2_1[[#This Row],[Revenue]]-Table2_1[[#This Row],[COGS]]</f>
        <v>6609.6</v>
      </c>
      <c r="R676" s="39">
        <f>WEEKDAY(Table2_1[[#This Row],[Transaction  Date]])</f>
        <v>6</v>
      </c>
      <c r="S676" s="17" t="str">
        <f>IF(WEEKDAY(Table2_1[[#This Row],[Transaction  Date]],2)&lt;=5,"Weekday","Weekend")</f>
        <v>Weekday</v>
      </c>
      <c r="T676" s="37" t="str">
        <f>FLOOR(Table2_1[[#This Row],[Age]],15)&amp; "-"&amp; FLOOR(Table2_1[[#This Row],[Age]],15)+14</f>
        <v>60-74</v>
      </c>
    </row>
    <row r="677" spans="1:20" x14ac:dyDescent="0.3">
      <c r="A677" s="18">
        <v>45436</v>
      </c>
      <c r="B677" s="17" t="s">
        <v>1549</v>
      </c>
      <c r="C677" s="17" t="s">
        <v>46</v>
      </c>
      <c r="D677" s="18">
        <v>20228</v>
      </c>
      <c r="E677" s="16" t="s">
        <v>20</v>
      </c>
      <c r="F677" s="31">
        <v>107</v>
      </c>
      <c r="G677" s="17" t="s">
        <v>15</v>
      </c>
      <c r="H677" s="17" t="s">
        <v>52</v>
      </c>
      <c r="I677" s="17" t="s">
        <v>17</v>
      </c>
      <c r="J677" s="27">
        <v>0.1</v>
      </c>
      <c r="K677" s="17" t="s">
        <v>929</v>
      </c>
      <c r="L677" s="32">
        <v>10</v>
      </c>
      <c r="M677" s="32">
        <f>_xlfn.XLOOKUP(Table2_1[[#This Row],[Product Code]],Product_Code,Unit_Price,0)</f>
        <v>14</v>
      </c>
      <c r="N677" s="31">
        <f>DATEDIF(Table2_1[[#This Row],[Buyer Date of Birth]],Table2_1[[#This Row],[Transaction  Date]],"Y")</f>
        <v>69</v>
      </c>
      <c r="O677" s="33">
        <v>1070</v>
      </c>
      <c r="P677" s="33">
        <f>Table2_1[[#This Row],[Quantity Purchased]]*Table2_1[[#This Row],[UnitPrice]]*(1-Table2_1[[#This Row],[Discount]])</f>
        <v>1348.2</v>
      </c>
      <c r="Q677" s="33">
        <f>Table2_1[[#This Row],[Revenue]]-Table2_1[[#This Row],[COGS]]</f>
        <v>278.20000000000005</v>
      </c>
      <c r="R677" s="39">
        <f>WEEKDAY(Table2_1[[#This Row],[Transaction  Date]])</f>
        <v>6</v>
      </c>
      <c r="S677" s="17" t="str">
        <f>IF(WEEKDAY(Table2_1[[#This Row],[Transaction  Date]],2)&lt;=5,"Weekday","Weekend")</f>
        <v>Weekday</v>
      </c>
      <c r="T677" s="37" t="str">
        <f>FLOOR(Table2_1[[#This Row],[Age]],15)&amp; "-"&amp; FLOOR(Table2_1[[#This Row],[Age]],15)+14</f>
        <v>60-74</v>
      </c>
    </row>
    <row r="678" spans="1:20" x14ac:dyDescent="0.3">
      <c r="A678" s="18">
        <v>45436</v>
      </c>
      <c r="B678" s="17" t="s">
        <v>1550</v>
      </c>
      <c r="C678" s="17" t="s">
        <v>94</v>
      </c>
      <c r="D678" s="18">
        <v>32954</v>
      </c>
      <c r="E678" s="16" t="s">
        <v>68</v>
      </c>
      <c r="F678" s="31">
        <v>454</v>
      </c>
      <c r="G678" s="17" t="s">
        <v>15</v>
      </c>
      <c r="H678" s="17" t="s">
        <v>43</v>
      </c>
      <c r="I678" s="17" t="s">
        <v>17</v>
      </c>
      <c r="J678" s="27">
        <v>0.1</v>
      </c>
      <c r="K678" s="17" t="s">
        <v>929</v>
      </c>
      <c r="L678" s="32">
        <v>10</v>
      </c>
      <c r="M678" s="32">
        <f>_xlfn.XLOOKUP(Table2_1[[#This Row],[Product Code]],Product_Code,Unit_Price,0)</f>
        <v>14</v>
      </c>
      <c r="N678" s="31">
        <f>DATEDIF(Table2_1[[#This Row],[Buyer Date of Birth]],Table2_1[[#This Row],[Transaction  Date]],"Y")</f>
        <v>34</v>
      </c>
      <c r="O678" s="33">
        <v>4540</v>
      </c>
      <c r="P678" s="33">
        <f>Table2_1[[#This Row],[Quantity Purchased]]*Table2_1[[#This Row],[UnitPrice]]*(1-Table2_1[[#This Row],[Discount]])</f>
        <v>5720.4000000000005</v>
      </c>
      <c r="Q678" s="33">
        <f>Table2_1[[#This Row],[Revenue]]-Table2_1[[#This Row],[COGS]]</f>
        <v>1180.4000000000005</v>
      </c>
      <c r="R678" s="39">
        <f>WEEKDAY(Table2_1[[#This Row],[Transaction  Date]])</f>
        <v>6</v>
      </c>
      <c r="S678" s="17" t="str">
        <f>IF(WEEKDAY(Table2_1[[#This Row],[Transaction  Date]],2)&lt;=5,"Weekday","Weekend")</f>
        <v>Weekday</v>
      </c>
      <c r="T678" s="37" t="str">
        <f>FLOOR(Table2_1[[#This Row],[Age]],15)&amp; "-"&amp; FLOOR(Table2_1[[#This Row],[Age]],15)+14</f>
        <v>30-44</v>
      </c>
    </row>
    <row r="679" spans="1:20" x14ac:dyDescent="0.3">
      <c r="A679" s="18">
        <v>45436</v>
      </c>
      <c r="B679" s="17" t="s">
        <v>1243</v>
      </c>
      <c r="C679" s="17" t="s">
        <v>94</v>
      </c>
      <c r="D679" s="18">
        <v>27601</v>
      </c>
      <c r="E679" s="16" t="s">
        <v>33</v>
      </c>
      <c r="F679" s="31">
        <v>112</v>
      </c>
      <c r="G679" s="17" t="s">
        <v>42</v>
      </c>
      <c r="H679" s="17" t="s">
        <v>52</v>
      </c>
      <c r="I679" s="17" t="s">
        <v>17</v>
      </c>
      <c r="J679" s="27">
        <v>0.1</v>
      </c>
      <c r="K679" s="17" t="s">
        <v>926</v>
      </c>
      <c r="L679" s="32">
        <v>10</v>
      </c>
      <c r="M679" s="32">
        <f>_xlfn.XLOOKUP(Table2_1[[#This Row],[Product Code]],Product_Code,Unit_Price,0)</f>
        <v>11</v>
      </c>
      <c r="N679" s="31">
        <f>DATEDIF(Table2_1[[#This Row],[Buyer Date of Birth]],Table2_1[[#This Row],[Transaction  Date]],"Y")</f>
        <v>48</v>
      </c>
      <c r="O679" s="33">
        <v>1120</v>
      </c>
      <c r="P679" s="33">
        <f>Table2_1[[#This Row],[Quantity Purchased]]*Table2_1[[#This Row],[UnitPrice]]*(1-Table2_1[[#This Row],[Discount]])</f>
        <v>1108.8</v>
      </c>
      <c r="Q679" s="33">
        <f>Table2_1[[#This Row],[Revenue]]-Table2_1[[#This Row],[COGS]]</f>
        <v>-11.200000000000045</v>
      </c>
      <c r="R679" s="39">
        <f>WEEKDAY(Table2_1[[#This Row],[Transaction  Date]])</f>
        <v>6</v>
      </c>
      <c r="S679" s="17" t="str">
        <f>IF(WEEKDAY(Table2_1[[#This Row],[Transaction  Date]],2)&lt;=5,"Weekday","Weekend")</f>
        <v>Weekday</v>
      </c>
      <c r="T679" s="37" t="str">
        <f>FLOOR(Table2_1[[#This Row],[Age]],15)&amp; "-"&amp; FLOOR(Table2_1[[#This Row],[Age]],15)+14</f>
        <v>45-59</v>
      </c>
    </row>
    <row r="680" spans="1:20" x14ac:dyDescent="0.3">
      <c r="A680" s="18">
        <v>45437</v>
      </c>
      <c r="B680" s="17" t="s">
        <v>1551</v>
      </c>
      <c r="C680" s="17" t="s">
        <v>38</v>
      </c>
      <c r="D680" s="18">
        <v>34418</v>
      </c>
      <c r="E680" s="16" t="s">
        <v>20</v>
      </c>
      <c r="F680" s="31">
        <v>102</v>
      </c>
      <c r="G680" s="17" t="s">
        <v>21</v>
      </c>
      <c r="H680" s="17" t="s">
        <v>43</v>
      </c>
      <c r="I680" s="17" t="s">
        <v>17</v>
      </c>
      <c r="J680" s="27">
        <v>0.1</v>
      </c>
      <c r="K680" s="17" t="s">
        <v>934</v>
      </c>
      <c r="L680" s="32">
        <v>10</v>
      </c>
      <c r="M680" s="32">
        <f>_xlfn.XLOOKUP(Table2_1[[#This Row],[Product Code]],Product_Code,Unit_Price,0)</f>
        <v>45</v>
      </c>
      <c r="N680" s="31">
        <f>DATEDIF(Table2_1[[#This Row],[Buyer Date of Birth]],Table2_1[[#This Row],[Transaction  Date]],"Y")</f>
        <v>30</v>
      </c>
      <c r="O680" s="33">
        <v>1020</v>
      </c>
      <c r="P680" s="33">
        <f>Table2_1[[#This Row],[Quantity Purchased]]*Table2_1[[#This Row],[UnitPrice]]*(1-Table2_1[[#This Row],[Discount]])</f>
        <v>4131</v>
      </c>
      <c r="Q680" s="33">
        <f>Table2_1[[#This Row],[Revenue]]-Table2_1[[#This Row],[COGS]]</f>
        <v>3111</v>
      </c>
      <c r="R680" s="39">
        <f>WEEKDAY(Table2_1[[#This Row],[Transaction  Date]])</f>
        <v>7</v>
      </c>
      <c r="S680" s="17" t="str">
        <f>IF(WEEKDAY(Table2_1[[#This Row],[Transaction  Date]],2)&lt;=5,"Weekday","Weekend")</f>
        <v>Weekend</v>
      </c>
      <c r="T680" s="37" t="str">
        <f>FLOOR(Table2_1[[#This Row],[Age]],15)&amp; "-"&amp; FLOOR(Table2_1[[#This Row],[Age]],15)+14</f>
        <v>30-44</v>
      </c>
    </row>
    <row r="681" spans="1:20" x14ac:dyDescent="0.3">
      <c r="A681" s="18">
        <v>45437</v>
      </c>
      <c r="B681" s="17" t="s">
        <v>1552</v>
      </c>
      <c r="C681" s="17" t="s">
        <v>83</v>
      </c>
      <c r="D681" s="18">
        <v>27953</v>
      </c>
      <c r="E681" s="16" t="s">
        <v>68</v>
      </c>
      <c r="F681" s="31">
        <v>93</v>
      </c>
      <c r="G681" s="17" t="s">
        <v>34</v>
      </c>
      <c r="H681" s="17" t="s">
        <v>52</v>
      </c>
      <c r="I681" s="17" t="s">
        <v>17</v>
      </c>
      <c r="J681" s="27">
        <v>0.1</v>
      </c>
      <c r="K681" s="17" t="s">
        <v>930</v>
      </c>
      <c r="L681" s="32">
        <v>14</v>
      </c>
      <c r="M681" s="32">
        <f>_xlfn.XLOOKUP(Table2_1[[#This Row],[Product Code]],Product_Code,Unit_Price,0)</f>
        <v>28</v>
      </c>
      <c r="N681" s="31">
        <f>DATEDIF(Table2_1[[#This Row],[Buyer Date of Birth]],Table2_1[[#This Row],[Transaction  Date]],"Y")</f>
        <v>47</v>
      </c>
      <c r="O681" s="33">
        <v>1302</v>
      </c>
      <c r="P681" s="33">
        <f>Table2_1[[#This Row],[Quantity Purchased]]*Table2_1[[#This Row],[UnitPrice]]*(1-Table2_1[[#This Row],[Discount]])</f>
        <v>2343.6</v>
      </c>
      <c r="Q681" s="33">
        <f>Table2_1[[#This Row],[Revenue]]-Table2_1[[#This Row],[COGS]]</f>
        <v>1041.5999999999999</v>
      </c>
      <c r="R681" s="39">
        <f>WEEKDAY(Table2_1[[#This Row],[Transaction  Date]])</f>
        <v>7</v>
      </c>
      <c r="S681" s="17" t="str">
        <f>IF(WEEKDAY(Table2_1[[#This Row],[Transaction  Date]],2)&lt;=5,"Weekday","Weekend")</f>
        <v>Weekend</v>
      </c>
      <c r="T681" s="37" t="str">
        <f>FLOOR(Table2_1[[#This Row],[Age]],15)&amp; "-"&amp; FLOOR(Table2_1[[#This Row],[Age]],15)+14</f>
        <v>45-59</v>
      </c>
    </row>
    <row r="682" spans="1:20" x14ac:dyDescent="0.3">
      <c r="A682" s="18">
        <v>45437</v>
      </c>
      <c r="B682" s="17" t="s">
        <v>1553</v>
      </c>
      <c r="C682" s="17" t="s">
        <v>46</v>
      </c>
      <c r="D682" s="18">
        <v>18520</v>
      </c>
      <c r="E682" s="16" t="s">
        <v>14</v>
      </c>
      <c r="F682" s="31">
        <v>125</v>
      </c>
      <c r="G682" s="17" t="s">
        <v>42</v>
      </c>
      <c r="H682" s="17" t="s">
        <v>39</v>
      </c>
      <c r="I682" s="17" t="s">
        <v>17</v>
      </c>
      <c r="J682" s="27">
        <v>0.1</v>
      </c>
      <c r="K682" s="17" t="s">
        <v>926</v>
      </c>
      <c r="L682" s="32">
        <v>10</v>
      </c>
      <c r="M682" s="32">
        <f>_xlfn.XLOOKUP(Table2_1[[#This Row],[Product Code]],Product_Code,Unit_Price,0)</f>
        <v>11</v>
      </c>
      <c r="N682" s="31">
        <f>DATEDIF(Table2_1[[#This Row],[Buyer Date of Birth]],Table2_1[[#This Row],[Transaction  Date]],"Y")</f>
        <v>73</v>
      </c>
      <c r="O682" s="33">
        <v>1250</v>
      </c>
      <c r="P682" s="33">
        <f>Table2_1[[#This Row],[Quantity Purchased]]*Table2_1[[#This Row],[UnitPrice]]*(1-Table2_1[[#This Row],[Discount]])</f>
        <v>1237.5</v>
      </c>
      <c r="Q682" s="33">
        <f>Table2_1[[#This Row],[Revenue]]-Table2_1[[#This Row],[COGS]]</f>
        <v>-12.5</v>
      </c>
      <c r="R682" s="39">
        <f>WEEKDAY(Table2_1[[#This Row],[Transaction  Date]])</f>
        <v>7</v>
      </c>
      <c r="S682" s="17" t="str">
        <f>IF(WEEKDAY(Table2_1[[#This Row],[Transaction  Date]],2)&lt;=5,"Weekday","Weekend")</f>
        <v>Weekend</v>
      </c>
      <c r="T682" s="37" t="str">
        <f>FLOOR(Table2_1[[#This Row],[Age]],15)&amp; "-"&amp; FLOOR(Table2_1[[#This Row],[Age]],15)+14</f>
        <v>60-74</v>
      </c>
    </row>
    <row r="683" spans="1:20" x14ac:dyDescent="0.3">
      <c r="A683" s="18">
        <v>45437</v>
      </c>
      <c r="B683" s="17" t="s">
        <v>1554</v>
      </c>
      <c r="C683" s="17" t="s">
        <v>55</v>
      </c>
      <c r="D683" s="18">
        <v>23847</v>
      </c>
      <c r="E683" s="16" t="s">
        <v>68</v>
      </c>
      <c r="F683" s="31">
        <v>161</v>
      </c>
      <c r="G683" s="17" t="s">
        <v>64</v>
      </c>
      <c r="H683" s="17" t="s">
        <v>39</v>
      </c>
      <c r="I683" s="17" t="s">
        <v>17</v>
      </c>
      <c r="J683" s="27">
        <v>0.1</v>
      </c>
      <c r="K683" s="17" t="s">
        <v>933</v>
      </c>
      <c r="L683" s="32">
        <v>5</v>
      </c>
      <c r="M683" s="32">
        <f>_xlfn.XLOOKUP(Table2_1[[#This Row],[Product Code]],Product_Code,Unit_Price,0)</f>
        <v>7</v>
      </c>
      <c r="N683" s="31">
        <f>DATEDIF(Table2_1[[#This Row],[Buyer Date of Birth]],Table2_1[[#This Row],[Transaction  Date]],"Y")</f>
        <v>59</v>
      </c>
      <c r="O683" s="33">
        <v>805</v>
      </c>
      <c r="P683" s="33">
        <f>Table2_1[[#This Row],[Quantity Purchased]]*Table2_1[[#This Row],[UnitPrice]]*(1-Table2_1[[#This Row],[Discount]])</f>
        <v>1014.3000000000001</v>
      </c>
      <c r="Q683" s="33">
        <f>Table2_1[[#This Row],[Revenue]]-Table2_1[[#This Row],[COGS]]</f>
        <v>209.30000000000007</v>
      </c>
      <c r="R683" s="39">
        <f>WEEKDAY(Table2_1[[#This Row],[Transaction  Date]])</f>
        <v>7</v>
      </c>
      <c r="S683" s="17" t="str">
        <f>IF(WEEKDAY(Table2_1[[#This Row],[Transaction  Date]],2)&lt;=5,"Weekday","Weekend")</f>
        <v>Weekend</v>
      </c>
      <c r="T683" s="37" t="str">
        <f>FLOOR(Table2_1[[#This Row],[Age]],15)&amp; "-"&amp; FLOOR(Table2_1[[#This Row],[Age]],15)+14</f>
        <v>45-59</v>
      </c>
    </row>
    <row r="684" spans="1:20" x14ac:dyDescent="0.3">
      <c r="A684" s="18">
        <v>45438</v>
      </c>
      <c r="B684" s="17" t="s">
        <v>1555</v>
      </c>
      <c r="C684" s="17" t="s">
        <v>13</v>
      </c>
      <c r="D684" s="18">
        <v>36821</v>
      </c>
      <c r="E684" s="16" t="s">
        <v>14</v>
      </c>
      <c r="F684" s="31">
        <v>437</v>
      </c>
      <c r="G684" s="17" t="s">
        <v>59</v>
      </c>
      <c r="H684" s="17" t="s">
        <v>48</v>
      </c>
      <c r="I684" s="17" t="s">
        <v>29</v>
      </c>
      <c r="J684" s="27">
        <v>0.1</v>
      </c>
      <c r="K684" s="17" t="s">
        <v>932</v>
      </c>
      <c r="L684" s="32">
        <v>19</v>
      </c>
      <c r="M684" s="32">
        <f>_xlfn.XLOOKUP(Table2_1[[#This Row],[Product Code]],Product_Code,Unit_Price,0)</f>
        <v>23</v>
      </c>
      <c r="N684" s="31">
        <f>DATEDIF(Table2_1[[#This Row],[Buyer Date of Birth]],Table2_1[[#This Row],[Transaction  Date]],"Y")</f>
        <v>23</v>
      </c>
      <c r="O684" s="33">
        <v>8303</v>
      </c>
      <c r="P684" s="33">
        <f>Table2_1[[#This Row],[Quantity Purchased]]*Table2_1[[#This Row],[UnitPrice]]*(1-Table2_1[[#This Row],[Discount]])</f>
        <v>9045.9</v>
      </c>
      <c r="Q684" s="33">
        <f>Table2_1[[#This Row],[Revenue]]-Table2_1[[#This Row],[COGS]]</f>
        <v>742.89999999999964</v>
      </c>
      <c r="R684" s="39">
        <f>WEEKDAY(Table2_1[[#This Row],[Transaction  Date]])</f>
        <v>1</v>
      </c>
      <c r="S684" s="17" t="str">
        <f>IF(WEEKDAY(Table2_1[[#This Row],[Transaction  Date]],2)&lt;=5,"Weekday","Weekend")</f>
        <v>Weekend</v>
      </c>
      <c r="T684" s="37" t="str">
        <f>FLOOR(Table2_1[[#This Row],[Age]],15)&amp; "-"&amp; FLOOR(Table2_1[[#This Row],[Age]],15)+14</f>
        <v>15-29</v>
      </c>
    </row>
    <row r="685" spans="1:20" x14ac:dyDescent="0.3">
      <c r="A685" s="18">
        <v>45438</v>
      </c>
      <c r="B685" s="17" t="s">
        <v>1556</v>
      </c>
      <c r="C685" s="17" t="s">
        <v>26</v>
      </c>
      <c r="D685" s="18">
        <v>31476</v>
      </c>
      <c r="E685" s="16" t="s">
        <v>14</v>
      </c>
      <c r="F685" s="31">
        <v>178</v>
      </c>
      <c r="G685" s="17" t="s">
        <v>47</v>
      </c>
      <c r="H685" s="17" t="s">
        <v>52</v>
      </c>
      <c r="I685" s="17" t="s">
        <v>17</v>
      </c>
      <c r="J685" s="27">
        <v>0.1</v>
      </c>
      <c r="K685" s="17" t="s">
        <v>931</v>
      </c>
      <c r="L685" s="32">
        <v>7</v>
      </c>
      <c r="M685" s="32">
        <f>_xlfn.XLOOKUP(Table2_1[[#This Row],[Product Code]],Product_Code,Unit_Price,0)</f>
        <v>9</v>
      </c>
      <c r="N685" s="31">
        <f>DATEDIF(Table2_1[[#This Row],[Buyer Date of Birth]],Table2_1[[#This Row],[Transaction  Date]],"Y")</f>
        <v>38</v>
      </c>
      <c r="O685" s="33">
        <v>1246</v>
      </c>
      <c r="P685" s="33">
        <f>Table2_1[[#This Row],[Quantity Purchased]]*Table2_1[[#This Row],[UnitPrice]]*(1-Table2_1[[#This Row],[Discount]])</f>
        <v>1441.8</v>
      </c>
      <c r="Q685" s="33">
        <f>Table2_1[[#This Row],[Revenue]]-Table2_1[[#This Row],[COGS]]</f>
        <v>195.79999999999995</v>
      </c>
      <c r="R685" s="39">
        <f>WEEKDAY(Table2_1[[#This Row],[Transaction  Date]])</f>
        <v>1</v>
      </c>
      <c r="S685" s="17" t="str">
        <f>IF(WEEKDAY(Table2_1[[#This Row],[Transaction  Date]],2)&lt;=5,"Weekday","Weekend")</f>
        <v>Weekend</v>
      </c>
      <c r="T685" s="37" t="str">
        <f>FLOOR(Table2_1[[#This Row],[Age]],15)&amp; "-"&amp; FLOOR(Table2_1[[#This Row],[Age]],15)+14</f>
        <v>30-44</v>
      </c>
    </row>
    <row r="686" spans="1:20" x14ac:dyDescent="0.3">
      <c r="A686" s="18">
        <v>45438</v>
      </c>
      <c r="B686" s="17" t="s">
        <v>1557</v>
      </c>
      <c r="C686" s="17" t="s">
        <v>71</v>
      </c>
      <c r="D686" s="18">
        <v>35346</v>
      </c>
      <c r="E686" s="16" t="s">
        <v>14</v>
      </c>
      <c r="F686" s="31">
        <v>219</v>
      </c>
      <c r="G686" s="17" t="s">
        <v>59</v>
      </c>
      <c r="H686" s="17" t="s">
        <v>48</v>
      </c>
      <c r="I686" s="17" t="s">
        <v>17</v>
      </c>
      <c r="J686" s="27">
        <v>0.1</v>
      </c>
      <c r="K686" s="17" t="s">
        <v>932</v>
      </c>
      <c r="L686" s="32">
        <v>19</v>
      </c>
      <c r="M686" s="32">
        <f>_xlfn.XLOOKUP(Table2_1[[#This Row],[Product Code]],Product_Code,Unit_Price,0)</f>
        <v>23</v>
      </c>
      <c r="N686" s="31">
        <f>DATEDIF(Table2_1[[#This Row],[Buyer Date of Birth]],Table2_1[[#This Row],[Transaction  Date]],"Y")</f>
        <v>27</v>
      </c>
      <c r="O686" s="33">
        <v>4161</v>
      </c>
      <c r="P686" s="33">
        <f>Table2_1[[#This Row],[Quantity Purchased]]*Table2_1[[#This Row],[UnitPrice]]*(1-Table2_1[[#This Row],[Discount]])</f>
        <v>4533.3</v>
      </c>
      <c r="Q686" s="33">
        <f>Table2_1[[#This Row],[Revenue]]-Table2_1[[#This Row],[COGS]]</f>
        <v>372.30000000000018</v>
      </c>
      <c r="R686" s="39">
        <f>WEEKDAY(Table2_1[[#This Row],[Transaction  Date]])</f>
        <v>1</v>
      </c>
      <c r="S686" s="17" t="str">
        <f>IF(WEEKDAY(Table2_1[[#This Row],[Transaction  Date]],2)&lt;=5,"Weekday","Weekend")</f>
        <v>Weekend</v>
      </c>
      <c r="T686" s="37" t="str">
        <f>FLOOR(Table2_1[[#This Row],[Age]],15)&amp; "-"&amp; FLOOR(Table2_1[[#This Row],[Age]],15)+14</f>
        <v>15-29</v>
      </c>
    </row>
    <row r="687" spans="1:20" x14ac:dyDescent="0.3">
      <c r="A687" s="18">
        <v>45438</v>
      </c>
      <c r="B687" s="17" t="s">
        <v>1558</v>
      </c>
      <c r="C687" s="17" t="s">
        <v>83</v>
      </c>
      <c r="D687" s="18">
        <v>27171</v>
      </c>
      <c r="E687" s="16" t="s">
        <v>68</v>
      </c>
      <c r="F687" s="31">
        <v>349</v>
      </c>
      <c r="G687" s="17" t="s">
        <v>27</v>
      </c>
      <c r="H687" s="17" t="s">
        <v>52</v>
      </c>
      <c r="I687" s="17" t="s">
        <v>17</v>
      </c>
      <c r="J687" s="27">
        <v>0.1</v>
      </c>
      <c r="K687" s="17" t="s">
        <v>927</v>
      </c>
      <c r="L687" s="32">
        <v>18</v>
      </c>
      <c r="M687" s="32">
        <f>_xlfn.XLOOKUP(Table2_1[[#This Row],[Product Code]],Product_Code,Unit_Price,0)</f>
        <v>22</v>
      </c>
      <c r="N687" s="31">
        <f>DATEDIF(Table2_1[[#This Row],[Buyer Date of Birth]],Table2_1[[#This Row],[Transaction  Date]],"Y")</f>
        <v>50</v>
      </c>
      <c r="O687" s="33">
        <v>6282</v>
      </c>
      <c r="P687" s="33">
        <f>Table2_1[[#This Row],[Quantity Purchased]]*Table2_1[[#This Row],[UnitPrice]]*(1-Table2_1[[#This Row],[Discount]])</f>
        <v>6910.2</v>
      </c>
      <c r="Q687" s="33">
        <f>Table2_1[[#This Row],[Revenue]]-Table2_1[[#This Row],[COGS]]</f>
        <v>628.19999999999982</v>
      </c>
      <c r="R687" s="39">
        <f>WEEKDAY(Table2_1[[#This Row],[Transaction  Date]])</f>
        <v>1</v>
      </c>
      <c r="S687" s="17" t="str">
        <f>IF(WEEKDAY(Table2_1[[#This Row],[Transaction  Date]],2)&lt;=5,"Weekday","Weekend")</f>
        <v>Weekend</v>
      </c>
      <c r="T687" s="37" t="str">
        <f>FLOOR(Table2_1[[#This Row],[Age]],15)&amp; "-"&amp; FLOOR(Table2_1[[#This Row],[Age]],15)+14</f>
        <v>45-59</v>
      </c>
    </row>
    <row r="688" spans="1:20" x14ac:dyDescent="0.3">
      <c r="A688" s="18">
        <v>45438</v>
      </c>
      <c r="B688" s="17" t="s">
        <v>1875</v>
      </c>
      <c r="C688" s="17" t="s">
        <v>51</v>
      </c>
      <c r="D688" s="18">
        <v>16505</v>
      </c>
      <c r="E688" s="16" t="s">
        <v>68</v>
      </c>
      <c r="F688" s="31">
        <v>40</v>
      </c>
      <c r="G688" s="17" t="s">
        <v>59</v>
      </c>
      <c r="H688" s="17" t="s">
        <v>52</v>
      </c>
      <c r="I688" s="17" t="s">
        <v>17</v>
      </c>
      <c r="J688" s="27">
        <v>0.1</v>
      </c>
      <c r="K688" s="17" t="s">
        <v>932</v>
      </c>
      <c r="L688" s="32">
        <v>19</v>
      </c>
      <c r="M688" s="32">
        <f>_xlfn.XLOOKUP(Table2_1[[#This Row],[Product Code]],Product_Code,Unit_Price,0)</f>
        <v>23</v>
      </c>
      <c r="N688" s="31">
        <f>DATEDIF(Table2_1[[#This Row],[Buyer Date of Birth]],Table2_1[[#This Row],[Transaction  Date]],"Y")</f>
        <v>79</v>
      </c>
      <c r="O688" s="33">
        <v>760</v>
      </c>
      <c r="P688" s="33">
        <f>Table2_1[[#This Row],[Quantity Purchased]]*Table2_1[[#This Row],[UnitPrice]]*(1-Table2_1[[#This Row],[Discount]])</f>
        <v>828</v>
      </c>
      <c r="Q688" s="33">
        <f>Table2_1[[#This Row],[Revenue]]-Table2_1[[#This Row],[COGS]]</f>
        <v>68</v>
      </c>
      <c r="R688" s="39">
        <f>WEEKDAY(Table2_1[[#This Row],[Transaction  Date]])</f>
        <v>1</v>
      </c>
      <c r="S688" s="17" t="str">
        <f>IF(WEEKDAY(Table2_1[[#This Row],[Transaction  Date]],2)&lt;=5,"Weekday","Weekend")</f>
        <v>Weekend</v>
      </c>
      <c r="T688" s="37" t="str">
        <f>FLOOR(Table2_1[[#This Row],[Age]],15)&amp; "-"&amp; FLOOR(Table2_1[[#This Row],[Age]],15)+14</f>
        <v>75-89</v>
      </c>
    </row>
    <row r="689" spans="1:20" x14ac:dyDescent="0.3">
      <c r="A689" s="18">
        <v>45438</v>
      </c>
      <c r="B689" s="17" t="s">
        <v>1876</v>
      </c>
      <c r="C689" s="17" t="s">
        <v>13</v>
      </c>
      <c r="D689" s="18">
        <v>26428</v>
      </c>
      <c r="E689" s="16" t="s">
        <v>68</v>
      </c>
      <c r="F689" s="31">
        <v>233</v>
      </c>
      <c r="G689" s="17" t="s">
        <v>47</v>
      </c>
      <c r="H689" s="17" t="s">
        <v>39</v>
      </c>
      <c r="I689" s="17" t="s">
        <v>17</v>
      </c>
      <c r="J689" s="27">
        <v>0.1</v>
      </c>
      <c r="K689" s="17" t="s">
        <v>931</v>
      </c>
      <c r="L689" s="32">
        <v>7</v>
      </c>
      <c r="M689" s="32">
        <f>_xlfn.XLOOKUP(Table2_1[[#This Row],[Product Code]],Product_Code,Unit_Price,0)</f>
        <v>9</v>
      </c>
      <c r="N689" s="31">
        <f>DATEDIF(Table2_1[[#This Row],[Buyer Date of Birth]],Table2_1[[#This Row],[Transaction  Date]],"Y")</f>
        <v>52</v>
      </c>
      <c r="O689" s="33">
        <v>1631</v>
      </c>
      <c r="P689" s="33">
        <f>Table2_1[[#This Row],[Quantity Purchased]]*Table2_1[[#This Row],[UnitPrice]]*(1-Table2_1[[#This Row],[Discount]])</f>
        <v>1887.3</v>
      </c>
      <c r="Q689" s="33">
        <f>Table2_1[[#This Row],[Revenue]]-Table2_1[[#This Row],[COGS]]</f>
        <v>256.29999999999995</v>
      </c>
      <c r="R689" s="39">
        <f>WEEKDAY(Table2_1[[#This Row],[Transaction  Date]])</f>
        <v>1</v>
      </c>
      <c r="S689" s="17" t="str">
        <f>IF(WEEKDAY(Table2_1[[#This Row],[Transaction  Date]],2)&lt;=5,"Weekday","Weekend")</f>
        <v>Weekend</v>
      </c>
      <c r="T689" s="37" t="str">
        <f>FLOOR(Table2_1[[#This Row],[Age]],15)&amp; "-"&amp; FLOOR(Table2_1[[#This Row],[Age]],15)+14</f>
        <v>45-59</v>
      </c>
    </row>
    <row r="690" spans="1:20" x14ac:dyDescent="0.3">
      <c r="A690" s="18">
        <v>45438</v>
      </c>
      <c r="B690" s="17" t="s">
        <v>1559</v>
      </c>
      <c r="C690" s="17" t="s">
        <v>71</v>
      </c>
      <c r="D690" s="18">
        <v>38341</v>
      </c>
      <c r="E690" s="16" t="s">
        <v>68</v>
      </c>
      <c r="F690" s="31">
        <v>484</v>
      </c>
      <c r="G690" s="17" t="s">
        <v>59</v>
      </c>
      <c r="H690" s="17" t="s">
        <v>52</v>
      </c>
      <c r="I690" s="17" t="s">
        <v>17</v>
      </c>
      <c r="J690" s="27">
        <v>0.1</v>
      </c>
      <c r="K690" s="17" t="s">
        <v>932</v>
      </c>
      <c r="L690" s="32">
        <v>19</v>
      </c>
      <c r="M690" s="32">
        <f>_xlfn.XLOOKUP(Table2_1[[#This Row],[Product Code]],Product_Code,Unit_Price,0)</f>
        <v>23</v>
      </c>
      <c r="N690" s="31">
        <f>DATEDIF(Table2_1[[#This Row],[Buyer Date of Birth]],Table2_1[[#This Row],[Transaction  Date]],"Y")</f>
        <v>19</v>
      </c>
      <c r="O690" s="33">
        <v>9196</v>
      </c>
      <c r="P690" s="33">
        <f>Table2_1[[#This Row],[Quantity Purchased]]*Table2_1[[#This Row],[UnitPrice]]*(1-Table2_1[[#This Row],[Discount]])</f>
        <v>10018.800000000001</v>
      </c>
      <c r="Q690" s="33">
        <f>Table2_1[[#This Row],[Revenue]]-Table2_1[[#This Row],[COGS]]</f>
        <v>822.80000000000109</v>
      </c>
      <c r="R690" s="39">
        <f>WEEKDAY(Table2_1[[#This Row],[Transaction  Date]])</f>
        <v>1</v>
      </c>
      <c r="S690" s="17" t="str">
        <f>IF(WEEKDAY(Table2_1[[#This Row],[Transaction  Date]],2)&lt;=5,"Weekday","Weekend")</f>
        <v>Weekend</v>
      </c>
      <c r="T690" s="37" t="str">
        <f>FLOOR(Table2_1[[#This Row],[Age]],15)&amp; "-"&amp; FLOOR(Table2_1[[#This Row],[Age]],15)+14</f>
        <v>15-29</v>
      </c>
    </row>
    <row r="691" spans="1:20" x14ac:dyDescent="0.3">
      <c r="A691" s="18">
        <v>45439</v>
      </c>
      <c r="B691" s="17" t="s">
        <v>1560</v>
      </c>
      <c r="C691" s="17" t="s">
        <v>38</v>
      </c>
      <c r="D691" s="18">
        <v>15967</v>
      </c>
      <c r="E691" s="16" t="s">
        <v>20</v>
      </c>
      <c r="F691" s="31">
        <v>464</v>
      </c>
      <c r="G691" s="17" t="s">
        <v>56</v>
      </c>
      <c r="H691" s="17" t="s">
        <v>48</v>
      </c>
      <c r="I691" s="17" t="s">
        <v>17</v>
      </c>
      <c r="J691" s="27">
        <v>0.1</v>
      </c>
      <c r="K691" s="17" t="s">
        <v>935</v>
      </c>
      <c r="L691" s="32">
        <v>18</v>
      </c>
      <c r="M691" s="32">
        <f>_xlfn.XLOOKUP(Table2_1[[#This Row],[Product Code]],Product_Code,Unit_Price,0)</f>
        <v>36</v>
      </c>
      <c r="N691" s="31">
        <f>DATEDIF(Table2_1[[#This Row],[Buyer Date of Birth]],Table2_1[[#This Row],[Transaction  Date]],"Y")</f>
        <v>80</v>
      </c>
      <c r="O691" s="33">
        <v>8352</v>
      </c>
      <c r="P691" s="33">
        <f>Table2_1[[#This Row],[Quantity Purchased]]*Table2_1[[#This Row],[UnitPrice]]*(1-Table2_1[[#This Row],[Discount]])</f>
        <v>15033.6</v>
      </c>
      <c r="Q691" s="33">
        <f>Table2_1[[#This Row],[Revenue]]-Table2_1[[#This Row],[COGS]]</f>
        <v>6681.6</v>
      </c>
      <c r="R691" s="39">
        <f>WEEKDAY(Table2_1[[#This Row],[Transaction  Date]])</f>
        <v>2</v>
      </c>
      <c r="S691" s="17" t="str">
        <f>IF(WEEKDAY(Table2_1[[#This Row],[Transaction  Date]],2)&lt;=5,"Weekday","Weekend")</f>
        <v>Weekday</v>
      </c>
      <c r="T691" s="37" t="str">
        <f>FLOOR(Table2_1[[#This Row],[Age]],15)&amp; "-"&amp; FLOOR(Table2_1[[#This Row],[Age]],15)+14</f>
        <v>75-89</v>
      </c>
    </row>
    <row r="692" spans="1:20" x14ac:dyDescent="0.3">
      <c r="A692" s="18">
        <v>45439</v>
      </c>
      <c r="B692" s="17" t="s">
        <v>1561</v>
      </c>
      <c r="C692" s="17" t="s">
        <v>71</v>
      </c>
      <c r="D692" s="18">
        <v>37779</v>
      </c>
      <c r="E692" s="16" t="s">
        <v>14</v>
      </c>
      <c r="F692" s="31">
        <v>463</v>
      </c>
      <c r="G692" s="17" t="s">
        <v>21</v>
      </c>
      <c r="H692" s="17" t="s">
        <v>48</v>
      </c>
      <c r="I692" s="17" t="s">
        <v>17</v>
      </c>
      <c r="J692" s="27">
        <v>0.1</v>
      </c>
      <c r="K692" s="17" t="s">
        <v>934</v>
      </c>
      <c r="L692" s="32">
        <v>10</v>
      </c>
      <c r="M692" s="32">
        <f>_xlfn.XLOOKUP(Table2_1[[#This Row],[Product Code]],Product_Code,Unit_Price,0)</f>
        <v>45</v>
      </c>
      <c r="N692" s="31">
        <f>DATEDIF(Table2_1[[#This Row],[Buyer Date of Birth]],Table2_1[[#This Row],[Transaction  Date]],"Y")</f>
        <v>20</v>
      </c>
      <c r="O692" s="33">
        <v>4630</v>
      </c>
      <c r="P692" s="33">
        <f>Table2_1[[#This Row],[Quantity Purchased]]*Table2_1[[#This Row],[UnitPrice]]*(1-Table2_1[[#This Row],[Discount]])</f>
        <v>18751.5</v>
      </c>
      <c r="Q692" s="33">
        <f>Table2_1[[#This Row],[Revenue]]-Table2_1[[#This Row],[COGS]]</f>
        <v>14121.5</v>
      </c>
      <c r="R692" s="39">
        <f>WEEKDAY(Table2_1[[#This Row],[Transaction  Date]])</f>
        <v>2</v>
      </c>
      <c r="S692" s="17" t="str">
        <f>IF(WEEKDAY(Table2_1[[#This Row],[Transaction  Date]],2)&lt;=5,"Weekday","Weekend")</f>
        <v>Weekday</v>
      </c>
      <c r="T692" s="37" t="str">
        <f>FLOOR(Table2_1[[#This Row],[Age]],15)&amp; "-"&amp; FLOOR(Table2_1[[#This Row],[Age]],15)+14</f>
        <v>15-29</v>
      </c>
    </row>
    <row r="693" spans="1:20" x14ac:dyDescent="0.3">
      <c r="A693" s="18">
        <v>45439</v>
      </c>
      <c r="B693" s="17" t="s">
        <v>1562</v>
      </c>
      <c r="C693" s="17" t="s">
        <v>55</v>
      </c>
      <c r="D693" s="18">
        <v>34842</v>
      </c>
      <c r="E693" s="16" t="s">
        <v>68</v>
      </c>
      <c r="F693" s="31">
        <v>73</v>
      </c>
      <c r="G693" s="17" t="s">
        <v>59</v>
      </c>
      <c r="H693" s="17" t="s">
        <v>48</v>
      </c>
      <c r="I693" s="17" t="s">
        <v>17</v>
      </c>
      <c r="J693" s="27">
        <v>0.1</v>
      </c>
      <c r="K693" s="17" t="s">
        <v>932</v>
      </c>
      <c r="L693" s="32">
        <v>19</v>
      </c>
      <c r="M693" s="32">
        <f>_xlfn.XLOOKUP(Table2_1[[#This Row],[Product Code]],Product_Code,Unit_Price,0)</f>
        <v>23</v>
      </c>
      <c r="N693" s="31">
        <f>DATEDIF(Table2_1[[#This Row],[Buyer Date of Birth]],Table2_1[[#This Row],[Transaction  Date]],"Y")</f>
        <v>29</v>
      </c>
      <c r="O693" s="33">
        <v>1387</v>
      </c>
      <c r="P693" s="33">
        <f>Table2_1[[#This Row],[Quantity Purchased]]*Table2_1[[#This Row],[UnitPrice]]*(1-Table2_1[[#This Row],[Discount]])</f>
        <v>1511.1000000000001</v>
      </c>
      <c r="Q693" s="33">
        <f>Table2_1[[#This Row],[Revenue]]-Table2_1[[#This Row],[COGS]]</f>
        <v>124.10000000000014</v>
      </c>
      <c r="R693" s="39">
        <f>WEEKDAY(Table2_1[[#This Row],[Transaction  Date]])</f>
        <v>2</v>
      </c>
      <c r="S693" s="17" t="str">
        <f>IF(WEEKDAY(Table2_1[[#This Row],[Transaction  Date]],2)&lt;=5,"Weekday","Weekend")</f>
        <v>Weekday</v>
      </c>
      <c r="T693" s="37" t="str">
        <f>FLOOR(Table2_1[[#This Row],[Age]],15)&amp; "-"&amp; FLOOR(Table2_1[[#This Row],[Age]],15)+14</f>
        <v>15-29</v>
      </c>
    </row>
    <row r="694" spans="1:20" x14ac:dyDescent="0.3">
      <c r="A694" s="18">
        <v>45439</v>
      </c>
      <c r="B694" s="17" t="s">
        <v>1563</v>
      </c>
      <c r="C694" s="17" t="s">
        <v>51</v>
      </c>
      <c r="D694" s="18">
        <v>29248</v>
      </c>
      <c r="E694" s="16" t="s">
        <v>68</v>
      </c>
      <c r="F694" s="31">
        <v>315</v>
      </c>
      <c r="G694" s="17" t="s">
        <v>65</v>
      </c>
      <c r="H694" s="17" t="s">
        <v>35</v>
      </c>
      <c r="I694" s="17" t="s">
        <v>17</v>
      </c>
      <c r="J694" s="27">
        <v>0.1</v>
      </c>
      <c r="K694" s="17" t="s">
        <v>928</v>
      </c>
      <c r="L694" s="32">
        <v>3</v>
      </c>
      <c r="M694" s="32">
        <f>_xlfn.XLOOKUP(Table2_1[[#This Row],[Product Code]],Product_Code,Unit_Price,0)</f>
        <v>5</v>
      </c>
      <c r="N694" s="31">
        <f>DATEDIF(Table2_1[[#This Row],[Buyer Date of Birth]],Table2_1[[#This Row],[Transaction  Date]],"Y")</f>
        <v>44</v>
      </c>
      <c r="O694" s="33">
        <v>945</v>
      </c>
      <c r="P694" s="33">
        <f>Table2_1[[#This Row],[Quantity Purchased]]*Table2_1[[#This Row],[UnitPrice]]*(1-Table2_1[[#This Row],[Discount]])</f>
        <v>1417.5</v>
      </c>
      <c r="Q694" s="33">
        <f>Table2_1[[#This Row],[Revenue]]-Table2_1[[#This Row],[COGS]]</f>
        <v>472.5</v>
      </c>
      <c r="R694" s="39">
        <f>WEEKDAY(Table2_1[[#This Row],[Transaction  Date]])</f>
        <v>2</v>
      </c>
      <c r="S694" s="17" t="str">
        <f>IF(WEEKDAY(Table2_1[[#This Row],[Transaction  Date]],2)&lt;=5,"Weekday","Weekend")</f>
        <v>Weekday</v>
      </c>
      <c r="T694" s="37" t="str">
        <f>FLOOR(Table2_1[[#This Row],[Age]],15)&amp; "-"&amp; FLOOR(Table2_1[[#This Row],[Age]],15)+14</f>
        <v>30-44</v>
      </c>
    </row>
    <row r="695" spans="1:20" x14ac:dyDescent="0.3">
      <c r="A695" s="18">
        <v>45439</v>
      </c>
      <c r="B695" s="17" t="s">
        <v>1564</v>
      </c>
      <c r="C695" s="17" t="s">
        <v>26</v>
      </c>
      <c r="D695" s="18">
        <v>20969</v>
      </c>
      <c r="E695" s="16" t="s">
        <v>14</v>
      </c>
      <c r="F695" s="31">
        <v>138</v>
      </c>
      <c r="G695" s="17" t="s">
        <v>42</v>
      </c>
      <c r="H695" s="17" t="s">
        <v>28</v>
      </c>
      <c r="I695" s="17" t="s">
        <v>17</v>
      </c>
      <c r="J695" s="27">
        <v>0.1</v>
      </c>
      <c r="K695" s="17" t="s">
        <v>926</v>
      </c>
      <c r="L695" s="32">
        <v>10</v>
      </c>
      <c r="M695" s="32">
        <f>_xlfn.XLOOKUP(Table2_1[[#This Row],[Product Code]],Product_Code,Unit_Price,0)</f>
        <v>11</v>
      </c>
      <c r="N695" s="31">
        <f>DATEDIF(Table2_1[[#This Row],[Buyer Date of Birth]],Table2_1[[#This Row],[Transaction  Date]],"Y")</f>
        <v>66</v>
      </c>
      <c r="O695" s="33">
        <v>1380</v>
      </c>
      <c r="P695" s="33">
        <f>Table2_1[[#This Row],[Quantity Purchased]]*Table2_1[[#This Row],[UnitPrice]]*(1-Table2_1[[#This Row],[Discount]])</f>
        <v>1366.2</v>
      </c>
      <c r="Q695" s="33">
        <f>Table2_1[[#This Row],[Revenue]]-Table2_1[[#This Row],[COGS]]</f>
        <v>-13.799999999999955</v>
      </c>
      <c r="R695" s="39">
        <f>WEEKDAY(Table2_1[[#This Row],[Transaction  Date]])</f>
        <v>2</v>
      </c>
      <c r="S695" s="17" t="str">
        <f>IF(WEEKDAY(Table2_1[[#This Row],[Transaction  Date]],2)&lt;=5,"Weekday","Weekend")</f>
        <v>Weekday</v>
      </c>
      <c r="T695" s="37" t="str">
        <f>FLOOR(Table2_1[[#This Row],[Age]],15)&amp; "-"&amp; FLOOR(Table2_1[[#This Row],[Age]],15)+14</f>
        <v>60-74</v>
      </c>
    </row>
    <row r="696" spans="1:20" x14ac:dyDescent="0.3">
      <c r="A696" s="18">
        <v>45439</v>
      </c>
      <c r="B696" s="17" t="s">
        <v>1565</v>
      </c>
      <c r="C696" s="17" t="s">
        <v>46</v>
      </c>
      <c r="D696" s="18">
        <v>17823</v>
      </c>
      <c r="E696" s="16" t="s">
        <v>14</v>
      </c>
      <c r="F696" s="31">
        <v>353</v>
      </c>
      <c r="G696" s="17" t="s">
        <v>56</v>
      </c>
      <c r="H696" s="17" t="s">
        <v>28</v>
      </c>
      <c r="I696" s="17" t="s">
        <v>17</v>
      </c>
      <c r="J696" s="27">
        <v>0.1</v>
      </c>
      <c r="K696" s="17" t="s">
        <v>935</v>
      </c>
      <c r="L696" s="32">
        <v>18</v>
      </c>
      <c r="M696" s="32">
        <f>_xlfn.XLOOKUP(Table2_1[[#This Row],[Product Code]],Product_Code,Unit_Price,0)</f>
        <v>36</v>
      </c>
      <c r="N696" s="31">
        <f>DATEDIF(Table2_1[[#This Row],[Buyer Date of Birth]],Table2_1[[#This Row],[Transaction  Date]],"Y")</f>
        <v>75</v>
      </c>
      <c r="O696" s="33">
        <v>6354</v>
      </c>
      <c r="P696" s="33">
        <f>Table2_1[[#This Row],[Quantity Purchased]]*Table2_1[[#This Row],[UnitPrice]]*(1-Table2_1[[#This Row],[Discount]])</f>
        <v>11437.2</v>
      </c>
      <c r="Q696" s="33">
        <f>Table2_1[[#This Row],[Revenue]]-Table2_1[[#This Row],[COGS]]</f>
        <v>5083.2000000000007</v>
      </c>
      <c r="R696" s="39">
        <f>WEEKDAY(Table2_1[[#This Row],[Transaction  Date]])</f>
        <v>2</v>
      </c>
      <c r="S696" s="17" t="str">
        <f>IF(WEEKDAY(Table2_1[[#This Row],[Transaction  Date]],2)&lt;=5,"Weekday","Weekend")</f>
        <v>Weekday</v>
      </c>
      <c r="T696" s="37" t="str">
        <f>FLOOR(Table2_1[[#This Row],[Age]],15)&amp; "-"&amp; FLOOR(Table2_1[[#This Row],[Age]],15)+14</f>
        <v>75-89</v>
      </c>
    </row>
    <row r="697" spans="1:20" x14ac:dyDescent="0.3">
      <c r="A697" s="18">
        <v>45440</v>
      </c>
      <c r="B697" s="17" t="s">
        <v>1566</v>
      </c>
      <c r="C697" s="17" t="s">
        <v>55</v>
      </c>
      <c r="D697" s="18">
        <v>33351</v>
      </c>
      <c r="E697" s="16" t="s">
        <v>14</v>
      </c>
      <c r="F697" s="31">
        <v>149</v>
      </c>
      <c r="G697" s="17" t="s">
        <v>64</v>
      </c>
      <c r="H697" s="17" t="s">
        <v>43</v>
      </c>
      <c r="I697" s="17" t="s">
        <v>17</v>
      </c>
      <c r="J697" s="27">
        <v>0.1</v>
      </c>
      <c r="K697" s="17" t="s">
        <v>933</v>
      </c>
      <c r="L697" s="32">
        <v>5</v>
      </c>
      <c r="M697" s="32">
        <f>_xlfn.XLOOKUP(Table2_1[[#This Row],[Product Code]],Product_Code,Unit_Price,0)</f>
        <v>7</v>
      </c>
      <c r="N697" s="31">
        <f>DATEDIF(Table2_1[[#This Row],[Buyer Date of Birth]],Table2_1[[#This Row],[Transaction  Date]],"Y")</f>
        <v>33</v>
      </c>
      <c r="O697" s="33">
        <v>745</v>
      </c>
      <c r="P697" s="33">
        <f>Table2_1[[#This Row],[Quantity Purchased]]*Table2_1[[#This Row],[UnitPrice]]*(1-Table2_1[[#This Row],[Discount]])</f>
        <v>938.7</v>
      </c>
      <c r="Q697" s="33">
        <f>Table2_1[[#This Row],[Revenue]]-Table2_1[[#This Row],[COGS]]</f>
        <v>193.70000000000005</v>
      </c>
      <c r="R697" s="39">
        <f>WEEKDAY(Table2_1[[#This Row],[Transaction  Date]])</f>
        <v>3</v>
      </c>
      <c r="S697" s="17" t="str">
        <f>IF(WEEKDAY(Table2_1[[#This Row],[Transaction  Date]],2)&lt;=5,"Weekday","Weekend")</f>
        <v>Weekday</v>
      </c>
      <c r="T697" s="37" t="str">
        <f>FLOOR(Table2_1[[#This Row],[Age]],15)&amp; "-"&amp; FLOOR(Table2_1[[#This Row],[Age]],15)+14</f>
        <v>30-44</v>
      </c>
    </row>
    <row r="698" spans="1:20" x14ac:dyDescent="0.3">
      <c r="A698" s="18">
        <v>45441</v>
      </c>
      <c r="B698" s="17" t="s">
        <v>1877</v>
      </c>
      <c r="C698" s="17" t="s">
        <v>51</v>
      </c>
      <c r="D698" s="18">
        <v>17357</v>
      </c>
      <c r="E698" s="16" t="s">
        <v>20</v>
      </c>
      <c r="F698" s="31">
        <v>122</v>
      </c>
      <c r="G698" s="17" t="s">
        <v>42</v>
      </c>
      <c r="H698" s="17" t="s">
        <v>52</v>
      </c>
      <c r="I698" s="17" t="s">
        <v>17</v>
      </c>
      <c r="J698" s="27">
        <v>0.1</v>
      </c>
      <c r="K698" s="17" t="s">
        <v>926</v>
      </c>
      <c r="L698" s="32">
        <v>10</v>
      </c>
      <c r="M698" s="32">
        <f>_xlfn.XLOOKUP(Table2_1[[#This Row],[Product Code]],Product_Code,Unit_Price,0)</f>
        <v>11</v>
      </c>
      <c r="N698" s="31">
        <f>DATEDIF(Table2_1[[#This Row],[Buyer Date of Birth]],Table2_1[[#This Row],[Transaction  Date]],"Y")</f>
        <v>76</v>
      </c>
      <c r="O698" s="33">
        <v>1220</v>
      </c>
      <c r="P698" s="33">
        <f>Table2_1[[#This Row],[Quantity Purchased]]*Table2_1[[#This Row],[UnitPrice]]*(1-Table2_1[[#This Row],[Discount]])</f>
        <v>1207.8</v>
      </c>
      <c r="Q698" s="33">
        <f>Table2_1[[#This Row],[Revenue]]-Table2_1[[#This Row],[COGS]]</f>
        <v>-12.200000000000045</v>
      </c>
      <c r="R698" s="39">
        <f>WEEKDAY(Table2_1[[#This Row],[Transaction  Date]])</f>
        <v>4</v>
      </c>
      <c r="S698" s="17" t="str">
        <f>IF(WEEKDAY(Table2_1[[#This Row],[Transaction  Date]],2)&lt;=5,"Weekday","Weekend")</f>
        <v>Weekday</v>
      </c>
      <c r="T698" s="37" t="str">
        <f>FLOOR(Table2_1[[#This Row],[Age]],15)&amp; "-"&amp; FLOOR(Table2_1[[#This Row],[Age]],15)+14</f>
        <v>75-89</v>
      </c>
    </row>
    <row r="699" spans="1:20" x14ac:dyDescent="0.3">
      <c r="A699" s="18">
        <v>45441</v>
      </c>
      <c r="B699" s="17" t="s">
        <v>1567</v>
      </c>
      <c r="C699" s="17" t="s">
        <v>13</v>
      </c>
      <c r="D699" s="18">
        <v>31951</v>
      </c>
      <c r="E699" s="16" t="s">
        <v>14</v>
      </c>
      <c r="F699" s="31">
        <v>291</v>
      </c>
      <c r="G699" s="17" t="s">
        <v>15</v>
      </c>
      <c r="H699" s="17" t="s">
        <v>52</v>
      </c>
      <c r="I699" s="17" t="s">
        <v>17</v>
      </c>
      <c r="J699" s="27">
        <v>0.1</v>
      </c>
      <c r="K699" s="17" t="s">
        <v>929</v>
      </c>
      <c r="L699" s="32">
        <v>10</v>
      </c>
      <c r="M699" s="32">
        <f>_xlfn.XLOOKUP(Table2_1[[#This Row],[Product Code]],Product_Code,Unit_Price,0)</f>
        <v>14</v>
      </c>
      <c r="N699" s="31">
        <f>DATEDIF(Table2_1[[#This Row],[Buyer Date of Birth]],Table2_1[[#This Row],[Transaction  Date]],"Y")</f>
        <v>36</v>
      </c>
      <c r="O699" s="33">
        <v>2910</v>
      </c>
      <c r="P699" s="33">
        <f>Table2_1[[#This Row],[Quantity Purchased]]*Table2_1[[#This Row],[UnitPrice]]*(1-Table2_1[[#This Row],[Discount]])</f>
        <v>3666.6</v>
      </c>
      <c r="Q699" s="33">
        <f>Table2_1[[#This Row],[Revenue]]-Table2_1[[#This Row],[COGS]]</f>
        <v>756.59999999999991</v>
      </c>
      <c r="R699" s="39">
        <f>WEEKDAY(Table2_1[[#This Row],[Transaction  Date]])</f>
        <v>4</v>
      </c>
      <c r="S699" s="17" t="str">
        <f>IF(WEEKDAY(Table2_1[[#This Row],[Transaction  Date]],2)&lt;=5,"Weekday","Weekend")</f>
        <v>Weekday</v>
      </c>
      <c r="T699" s="37" t="str">
        <f>FLOOR(Table2_1[[#This Row],[Age]],15)&amp; "-"&amp; FLOOR(Table2_1[[#This Row],[Age]],15)+14</f>
        <v>30-44</v>
      </c>
    </row>
    <row r="700" spans="1:20" x14ac:dyDescent="0.3">
      <c r="A700" s="18">
        <v>45441</v>
      </c>
      <c r="B700" s="17" t="s">
        <v>1568</v>
      </c>
      <c r="C700" s="17" t="s">
        <v>32</v>
      </c>
      <c r="D700" s="18">
        <v>22267</v>
      </c>
      <c r="E700" s="16" t="s">
        <v>14</v>
      </c>
      <c r="F700" s="31">
        <v>216</v>
      </c>
      <c r="G700" s="17" t="s">
        <v>42</v>
      </c>
      <c r="H700" s="17" t="s">
        <v>52</v>
      </c>
      <c r="I700" s="17" t="s">
        <v>17</v>
      </c>
      <c r="J700" s="27">
        <v>0.1</v>
      </c>
      <c r="K700" s="17" t="s">
        <v>926</v>
      </c>
      <c r="L700" s="32">
        <v>10</v>
      </c>
      <c r="M700" s="32">
        <f>_xlfn.XLOOKUP(Table2_1[[#This Row],[Product Code]],Product_Code,Unit_Price,0)</f>
        <v>11</v>
      </c>
      <c r="N700" s="31">
        <f>DATEDIF(Table2_1[[#This Row],[Buyer Date of Birth]],Table2_1[[#This Row],[Transaction  Date]],"Y")</f>
        <v>63</v>
      </c>
      <c r="O700" s="33">
        <v>2160</v>
      </c>
      <c r="P700" s="33">
        <f>Table2_1[[#This Row],[Quantity Purchased]]*Table2_1[[#This Row],[UnitPrice]]*(1-Table2_1[[#This Row],[Discount]])</f>
        <v>2138.4</v>
      </c>
      <c r="Q700" s="33">
        <f>Table2_1[[#This Row],[Revenue]]-Table2_1[[#This Row],[COGS]]</f>
        <v>-21.599999999999909</v>
      </c>
      <c r="R700" s="39">
        <f>WEEKDAY(Table2_1[[#This Row],[Transaction  Date]])</f>
        <v>4</v>
      </c>
      <c r="S700" s="17" t="str">
        <f>IF(WEEKDAY(Table2_1[[#This Row],[Transaction  Date]],2)&lt;=5,"Weekday","Weekend")</f>
        <v>Weekday</v>
      </c>
      <c r="T700" s="37" t="str">
        <f>FLOOR(Table2_1[[#This Row],[Age]],15)&amp; "-"&amp; FLOOR(Table2_1[[#This Row],[Age]],15)+14</f>
        <v>60-74</v>
      </c>
    </row>
    <row r="701" spans="1:20" x14ac:dyDescent="0.3">
      <c r="A701" s="18">
        <v>45442</v>
      </c>
      <c r="B701" s="17" t="s">
        <v>1569</v>
      </c>
      <c r="C701" s="17" t="s">
        <v>78</v>
      </c>
      <c r="D701" s="18">
        <v>20074</v>
      </c>
      <c r="E701" s="16" t="s">
        <v>68</v>
      </c>
      <c r="F701" s="31">
        <v>203</v>
      </c>
      <c r="G701" s="17" t="s">
        <v>27</v>
      </c>
      <c r="H701" s="17" t="s">
        <v>28</v>
      </c>
      <c r="I701" s="17" t="s">
        <v>17</v>
      </c>
      <c r="J701" s="27">
        <v>0.1</v>
      </c>
      <c r="K701" s="17" t="s">
        <v>927</v>
      </c>
      <c r="L701" s="32">
        <v>18</v>
      </c>
      <c r="M701" s="32">
        <f>_xlfn.XLOOKUP(Table2_1[[#This Row],[Product Code]],Product_Code,Unit_Price,0)</f>
        <v>22</v>
      </c>
      <c r="N701" s="31">
        <f>DATEDIF(Table2_1[[#This Row],[Buyer Date of Birth]],Table2_1[[#This Row],[Transaction  Date]],"Y")</f>
        <v>69</v>
      </c>
      <c r="O701" s="33">
        <v>3654</v>
      </c>
      <c r="P701" s="33">
        <f>Table2_1[[#This Row],[Quantity Purchased]]*Table2_1[[#This Row],[UnitPrice]]*(1-Table2_1[[#This Row],[Discount]])</f>
        <v>4019.4</v>
      </c>
      <c r="Q701" s="33">
        <f>Table2_1[[#This Row],[Revenue]]-Table2_1[[#This Row],[COGS]]</f>
        <v>365.40000000000009</v>
      </c>
      <c r="R701" s="39">
        <f>WEEKDAY(Table2_1[[#This Row],[Transaction  Date]])</f>
        <v>5</v>
      </c>
      <c r="S701" s="17" t="str">
        <f>IF(WEEKDAY(Table2_1[[#This Row],[Transaction  Date]],2)&lt;=5,"Weekday","Weekend")</f>
        <v>Weekday</v>
      </c>
      <c r="T701" s="37" t="str">
        <f>FLOOR(Table2_1[[#This Row],[Age]],15)&amp; "-"&amp; FLOOR(Table2_1[[#This Row],[Age]],15)+14</f>
        <v>60-74</v>
      </c>
    </row>
    <row r="702" spans="1:20" x14ac:dyDescent="0.3">
      <c r="A702" s="18">
        <v>45442</v>
      </c>
      <c r="B702" s="17" t="s">
        <v>1570</v>
      </c>
      <c r="C702" s="17" t="s">
        <v>32</v>
      </c>
      <c r="D702" s="18">
        <v>26512</v>
      </c>
      <c r="E702" s="16" t="s">
        <v>14</v>
      </c>
      <c r="F702" s="31">
        <v>181</v>
      </c>
      <c r="G702" s="17" t="s">
        <v>32</v>
      </c>
      <c r="H702" s="17" t="s">
        <v>32</v>
      </c>
      <c r="I702" s="17" t="s">
        <v>17</v>
      </c>
      <c r="J702" s="27">
        <v>0.1</v>
      </c>
      <c r="K702" s="17" t="s">
        <v>32</v>
      </c>
      <c r="L702" s="32">
        <v>0</v>
      </c>
      <c r="M702" s="32">
        <f>_xlfn.XLOOKUP(Table2_1[[#This Row],[Product Code]],Product_Code,Unit_Price,0)</f>
        <v>0</v>
      </c>
      <c r="N702" s="31">
        <f>DATEDIF(Table2_1[[#This Row],[Buyer Date of Birth]],Table2_1[[#This Row],[Transaction  Date]],"Y")</f>
        <v>51</v>
      </c>
      <c r="O702" s="33">
        <v>0</v>
      </c>
      <c r="P702" s="33">
        <f>Table2_1[[#This Row],[Quantity Purchased]]*Table2_1[[#This Row],[UnitPrice]]*(1-Table2_1[[#This Row],[Discount]])</f>
        <v>0</v>
      </c>
      <c r="Q702" s="33">
        <f>Table2_1[[#This Row],[Revenue]]-Table2_1[[#This Row],[COGS]]</f>
        <v>0</v>
      </c>
      <c r="R702" s="39">
        <f>WEEKDAY(Table2_1[[#This Row],[Transaction  Date]])</f>
        <v>5</v>
      </c>
      <c r="S702" s="17" t="str">
        <f>IF(WEEKDAY(Table2_1[[#This Row],[Transaction  Date]],2)&lt;=5,"Weekday","Weekend")</f>
        <v>Weekday</v>
      </c>
      <c r="T702" s="37" t="str">
        <f>FLOOR(Table2_1[[#This Row],[Age]],15)&amp; "-"&amp; FLOOR(Table2_1[[#This Row],[Age]],15)+14</f>
        <v>45-59</v>
      </c>
    </row>
    <row r="703" spans="1:20" x14ac:dyDescent="0.3">
      <c r="A703" s="18">
        <v>45442</v>
      </c>
      <c r="B703" s="17" t="s">
        <v>1878</v>
      </c>
      <c r="C703" s="17" t="s">
        <v>38</v>
      </c>
      <c r="D703" s="18">
        <v>28118</v>
      </c>
      <c r="E703" s="16" t="s">
        <v>33</v>
      </c>
      <c r="F703" s="31">
        <v>311</v>
      </c>
      <c r="G703" s="17" t="s">
        <v>64</v>
      </c>
      <c r="H703" s="17" t="s">
        <v>43</v>
      </c>
      <c r="I703" s="17" t="s">
        <v>17</v>
      </c>
      <c r="J703" s="27">
        <v>0.1</v>
      </c>
      <c r="K703" s="17" t="s">
        <v>933</v>
      </c>
      <c r="L703" s="32">
        <v>5</v>
      </c>
      <c r="M703" s="32">
        <f>_xlfn.XLOOKUP(Table2_1[[#This Row],[Product Code]],Product_Code,Unit_Price,0)</f>
        <v>7</v>
      </c>
      <c r="N703" s="31">
        <f>DATEDIF(Table2_1[[#This Row],[Buyer Date of Birth]],Table2_1[[#This Row],[Transaction  Date]],"Y")</f>
        <v>47</v>
      </c>
      <c r="O703" s="33">
        <v>1555</v>
      </c>
      <c r="P703" s="33">
        <f>Table2_1[[#This Row],[Quantity Purchased]]*Table2_1[[#This Row],[UnitPrice]]*(1-Table2_1[[#This Row],[Discount]])</f>
        <v>1959.3</v>
      </c>
      <c r="Q703" s="33">
        <f>Table2_1[[#This Row],[Revenue]]-Table2_1[[#This Row],[COGS]]</f>
        <v>404.29999999999995</v>
      </c>
      <c r="R703" s="39">
        <f>WEEKDAY(Table2_1[[#This Row],[Transaction  Date]])</f>
        <v>5</v>
      </c>
      <c r="S703" s="17" t="str">
        <f>IF(WEEKDAY(Table2_1[[#This Row],[Transaction  Date]],2)&lt;=5,"Weekday","Weekend")</f>
        <v>Weekday</v>
      </c>
      <c r="T703" s="37" t="str">
        <f>FLOOR(Table2_1[[#This Row],[Age]],15)&amp; "-"&amp; FLOOR(Table2_1[[#This Row],[Age]],15)+14</f>
        <v>45-59</v>
      </c>
    </row>
    <row r="704" spans="1:20" x14ac:dyDescent="0.3">
      <c r="A704" s="18">
        <v>45442</v>
      </c>
      <c r="B704" s="17" t="s">
        <v>1571</v>
      </c>
      <c r="C704" s="17" t="s">
        <v>83</v>
      </c>
      <c r="D704" s="18">
        <v>17155</v>
      </c>
      <c r="E704" s="16" t="s">
        <v>33</v>
      </c>
      <c r="F704" s="31">
        <v>411</v>
      </c>
      <c r="G704" s="17" t="s">
        <v>34</v>
      </c>
      <c r="H704" s="17" t="s">
        <v>52</v>
      </c>
      <c r="I704" s="17" t="s">
        <v>17</v>
      </c>
      <c r="J704" s="27">
        <v>0.1</v>
      </c>
      <c r="K704" s="17" t="s">
        <v>930</v>
      </c>
      <c r="L704" s="32">
        <v>14</v>
      </c>
      <c r="M704" s="32">
        <f>_xlfn.XLOOKUP(Table2_1[[#This Row],[Product Code]],Product_Code,Unit_Price,0)</f>
        <v>28</v>
      </c>
      <c r="N704" s="31">
        <f>DATEDIF(Table2_1[[#This Row],[Buyer Date of Birth]],Table2_1[[#This Row],[Transaction  Date]],"Y")</f>
        <v>77</v>
      </c>
      <c r="O704" s="33">
        <v>5754</v>
      </c>
      <c r="P704" s="33">
        <f>Table2_1[[#This Row],[Quantity Purchased]]*Table2_1[[#This Row],[UnitPrice]]*(1-Table2_1[[#This Row],[Discount]])</f>
        <v>10357.200000000001</v>
      </c>
      <c r="Q704" s="33">
        <f>Table2_1[[#This Row],[Revenue]]-Table2_1[[#This Row],[COGS]]</f>
        <v>4603.2000000000007</v>
      </c>
      <c r="R704" s="39">
        <f>WEEKDAY(Table2_1[[#This Row],[Transaction  Date]])</f>
        <v>5</v>
      </c>
      <c r="S704" s="17" t="str">
        <f>IF(WEEKDAY(Table2_1[[#This Row],[Transaction  Date]],2)&lt;=5,"Weekday","Weekend")</f>
        <v>Weekday</v>
      </c>
      <c r="T704" s="37" t="str">
        <f>FLOOR(Table2_1[[#This Row],[Age]],15)&amp; "-"&amp; FLOOR(Table2_1[[#This Row],[Age]],15)+14</f>
        <v>75-89</v>
      </c>
    </row>
    <row r="705" spans="1:20" x14ac:dyDescent="0.3">
      <c r="A705" s="18">
        <v>45442</v>
      </c>
      <c r="B705" s="17" t="s">
        <v>1572</v>
      </c>
      <c r="C705" s="17" t="s">
        <v>46</v>
      </c>
      <c r="D705" s="18">
        <v>24327</v>
      </c>
      <c r="E705" s="16" t="s">
        <v>14</v>
      </c>
      <c r="F705" s="31">
        <v>122</v>
      </c>
      <c r="G705" s="17" t="s">
        <v>59</v>
      </c>
      <c r="H705" s="17" t="s">
        <v>52</v>
      </c>
      <c r="I705" s="17" t="s">
        <v>17</v>
      </c>
      <c r="J705" s="27">
        <v>0.1</v>
      </c>
      <c r="K705" s="17" t="s">
        <v>932</v>
      </c>
      <c r="L705" s="32">
        <v>19</v>
      </c>
      <c r="M705" s="32">
        <f>_xlfn.XLOOKUP(Table2_1[[#This Row],[Product Code]],Product_Code,Unit_Price,0)</f>
        <v>23</v>
      </c>
      <c r="N705" s="31">
        <f>DATEDIF(Table2_1[[#This Row],[Buyer Date of Birth]],Table2_1[[#This Row],[Transaction  Date]],"Y")</f>
        <v>57</v>
      </c>
      <c r="O705" s="33">
        <v>2318</v>
      </c>
      <c r="P705" s="33">
        <f>Table2_1[[#This Row],[Quantity Purchased]]*Table2_1[[#This Row],[UnitPrice]]*(1-Table2_1[[#This Row],[Discount]])</f>
        <v>2525.4</v>
      </c>
      <c r="Q705" s="33">
        <f>Table2_1[[#This Row],[Revenue]]-Table2_1[[#This Row],[COGS]]</f>
        <v>207.40000000000009</v>
      </c>
      <c r="R705" s="39">
        <f>WEEKDAY(Table2_1[[#This Row],[Transaction  Date]])</f>
        <v>5</v>
      </c>
      <c r="S705" s="17" t="str">
        <f>IF(WEEKDAY(Table2_1[[#This Row],[Transaction  Date]],2)&lt;=5,"Weekday","Weekend")</f>
        <v>Weekday</v>
      </c>
      <c r="T705" s="37" t="str">
        <f>FLOOR(Table2_1[[#This Row],[Age]],15)&amp; "-"&amp; FLOOR(Table2_1[[#This Row],[Age]],15)+14</f>
        <v>45-59</v>
      </c>
    </row>
    <row r="706" spans="1:20" x14ac:dyDescent="0.3">
      <c r="A706" s="18">
        <v>45442</v>
      </c>
      <c r="B706" s="17" t="s">
        <v>1879</v>
      </c>
      <c r="C706" s="17" t="s">
        <v>26</v>
      </c>
      <c r="D706" s="18">
        <v>28084</v>
      </c>
      <c r="E706" s="16" t="s">
        <v>68</v>
      </c>
      <c r="F706" s="31">
        <v>303</v>
      </c>
      <c r="G706" s="17" t="s">
        <v>27</v>
      </c>
      <c r="H706" s="17" t="s">
        <v>43</v>
      </c>
      <c r="I706" s="17" t="s">
        <v>17</v>
      </c>
      <c r="J706" s="27">
        <v>0.1</v>
      </c>
      <c r="K706" s="17" t="s">
        <v>927</v>
      </c>
      <c r="L706" s="32">
        <v>18</v>
      </c>
      <c r="M706" s="32">
        <f>_xlfn.XLOOKUP(Table2_1[[#This Row],[Product Code]],Product_Code,Unit_Price,0)</f>
        <v>22</v>
      </c>
      <c r="N706" s="31">
        <f>DATEDIF(Table2_1[[#This Row],[Buyer Date of Birth]],Table2_1[[#This Row],[Transaction  Date]],"Y")</f>
        <v>47</v>
      </c>
      <c r="O706" s="33">
        <v>5454</v>
      </c>
      <c r="P706" s="33">
        <f>Table2_1[[#This Row],[Quantity Purchased]]*Table2_1[[#This Row],[UnitPrice]]*(1-Table2_1[[#This Row],[Discount]])</f>
        <v>5999.4000000000005</v>
      </c>
      <c r="Q706" s="33">
        <f>Table2_1[[#This Row],[Revenue]]-Table2_1[[#This Row],[COGS]]</f>
        <v>545.40000000000055</v>
      </c>
      <c r="R706" s="39">
        <f>WEEKDAY(Table2_1[[#This Row],[Transaction  Date]])</f>
        <v>5</v>
      </c>
      <c r="S706" s="17" t="str">
        <f>IF(WEEKDAY(Table2_1[[#This Row],[Transaction  Date]],2)&lt;=5,"Weekday","Weekend")</f>
        <v>Weekday</v>
      </c>
      <c r="T706" s="37" t="str">
        <f>FLOOR(Table2_1[[#This Row],[Age]],15)&amp; "-"&amp; FLOOR(Table2_1[[#This Row],[Age]],15)+14</f>
        <v>45-59</v>
      </c>
    </row>
    <row r="707" spans="1:20" x14ac:dyDescent="0.3">
      <c r="A707" s="18">
        <v>45442</v>
      </c>
      <c r="B707" s="17" t="s">
        <v>1573</v>
      </c>
      <c r="C707" s="17" t="s">
        <v>32</v>
      </c>
      <c r="D707" s="18">
        <v>21535</v>
      </c>
      <c r="E707" s="16" t="s">
        <v>20</v>
      </c>
      <c r="F707" s="31">
        <v>475</v>
      </c>
      <c r="G707" s="17" t="s">
        <v>56</v>
      </c>
      <c r="H707" s="17" t="s">
        <v>43</v>
      </c>
      <c r="I707" s="17" t="s">
        <v>17</v>
      </c>
      <c r="J707" s="27">
        <v>0.1</v>
      </c>
      <c r="K707" s="17" t="s">
        <v>935</v>
      </c>
      <c r="L707" s="32">
        <v>18</v>
      </c>
      <c r="M707" s="32">
        <f>_xlfn.XLOOKUP(Table2_1[[#This Row],[Product Code]],Product_Code,Unit_Price,0)</f>
        <v>36</v>
      </c>
      <c r="N707" s="31">
        <f>DATEDIF(Table2_1[[#This Row],[Buyer Date of Birth]],Table2_1[[#This Row],[Transaction  Date]],"Y")</f>
        <v>65</v>
      </c>
      <c r="O707" s="33">
        <v>8550</v>
      </c>
      <c r="P707" s="33">
        <f>Table2_1[[#This Row],[Quantity Purchased]]*Table2_1[[#This Row],[UnitPrice]]*(1-Table2_1[[#This Row],[Discount]])</f>
        <v>15390</v>
      </c>
      <c r="Q707" s="33">
        <f>Table2_1[[#This Row],[Revenue]]-Table2_1[[#This Row],[COGS]]</f>
        <v>6840</v>
      </c>
      <c r="R707" s="39">
        <f>WEEKDAY(Table2_1[[#This Row],[Transaction  Date]])</f>
        <v>5</v>
      </c>
      <c r="S707" s="17" t="str">
        <f>IF(WEEKDAY(Table2_1[[#This Row],[Transaction  Date]],2)&lt;=5,"Weekday","Weekend")</f>
        <v>Weekday</v>
      </c>
      <c r="T707" s="37" t="str">
        <f>FLOOR(Table2_1[[#This Row],[Age]],15)&amp; "-"&amp; FLOOR(Table2_1[[#This Row],[Age]],15)+14</f>
        <v>60-74</v>
      </c>
    </row>
    <row r="708" spans="1:20" x14ac:dyDescent="0.3">
      <c r="A708" s="18">
        <v>45442</v>
      </c>
      <c r="B708" s="17" t="s">
        <v>1574</v>
      </c>
      <c r="C708" s="17" t="s">
        <v>55</v>
      </c>
      <c r="D708" s="18">
        <v>33812</v>
      </c>
      <c r="E708" s="16" t="s">
        <v>14</v>
      </c>
      <c r="F708" s="31">
        <v>431</v>
      </c>
      <c r="G708" s="17" t="s">
        <v>34</v>
      </c>
      <c r="H708" s="17" t="s">
        <v>43</v>
      </c>
      <c r="I708" s="17" t="s">
        <v>17</v>
      </c>
      <c r="J708" s="27">
        <v>0.1</v>
      </c>
      <c r="K708" s="17" t="s">
        <v>930</v>
      </c>
      <c r="L708" s="32">
        <v>14</v>
      </c>
      <c r="M708" s="32">
        <f>_xlfn.XLOOKUP(Table2_1[[#This Row],[Product Code]],Product_Code,Unit_Price,0)</f>
        <v>28</v>
      </c>
      <c r="N708" s="31">
        <f>DATEDIF(Table2_1[[#This Row],[Buyer Date of Birth]],Table2_1[[#This Row],[Transaction  Date]],"Y")</f>
        <v>31</v>
      </c>
      <c r="O708" s="33">
        <v>6034</v>
      </c>
      <c r="P708" s="33">
        <f>Table2_1[[#This Row],[Quantity Purchased]]*Table2_1[[#This Row],[UnitPrice]]*(1-Table2_1[[#This Row],[Discount]])</f>
        <v>10861.2</v>
      </c>
      <c r="Q708" s="33">
        <f>Table2_1[[#This Row],[Revenue]]-Table2_1[[#This Row],[COGS]]</f>
        <v>4827.2000000000007</v>
      </c>
      <c r="R708" s="39">
        <f>WEEKDAY(Table2_1[[#This Row],[Transaction  Date]])</f>
        <v>5</v>
      </c>
      <c r="S708" s="17" t="str">
        <f>IF(WEEKDAY(Table2_1[[#This Row],[Transaction  Date]],2)&lt;=5,"Weekday","Weekend")</f>
        <v>Weekday</v>
      </c>
      <c r="T708" s="37" t="str">
        <f>FLOOR(Table2_1[[#This Row],[Age]],15)&amp; "-"&amp; FLOOR(Table2_1[[#This Row],[Age]],15)+14</f>
        <v>30-44</v>
      </c>
    </row>
    <row r="709" spans="1:20" x14ac:dyDescent="0.3">
      <c r="A709" s="18">
        <v>45443</v>
      </c>
      <c r="B709" s="17" t="s">
        <v>1575</v>
      </c>
      <c r="C709" s="17" t="s">
        <v>83</v>
      </c>
      <c r="D709" s="18">
        <v>20962</v>
      </c>
      <c r="E709" s="16" t="s">
        <v>33</v>
      </c>
      <c r="F709" s="31">
        <v>396</v>
      </c>
      <c r="G709" s="17" t="s">
        <v>21</v>
      </c>
      <c r="H709" s="17" t="s">
        <v>52</v>
      </c>
      <c r="I709" s="17" t="s">
        <v>17</v>
      </c>
      <c r="J709" s="27">
        <v>0.1</v>
      </c>
      <c r="K709" s="17" t="s">
        <v>934</v>
      </c>
      <c r="L709" s="32">
        <v>10</v>
      </c>
      <c r="M709" s="32">
        <f>_xlfn.XLOOKUP(Table2_1[[#This Row],[Product Code]],Product_Code,Unit_Price,0)</f>
        <v>45</v>
      </c>
      <c r="N709" s="31">
        <f>DATEDIF(Table2_1[[#This Row],[Buyer Date of Birth]],Table2_1[[#This Row],[Transaction  Date]],"Y")</f>
        <v>67</v>
      </c>
      <c r="O709" s="33">
        <v>3960</v>
      </c>
      <c r="P709" s="33">
        <f>Table2_1[[#This Row],[Quantity Purchased]]*Table2_1[[#This Row],[UnitPrice]]*(1-Table2_1[[#This Row],[Discount]])</f>
        <v>16038</v>
      </c>
      <c r="Q709" s="33">
        <f>Table2_1[[#This Row],[Revenue]]-Table2_1[[#This Row],[COGS]]</f>
        <v>12078</v>
      </c>
      <c r="R709" s="39">
        <f>WEEKDAY(Table2_1[[#This Row],[Transaction  Date]])</f>
        <v>6</v>
      </c>
      <c r="S709" s="17" t="str">
        <f>IF(WEEKDAY(Table2_1[[#This Row],[Transaction  Date]],2)&lt;=5,"Weekday","Weekend")</f>
        <v>Weekday</v>
      </c>
      <c r="T709" s="37" t="str">
        <f>FLOOR(Table2_1[[#This Row],[Age]],15)&amp; "-"&amp; FLOOR(Table2_1[[#This Row],[Age]],15)+14</f>
        <v>60-74</v>
      </c>
    </row>
    <row r="710" spans="1:20" x14ac:dyDescent="0.3">
      <c r="A710" s="18">
        <v>45443</v>
      </c>
      <c r="B710" s="17" t="s">
        <v>1576</v>
      </c>
      <c r="C710" s="17" t="s">
        <v>71</v>
      </c>
      <c r="D710" s="18">
        <v>16528</v>
      </c>
      <c r="E710" s="16" t="s">
        <v>68</v>
      </c>
      <c r="F710" s="31">
        <v>231</v>
      </c>
      <c r="G710" s="17" t="s">
        <v>34</v>
      </c>
      <c r="H710" s="17" t="s">
        <v>28</v>
      </c>
      <c r="I710" s="17" t="s">
        <v>17</v>
      </c>
      <c r="J710" s="27">
        <v>0.1</v>
      </c>
      <c r="K710" s="17" t="s">
        <v>930</v>
      </c>
      <c r="L710" s="32">
        <v>14</v>
      </c>
      <c r="M710" s="32">
        <f>_xlfn.XLOOKUP(Table2_1[[#This Row],[Product Code]],Product_Code,Unit_Price,0)</f>
        <v>28</v>
      </c>
      <c r="N710" s="31">
        <f>DATEDIF(Table2_1[[#This Row],[Buyer Date of Birth]],Table2_1[[#This Row],[Transaction  Date]],"Y")</f>
        <v>79</v>
      </c>
      <c r="O710" s="33">
        <v>3234</v>
      </c>
      <c r="P710" s="33">
        <f>Table2_1[[#This Row],[Quantity Purchased]]*Table2_1[[#This Row],[UnitPrice]]*(1-Table2_1[[#This Row],[Discount]])</f>
        <v>5821.2</v>
      </c>
      <c r="Q710" s="33">
        <f>Table2_1[[#This Row],[Revenue]]-Table2_1[[#This Row],[COGS]]</f>
        <v>2587.1999999999998</v>
      </c>
      <c r="R710" s="39">
        <f>WEEKDAY(Table2_1[[#This Row],[Transaction  Date]])</f>
        <v>6</v>
      </c>
      <c r="S710" s="17" t="str">
        <f>IF(WEEKDAY(Table2_1[[#This Row],[Transaction  Date]],2)&lt;=5,"Weekday","Weekend")</f>
        <v>Weekday</v>
      </c>
      <c r="T710" s="37" t="str">
        <f>FLOOR(Table2_1[[#This Row],[Age]],15)&amp; "-"&amp; FLOOR(Table2_1[[#This Row],[Age]],15)+14</f>
        <v>75-89</v>
      </c>
    </row>
    <row r="711" spans="1:20" x14ac:dyDescent="0.3">
      <c r="A711" s="18">
        <v>45443</v>
      </c>
      <c r="B711" s="17" t="s">
        <v>1577</v>
      </c>
      <c r="C711" s="17" t="s">
        <v>51</v>
      </c>
      <c r="D711" s="18">
        <v>30562</v>
      </c>
      <c r="E711" s="16" t="s">
        <v>20</v>
      </c>
      <c r="F711" s="31">
        <v>302</v>
      </c>
      <c r="G711" s="17" t="s">
        <v>42</v>
      </c>
      <c r="H711" s="17" t="s">
        <v>48</v>
      </c>
      <c r="I711" s="17" t="s">
        <v>17</v>
      </c>
      <c r="J711" s="27">
        <v>0.1</v>
      </c>
      <c r="K711" s="17" t="s">
        <v>926</v>
      </c>
      <c r="L711" s="32">
        <v>10</v>
      </c>
      <c r="M711" s="32">
        <f>_xlfn.XLOOKUP(Table2_1[[#This Row],[Product Code]],Product_Code,Unit_Price,0)</f>
        <v>11</v>
      </c>
      <c r="N711" s="31">
        <f>DATEDIF(Table2_1[[#This Row],[Buyer Date of Birth]],Table2_1[[#This Row],[Transaction  Date]],"Y")</f>
        <v>40</v>
      </c>
      <c r="O711" s="33">
        <v>3020</v>
      </c>
      <c r="P711" s="33">
        <f>Table2_1[[#This Row],[Quantity Purchased]]*Table2_1[[#This Row],[UnitPrice]]*(1-Table2_1[[#This Row],[Discount]])</f>
        <v>2989.8</v>
      </c>
      <c r="Q711" s="33">
        <f>Table2_1[[#This Row],[Revenue]]-Table2_1[[#This Row],[COGS]]</f>
        <v>-30.199999999999818</v>
      </c>
      <c r="R711" s="39">
        <f>WEEKDAY(Table2_1[[#This Row],[Transaction  Date]])</f>
        <v>6</v>
      </c>
      <c r="S711" s="17" t="str">
        <f>IF(WEEKDAY(Table2_1[[#This Row],[Transaction  Date]],2)&lt;=5,"Weekday","Weekend")</f>
        <v>Weekday</v>
      </c>
      <c r="T711" s="37" t="str">
        <f>FLOOR(Table2_1[[#This Row],[Age]],15)&amp; "-"&amp; FLOOR(Table2_1[[#This Row],[Age]],15)+14</f>
        <v>30-44</v>
      </c>
    </row>
    <row r="712" spans="1:20" x14ac:dyDescent="0.3">
      <c r="A712" s="18">
        <v>45444</v>
      </c>
      <c r="B712" s="17" t="s">
        <v>1578</v>
      </c>
      <c r="C712" s="17" t="s">
        <v>38</v>
      </c>
      <c r="D712" s="18">
        <v>20540</v>
      </c>
      <c r="E712" s="16" t="s">
        <v>14</v>
      </c>
      <c r="F712" s="31">
        <v>222</v>
      </c>
      <c r="G712" s="17" t="s">
        <v>65</v>
      </c>
      <c r="H712" s="17" t="s">
        <v>52</v>
      </c>
      <c r="I712" s="17" t="s">
        <v>17</v>
      </c>
      <c r="J712" s="27">
        <v>0.1</v>
      </c>
      <c r="K712" s="17" t="s">
        <v>928</v>
      </c>
      <c r="L712" s="32">
        <v>3</v>
      </c>
      <c r="M712" s="32">
        <f>_xlfn.XLOOKUP(Table2_1[[#This Row],[Product Code]],Product_Code,Unit_Price,0)</f>
        <v>5</v>
      </c>
      <c r="N712" s="31">
        <f>DATEDIF(Table2_1[[#This Row],[Buyer Date of Birth]],Table2_1[[#This Row],[Transaction  Date]],"Y")</f>
        <v>68</v>
      </c>
      <c r="O712" s="33">
        <v>666</v>
      </c>
      <c r="P712" s="33">
        <f>Table2_1[[#This Row],[Quantity Purchased]]*Table2_1[[#This Row],[UnitPrice]]*(1-Table2_1[[#This Row],[Discount]])</f>
        <v>999</v>
      </c>
      <c r="Q712" s="33">
        <f>Table2_1[[#This Row],[Revenue]]-Table2_1[[#This Row],[COGS]]</f>
        <v>333</v>
      </c>
      <c r="R712" s="39">
        <f>WEEKDAY(Table2_1[[#This Row],[Transaction  Date]])</f>
        <v>7</v>
      </c>
      <c r="S712" s="17" t="str">
        <f>IF(WEEKDAY(Table2_1[[#This Row],[Transaction  Date]],2)&lt;=5,"Weekday","Weekend")</f>
        <v>Weekend</v>
      </c>
      <c r="T712" s="37" t="str">
        <f>FLOOR(Table2_1[[#This Row],[Age]],15)&amp; "-"&amp; FLOOR(Table2_1[[#This Row],[Age]],15)+14</f>
        <v>60-74</v>
      </c>
    </row>
    <row r="713" spans="1:20" x14ac:dyDescent="0.3">
      <c r="A713" s="18">
        <v>45444</v>
      </c>
      <c r="B713" s="17" t="s">
        <v>1579</v>
      </c>
      <c r="C713" s="17" t="s">
        <v>32</v>
      </c>
      <c r="D713" s="18" t="s">
        <v>32</v>
      </c>
      <c r="E713" s="16" t="s">
        <v>68</v>
      </c>
      <c r="F713" s="31">
        <v>37</v>
      </c>
      <c r="G713" s="17" t="s">
        <v>65</v>
      </c>
      <c r="H713" s="17" t="s">
        <v>28</v>
      </c>
      <c r="I713" s="17" t="s">
        <v>17</v>
      </c>
      <c r="J713" s="27">
        <v>0.1</v>
      </c>
      <c r="K713" s="17" t="s">
        <v>928</v>
      </c>
      <c r="L713" s="32">
        <v>3</v>
      </c>
      <c r="M713" s="32">
        <f>_xlfn.XLOOKUP(Table2_1[[#This Row],[Product Code]],Product_Code,Unit_Price,0)</f>
        <v>5</v>
      </c>
      <c r="N713" s="31" t="e">
        <f>DATEDIF(Table2_1[[#This Row],[Buyer Date of Birth]],Table2_1[[#This Row],[Transaction  Date]],"Y")</f>
        <v>#VALUE!</v>
      </c>
      <c r="O713" s="33">
        <v>111</v>
      </c>
      <c r="P713" s="33">
        <f>Table2_1[[#This Row],[Quantity Purchased]]*Table2_1[[#This Row],[UnitPrice]]*(1-Table2_1[[#This Row],[Discount]])</f>
        <v>166.5</v>
      </c>
      <c r="Q713" s="33">
        <f>Table2_1[[#This Row],[Revenue]]-Table2_1[[#This Row],[COGS]]</f>
        <v>55.5</v>
      </c>
      <c r="R713" s="39">
        <f>WEEKDAY(Table2_1[[#This Row],[Transaction  Date]])</f>
        <v>7</v>
      </c>
      <c r="S713" s="17" t="str">
        <f>IF(WEEKDAY(Table2_1[[#This Row],[Transaction  Date]],2)&lt;=5,"Weekday","Weekend")</f>
        <v>Weekend</v>
      </c>
      <c r="T713" s="37" t="e">
        <f>FLOOR(Table2_1[[#This Row],[Age]],15)&amp; "-"&amp; FLOOR(Table2_1[[#This Row],[Age]],15)+14</f>
        <v>#VALUE!</v>
      </c>
    </row>
    <row r="714" spans="1:20" x14ac:dyDescent="0.3">
      <c r="A714" s="18">
        <v>45444</v>
      </c>
      <c r="B714" s="17" t="s">
        <v>1580</v>
      </c>
      <c r="C714" s="17" t="s">
        <v>51</v>
      </c>
      <c r="D714" s="18">
        <v>19058</v>
      </c>
      <c r="E714" s="16" t="s">
        <v>33</v>
      </c>
      <c r="F714" s="31">
        <v>463</v>
      </c>
      <c r="G714" s="17" t="s">
        <v>47</v>
      </c>
      <c r="H714" s="17" t="s">
        <v>48</v>
      </c>
      <c r="I714" s="17" t="s">
        <v>17</v>
      </c>
      <c r="J714" s="27">
        <v>0.1</v>
      </c>
      <c r="K714" s="17" t="s">
        <v>931</v>
      </c>
      <c r="L714" s="32">
        <v>7</v>
      </c>
      <c r="M714" s="32">
        <f>_xlfn.XLOOKUP(Table2_1[[#This Row],[Product Code]],Product_Code,Unit_Price,0)</f>
        <v>9</v>
      </c>
      <c r="N714" s="31">
        <f>DATEDIF(Table2_1[[#This Row],[Buyer Date of Birth]],Table2_1[[#This Row],[Transaction  Date]],"Y")</f>
        <v>72</v>
      </c>
      <c r="O714" s="33">
        <v>3241</v>
      </c>
      <c r="P714" s="33">
        <f>Table2_1[[#This Row],[Quantity Purchased]]*Table2_1[[#This Row],[UnitPrice]]*(1-Table2_1[[#This Row],[Discount]])</f>
        <v>3750.3</v>
      </c>
      <c r="Q714" s="33">
        <f>Table2_1[[#This Row],[Revenue]]-Table2_1[[#This Row],[COGS]]</f>
        <v>509.30000000000018</v>
      </c>
      <c r="R714" s="39">
        <f>WEEKDAY(Table2_1[[#This Row],[Transaction  Date]])</f>
        <v>7</v>
      </c>
      <c r="S714" s="17" t="str">
        <f>IF(WEEKDAY(Table2_1[[#This Row],[Transaction  Date]],2)&lt;=5,"Weekday","Weekend")</f>
        <v>Weekend</v>
      </c>
      <c r="T714" s="37" t="str">
        <f>FLOOR(Table2_1[[#This Row],[Age]],15)&amp; "-"&amp; FLOOR(Table2_1[[#This Row],[Age]],15)+14</f>
        <v>60-74</v>
      </c>
    </row>
    <row r="715" spans="1:20" x14ac:dyDescent="0.3">
      <c r="A715" s="18">
        <v>45445</v>
      </c>
      <c r="B715" s="17" t="s">
        <v>1581</v>
      </c>
      <c r="C715" s="17" t="s">
        <v>13</v>
      </c>
      <c r="D715" s="18">
        <v>30560</v>
      </c>
      <c r="E715" s="16" t="s">
        <v>20</v>
      </c>
      <c r="F715" s="31">
        <v>73</v>
      </c>
      <c r="G715" s="17" t="s">
        <v>56</v>
      </c>
      <c r="H715" s="17" t="s">
        <v>43</v>
      </c>
      <c r="I715" s="17" t="s">
        <v>17</v>
      </c>
      <c r="J715" s="27">
        <v>0.1</v>
      </c>
      <c r="K715" s="17" t="s">
        <v>935</v>
      </c>
      <c r="L715" s="32">
        <v>18</v>
      </c>
      <c r="M715" s="32">
        <f>_xlfn.XLOOKUP(Table2_1[[#This Row],[Product Code]],Product_Code,Unit_Price,0)</f>
        <v>36</v>
      </c>
      <c r="N715" s="31">
        <f>DATEDIF(Table2_1[[#This Row],[Buyer Date of Birth]],Table2_1[[#This Row],[Transaction  Date]],"Y")</f>
        <v>40</v>
      </c>
      <c r="O715" s="33">
        <v>1314</v>
      </c>
      <c r="P715" s="33">
        <f>Table2_1[[#This Row],[Quantity Purchased]]*Table2_1[[#This Row],[UnitPrice]]*(1-Table2_1[[#This Row],[Discount]])</f>
        <v>2365.2000000000003</v>
      </c>
      <c r="Q715" s="33">
        <f>Table2_1[[#This Row],[Revenue]]-Table2_1[[#This Row],[COGS]]</f>
        <v>1051.2000000000003</v>
      </c>
      <c r="R715" s="39">
        <f>WEEKDAY(Table2_1[[#This Row],[Transaction  Date]])</f>
        <v>1</v>
      </c>
      <c r="S715" s="17" t="str">
        <f>IF(WEEKDAY(Table2_1[[#This Row],[Transaction  Date]],2)&lt;=5,"Weekday","Weekend")</f>
        <v>Weekend</v>
      </c>
      <c r="T715" s="37" t="str">
        <f>FLOOR(Table2_1[[#This Row],[Age]],15)&amp; "-"&amp; FLOOR(Table2_1[[#This Row],[Age]],15)+14</f>
        <v>30-44</v>
      </c>
    </row>
    <row r="716" spans="1:20" x14ac:dyDescent="0.3">
      <c r="A716" s="18">
        <v>45445</v>
      </c>
      <c r="B716" s="17" t="s">
        <v>1582</v>
      </c>
      <c r="C716" s="17" t="s">
        <v>51</v>
      </c>
      <c r="D716" s="18">
        <v>37120</v>
      </c>
      <c r="E716" s="16" t="s">
        <v>68</v>
      </c>
      <c r="F716" s="31">
        <v>257</v>
      </c>
      <c r="G716" s="17" t="s">
        <v>27</v>
      </c>
      <c r="H716" s="17" t="s">
        <v>52</v>
      </c>
      <c r="I716" s="17" t="s">
        <v>17</v>
      </c>
      <c r="J716" s="27">
        <v>0.1</v>
      </c>
      <c r="K716" s="17" t="s">
        <v>927</v>
      </c>
      <c r="L716" s="32">
        <v>18</v>
      </c>
      <c r="M716" s="32">
        <f>_xlfn.XLOOKUP(Table2_1[[#This Row],[Product Code]],Product_Code,Unit_Price,0)</f>
        <v>22</v>
      </c>
      <c r="N716" s="31">
        <f>DATEDIF(Table2_1[[#This Row],[Buyer Date of Birth]],Table2_1[[#This Row],[Transaction  Date]],"Y")</f>
        <v>22</v>
      </c>
      <c r="O716" s="33">
        <v>4626</v>
      </c>
      <c r="P716" s="33">
        <f>Table2_1[[#This Row],[Quantity Purchased]]*Table2_1[[#This Row],[UnitPrice]]*(1-Table2_1[[#This Row],[Discount]])</f>
        <v>5088.6000000000004</v>
      </c>
      <c r="Q716" s="33">
        <f>Table2_1[[#This Row],[Revenue]]-Table2_1[[#This Row],[COGS]]</f>
        <v>462.60000000000036</v>
      </c>
      <c r="R716" s="39">
        <f>WEEKDAY(Table2_1[[#This Row],[Transaction  Date]])</f>
        <v>1</v>
      </c>
      <c r="S716" s="17" t="str">
        <f>IF(WEEKDAY(Table2_1[[#This Row],[Transaction  Date]],2)&lt;=5,"Weekday","Weekend")</f>
        <v>Weekend</v>
      </c>
      <c r="T716" s="37" t="str">
        <f>FLOOR(Table2_1[[#This Row],[Age]],15)&amp; "-"&amp; FLOOR(Table2_1[[#This Row],[Age]],15)+14</f>
        <v>15-29</v>
      </c>
    </row>
    <row r="717" spans="1:20" x14ac:dyDescent="0.3">
      <c r="A717" s="18">
        <v>45445</v>
      </c>
      <c r="B717" s="17" t="s">
        <v>1583</v>
      </c>
      <c r="C717" s="17" t="s">
        <v>55</v>
      </c>
      <c r="D717" s="18">
        <v>16637</v>
      </c>
      <c r="E717" s="16" t="s">
        <v>68</v>
      </c>
      <c r="F717" s="31">
        <v>247</v>
      </c>
      <c r="G717" s="17" t="s">
        <v>27</v>
      </c>
      <c r="H717" s="17" t="s">
        <v>39</v>
      </c>
      <c r="I717" s="17" t="s">
        <v>17</v>
      </c>
      <c r="J717" s="27">
        <v>0.1</v>
      </c>
      <c r="K717" s="17" t="s">
        <v>927</v>
      </c>
      <c r="L717" s="32">
        <v>18</v>
      </c>
      <c r="M717" s="32">
        <f>_xlfn.XLOOKUP(Table2_1[[#This Row],[Product Code]],Product_Code,Unit_Price,0)</f>
        <v>22</v>
      </c>
      <c r="N717" s="31">
        <f>DATEDIF(Table2_1[[#This Row],[Buyer Date of Birth]],Table2_1[[#This Row],[Transaction  Date]],"Y")</f>
        <v>78</v>
      </c>
      <c r="O717" s="33">
        <v>4446</v>
      </c>
      <c r="P717" s="33">
        <f>Table2_1[[#This Row],[Quantity Purchased]]*Table2_1[[#This Row],[UnitPrice]]*(1-Table2_1[[#This Row],[Discount]])</f>
        <v>4890.6000000000004</v>
      </c>
      <c r="Q717" s="33">
        <f>Table2_1[[#This Row],[Revenue]]-Table2_1[[#This Row],[COGS]]</f>
        <v>444.60000000000036</v>
      </c>
      <c r="R717" s="39">
        <f>WEEKDAY(Table2_1[[#This Row],[Transaction  Date]])</f>
        <v>1</v>
      </c>
      <c r="S717" s="17" t="str">
        <f>IF(WEEKDAY(Table2_1[[#This Row],[Transaction  Date]],2)&lt;=5,"Weekday","Weekend")</f>
        <v>Weekend</v>
      </c>
      <c r="T717" s="37" t="str">
        <f>FLOOR(Table2_1[[#This Row],[Age]],15)&amp; "-"&amp; FLOOR(Table2_1[[#This Row],[Age]],15)+14</f>
        <v>75-89</v>
      </c>
    </row>
    <row r="718" spans="1:20" x14ac:dyDescent="0.3">
      <c r="A718" s="18">
        <v>45445</v>
      </c>
      <c r="B718" s="17" t="s">
        <v>1584</v>
      </c>
      <c r="C718" s="17" t="s">
        <v>78</v>
      </c>
      <c r="D718" s="18">
        <v>16630</v>
      </c>
      <c r="E718" s="16" t="s">
        <v>33</v>
      </c>
      <c r="F718" s="31">
        <v>189</v>
      </c>
      <c r="G718" s="17" t="s">
        <v>47</v>
      </c>
      <c r="H718" s="17" t="s">
        <v>43</v>
      </c>
      <c r="I718" s="17" t="s">
        <v>17</v>
      </c>
      <c r="J718" s="27">
        <v>0.1</v>
      </c>
      <c r="K718" s="17" t="s">
        <v>931</v>
      </c>
      <c r="L718" s="32">
        <v>7</v>
      </c>
      <c r="M718" s="32">
        <f>_xlfn.XLOOKUP(Table2_1[[#This Row],[Product Code]],Product_Code,Unit_Price,0)</f>
        <v>9</v>
      </c>
      <c r="N718" s="31">
        <f>DATEDIF(Table2_1[[#This Row],[Buyer Date of Birth]],Table2_1[[#This Row],[Transaction  Date]],"Y")</f>
        <v>78</v>
      </c>
      <c r="O718" s="33">
        <v>1323</v>
      </c>
      <c r="P718" s="33">
        <f>Table2_1[[#This Row],[Quantity Purchased]]*Table2_1[[#This Row],[UnitPrice]]*(1-Table2_1[[#This Row],[Discount]])</f>
        <v>1530.9</v>
      </c>
      <c r="Q718" s="33">
        <f>Table2_1[[#This Row],[Revenue]]-Table2_1[[#This Row],[COGS]]</f>
        <v>207.90000000000009</v>
      </c>
      <c r="R718" s="39">
        <f>WEEKDAY(Table2_1[[#This Row],[Transaction  Date]])</f>
        <v>1</v>
      </c>
      <c r="S718" s="17" t="str">
        <f>IF(WEEKDAY(Table2_1[[#This Row],[Transaction  Date]],2)&lt;=5,"Weekday","Weekend")</f>
        <v>Weekend</v>
      </c>
      <c r="T718" s="37" t="str">
        <f>FLOOR(Table2_1[[#This Row],[Age]],15)&amp; "-"&amp; FLOOR(Table2_1[[#This Row],[Age]],15)+14</f>
        <v>75-89</v>
      </c>
    </row>
    <row r="719" spans="1:20" x14ac:dyDescent="0.3">
      <c r="A719" s="18">
        <v>45445</v>
      </c>
      <c r="B719" s="17" t="s">
        <v>996</v>
      </c>
      <c r="C719" s="17" t="s">
        <v>26</v>
      </c>
      <c r="D719" s="18">
        <v>35748</v>
      </c>
      <c r="E719" s="16" t="s">
        <v>20</v>
      </c>
      <c r="F719" s="31">
        <v>190</v>
      </c>
      <c r="G719" s="17" t="s">
        <v>27</v>
      </c>
      <c r="H719" s="17" t="s">
        <v>52</v>
      </c>
      <c r="I719" s="17" t="s">
        <v>17</v>
      </c>
      <c r="J719" s="27">
        <v>0.1</v>
      </c>
      <c r="K719" s="17" t="s">
        <v>927</v>
      </c>
      <c r="L719" s="32">
        <v>18</v>
      </c>
      <c r="M719" s="32">
        <f>_xlfn.XLOOKUP(Table2_1[[#This Row],[Product Code]],Product_Code,Unit_Price,0)</f>
        <v>22</v>
      </c>
      <c r="N719" s="31">
        <f>DATEDIF(Table2_1[[#This Row],[Buyer Date of Birth]],Table2_1[[#This Row],[Transaction  Date]],"Y")</f>
        <v>26</v>
      </c>
      <c r="O719" s="33">
        <v>3420</v>
      </c>
      <c r="P719" s="33">
        <f>Table2_1[[#This Row],[Quantity Purchased]]*Table2_1[[#This Row],[UnitPrice]]*(1-Table2_1[[#This Row],[Discount]])</f>
        <v>3762</v>
      </c>
      <c r="Q719" s="33">
        <f>Table2_1[[#This Row],[Revenue]]-Table2_1[[#This Row],[COGS]]</f>
        <v>342</v>
      </c>
      <c r="R719" s="39">
        <f>WEEKDAY(Table2_1[[#This Row],[Transaction  Date]])</f>
        <v>1</v>
      </c>
      <c r="S719" s="17" t="str">
        <f>IF(WEEKDAY(Table2_1[[#This Row],[Transaction  Date]],2)&lt;=5,"Weekday","Weekend")</f>
        <v>Weekend</v>
      </c>
      <c r="T719" s="37" t="str">
        <f>FLOOR(Table2_1[[#This Row],[Age]],15)&amp; "-"&amp; FLOOR(Table2_1[[#This Row],[Age]],15)+14</f>
        <v>15-29</v>
      </c>
    </row>
    <row r="720" spans="1:20" x14ac:dyDescent="0.3">
      <c r="A720" s="18">
        <v>45445</v>
      </c>
      <c r="B720" s="17" t="s">
        <v>1880</v>
      </c>
      <c r="C720" s="17" t="s">
        <v>13</v>
      </c>
      <c r="D720" s="18">
        <v>35455</v>
      </c>
      <c r="E720" s="16" t="s">
        <v>33</v>
      </c>
      <c r="F720" s="31">
        <v>276</v>
      </c>
      <c r="G720" s="17" t="s">
        <v>15</v>
      </c>
      <c r="H720" s="17" t="s">
        <v>48</v>
      </c>
      <c r="I720" s="17" t="s">
        <v>17</v>
      </c>
      <c r="J720" s="27">
        <v>0.1</v>
      </c>
      <c r="K720" s="17" t="s">
        <v>929</v>
      </c>
      <c r="L720" s="32">
        <v>10</v>
      </c>
      <c r="M720" s="32">
        <f>_xlfn.XLOOKUP(Table2_1[[#This Row],[Product Code]],Product_Code,Unit_Price,0)</f>
        <v>14</v>
      </c>
      <c r="N720" s="31">
        <f>DATEDIF(Table2_1[[#This Row],[Buyer Date of Birth]],Table2_1[[#This Row],[Transaction  Date]],"Y")</f>
        <v>27</v>
      </c>
      <c r="O720" s="33">
        <v>2760</v>
      </c>
      <c r="P720" s="33">
        <f>Table2_1[[#This Row],[Quantity Purchased]]*Table2_1[[#This Row],[UnitPrice]]*(1-Table2_1[[#This Row],[Discount]])</f>
        <v>3477.6</v>
      </c>
      <c r="Q720" s="33">
        <f>Table2_1[[#This Row],[Revenue]]-Table2_1[[#This Row],[COGS]]</f>
        <v>717.59999999999991</v>
      </c>
      <c r="R720" s="39">
        <f>WEEKDAY(Table2_1[[#This Row],[Transaction  Date]])</f>
        <v>1</v>
      </c>
      <c r="S720" s="17" t="str">
        <f>IF(WEEKDAY(Table2_1[[#This Row],[Transaction  Date]],2)&lt;=5,"Weekday","Weekend")</f>
        <v>Weekend</v>
      </c>
      <c r="T720" s="37" t="str">
        <f>FLOOR(Table2_1[[#This Row],[Age]],15)&amp; "-"&amp; FLOOR(Table2_1[[#This Row],[Age]],15)+14</f>
        <v>15-29</v>
      </c>
    </row>
    <row r="721" spans="1:20" x14ac:dyDescent="0.3">
      <c r="A721" s="18">
        <v>45445</v>
      </c>
      <c r="B721" s="17" t="s">
        <v>1585</v>
      </c>
      <c r="C721" s="17" t="s">
        <v>46</v>
      </c>
      <c r="D721" s="18">
        <v>26007</v>
      </c>
      <c r="E721" s="16" t="s">
        <v>68</v>
      </c>
      <c r="F721" s="31">
        <v>65</v>
      </c>
      <c r="G721" s="17" t="s">
        <v>65</v>
      </c>
      <c r="H721" s="17" t="s">
        <v>43</v>
      </c>
      <c r="I721" s="17" t="s">
        <v>17</v>
      </c>
      <c r="J721" s="27">
        <v>0.1</v>
      </c>
      <c r="K721" s="17" t="s">
        <v>928</v>
      </c>
      <c r="L721" s="32">
        <v>3</v>
      </c>
      <c r="M721" s="32">
        <f>_xlfn.XLOOKUP(Table2_1[[#This Row],[Product Code]],Product_Code,Unit_Price,0)</f>
        <v>5</v>
      </c>
      <c r="N721" s="31">
        <f>DATEDIF(Table2_1[[#This Row],[Buyer Date of Birth]],Table2_1[[#This Row],[Transaction  Date]],"Y")</f>
        <v>53</v>
      </c>
      <c r="O721" s="33">
        <v>195</v>
      </c>
      <c r="P721" s="33">
        <f>Table2_1[[#This Row],[Quantity Purchased]]*Table2_1[[#This Row],[UnitPrice]]*(1-Table2_1[[#This Row],[Discount]])</f>
        <v>292.5</v>
      </c>
      <c r="Q721" s="33">
        <f>Table2_1[[#This Row],[Revenue]]-Table2_1[[#This Row],[COGS]]</f>
        <v>97.5</v>
      </c>
      <c r="R721" s="39">
        <f>WEEKDAY(Table2_1[[#This Row],[Transaction  Date]])</f>
        <v>1</v>
      </c>
      <c r="S721" s="17" t="str">
        <f>IF(WEEKDAY(Table2_1[[#This Row],[Transaction  Date]],2)&lt;=5,"Weekday","Weekend")</f>
        <v>Weekend</v>
      </c>
      <c r="T721" s="37" t="str">
        <f>FLOOR(Table2_1[[#This Row],[Age]],15)&amp; "-"&amp; FLOOR(Table2_1[[#This Row],[Age]],15)+14</f>
        <v>45-59</v>
      </c>
    </row>
    <row r="722" spans="1:20" x14ac:dyDescent="0.3">
      <c r="A722" s="18">
        <v>45446</v>
      </c>
      <c r="B722" s="17" t="s">
        <v>1586</v>
      </c>
      <c r="C722" s="17" t="s">
        <v>55</v>
      </c>
      <c r="D722" s="18">
        <v>24949</v>
      </c>
      <c r="E722" s="16" t="s">
        <v>20</v>
      </c>
      <c r="F722" s="31">
        <v>332</v>
      </c>
      <c r="G722" s="17" t="s">
        <v>65</v>
      </c>
      <c r="H722" s="17" t="s">
        <v>35</v>
      </c>
      <c r="I722" s="17" t="s">
        <v>17</v>
      </c>
      <c r="J722" s="27">
        <v>0.1</v>
      </c>
      <c r="K722" s="17" t="s">
        <v>928</v>
      </c>
      <c r="L722" s="32">
        <v>3</v>
      </c>
      <c r="M722" s="32">
        <f>_xlfn.XLOOKUP(Table2_1[[#This Row],[Product Code]],Product_Code,Unit_Price,0)</f>
        <v>5</v>
      </c>
      <c r="N722" s="31">
        <f>DATEDIF(Table2_1[[#This Row],[Buyer Date of Birth]],Table2_1[[#This Row],[Transaction  Date]],"Y")</f>
        <v>56</v>
      </c>
      <c r="O722" s="33">
        <v>996</v>
      </c>
      <c r="P722" s="33">
        <f>Table2_1[[#This Row],[Quantity Purchased]]*Table2_1[[#This Row],[UnitPrice]]*(1-Table2_1[[#This Row],[Discount]])</f>
        <v>1494</v>
      </c>
      <c r="Q722" s="33">
        <f>Table2_1[[#This Row],[Revenue]]-Table2_1[[#This Row],[COGS]]</f>
        <v>498</v>
      </c>
      <c r="R722" s="39">
        <f>WEEKDAY(Table2_1[[#This Row],[Transaction  Date]])</f>
        <v>2</v>
      </c>
      <c r="S722" s="17" t="str">
        <f>IF(WEEKDAY(Table2_1[[#This Row],[Transaction  Date]],2)&lt;=5,"Weekday","Weekend")</f>
        <v>Weekday</v>
      </c>
      <c r="T722" s="37" t="str">
        <f>FLOOR(Table2_1[[#This Row],[Age]],15)&amp; "-"&amp; FLOOR(Table2_1[[#This Row],[Age]],15)+14</f>
        <v>45-59</v>
      </c>
    </row>
    <row r="723" spans="1:20" x14ac:dyDescent="0.3">
      <c r="A723" s="18">
        <v>45446</v>
      </c>
      <c r="B723" s="17" t="s">
        <v>1587</v>
      </c>
      <c r="C723" s="17" t="s">
        <v>38</v>
      </c>
      <c r="D723" s="18">
        <v>18863</v>
      </c>
      <c r="E723" s="16" t="s">
        <v>20</v>
      </c>
      <c r="F723" s="31">
        <v>186</v>
      </c>
      <c r="G723" s="17" t="s">
        <v>65</v>
      </c>
      <c r="H723" s="17" t="s">
        <v>43</v>
      </c>
      <c r="I723" s="17" t="s">
        <v>29</v>
      </c>
      <c r="J723" s="27">
        <v>0.1</v>
      </c>
      <c r="K723" s="17" t="s">
        <v>928</v>
      </c>
      <c r="L723" s="32">
        <v>3</v>
      </c>
      <c r="M723" s="32">
        <f>_xlfn.XLOOKUP(Table2_1[[#This Row],[Product Code]],Product_Code,Unit_Price,0)</f>
        <v>5</v>
      </c>
      <c r="N723" s="31">
        <f>DATEDIF(Table2_1[[#This Row],[Buyer Date of Birth]],Table2_1[[#This Row],[Transaction  Date]],"Y")</f>
        <v>72</v>
      </c>
      <c r="O723" s="33">
        <v>558</v>
      </c>
      <c r="P723" s="33">
        <f>Table2_1[[#This Row],[Quantity Purchased]]*Table2_1[[#This Row],[UnitPrice]]*(1-Table2_1[[#This Row],[Discount]])</f>
        <v>837</v>
      </c>
      <c r="Q723" s="33">
        <f>Table2_1[[#This Row],[Revenue]]-Table2_1[[#This Row],[COGS]]</f>
        <v>279</v>
      </c>
      <c r="R723" s="39">
        <f>WEEKDAY(Table2_1[[#This Row],[Transaction  Date]])</f>
        <v>2</v>
      </c>
      <c r="S723" s="17" t="str">
        <f>IF(WEEKDAY(Table2_1[[#This Row],[Transaction  Date]],2)&lt;=5,"Weekday","Weekend")</f>
        <v>Weekday</v>
      </c>
      <c r="T723" s="37" t="str">
        <f>FLOOR(Table2_1[[#This Row],[Age]],15)&amp; "-"&amp; FLOOR(Table2_1[[#This Row],[Age]],15)+14</f>
        <v>60-74</v>
      </c>
    </row>
    <row r="724" spans="1:20" x14ac:dyDescent="0.3">
      <c r="A724" s="18">
        <v>45446</v>
      </c>
      <c r="B724" s="17" t="s">
        <v>1588</v>
      </c>
      <c r="C724" s="17" t="s">
        <v>13</v>
      </c>
      <c r="D724" s="18">
        <v>37803</v>
      </c>
      <c r="E724" s="16" t="s">
        <v>33</v>
      </c>
      <c r="F724" s="31">
        <v>113</v>
      </c>
      <c r="G724" s="17" t="s">
        <v>65</v>
      </c>
      <c r="H724" s="17" t="s">
        <v>39</v>
      </c>
      <c r="I724" s="17" t="s">
        <v>17</v>
      </c>
      <c r="J724" s="27">
        <v>0.1</v>
      </c>
      <c r="K724" s="17" t="s">
        <v>928</v>
      </c>
      <c r="L724" s="32">
        <v>3</v>
      </c>
      <c r="M724" s="32">
        <f>_xlfn.XLOOKUP(Table2_1[[#This Row],[Product Code]],Product_Code,Unit_Price,0)</f>
        <v>5</v>
      </c>
      <c r="N724" s="31">
        <f>DATEDIF(Table2_1[[#This Row],[Buyer Date of Birth]],Table2_1[[#This Row],[Transaction  Date]],"Y")</f>
        <v>20</v>
      </c>
      <c r="O724" s="33">
        <v>339</v>
      </c>
      <c r="P724" s="33">
        <f>Table2_1[[#This Row],[Quantity Purchased]]*Table2_1[[#This Row],[UnitPrice]]*(1-Table2_1[[#This Row],[Discount]])</f>
        <v>508.5</v>
      </c>
      <c r="Q724" s="33">
        <f>Table2_1[[#This Row],[Revenue]]-Table2_1[[#This Row],[COGS]]</f>
        <v>169.5</v>
      </c>
      <c r="R724" s="39">
        <f>WEEKDAY(Table2_1[[#This Row],[Transaction  Date]])</f>
        <v>2</v>
      </c>
      <c r="S724" s="17" t="str">
        <f>IF(WEEKDAY(Table2_1[[#This Row],[Transaction  Date]],2)&lt;=5,"Weekday","Weekend")</f>
        <v>Weekday</v>
      </c>
      <c r="T724" s="37" t="str">
        <f>FLOOR(Table2_1[[#This Row],[Age]],15)&amp; "-"&amp; FLOOR(Table2_1[[#This Row],[Age]],15)+14</f>
        <v>15-29</v>
      </c>
    </row>
    <row r="725" spans="1:20" x14ac:dyDescent="0.3">
      <c r="A725" s="18">
        <v>45446</v>
      </c>
      <c r="B725" s="17" t="s">
        <v>1589</v>
      </c>
      <c r="C725" s="17" t="s">
        <v>32</v>
      </c>
      <c r="D725" s="18">
        <v>37711</v>
      </c>
      <c r="E725" s="16" t="s">
        <v>33</v>
      </c>
      <c r="F725" s="31">
        <v>234</v>
      </c>
      <c r="G725" s="17" t="s">
        <v>42</v>
      </c>
      <c r="H725" s="17" t="s">
        <v>48</v>
      </c>
      <c r="I725" s="17" t="s">
        <v>23</v>
      </c>
      <c r="J725" s="27">
        <v>0.1</v>
      </c>
      <c r="K725" s="17" t="s">
        <v>926</v>
      </c>
      <c r="L725" s="32">
        <v>10</v>
      </c>
      <c r="M725" s="32">
        <f>_xlfn.XLOOKUP(Table2_1[[#This Row],[Product Code]],Product_Code,Unit_Price,0)</f>
        <v>11</v>
      </c>
      <c r="N725" s="31">
        <f>DATEDIF(Table2_1[[#This Row],[Buyer Date of Birth]],Table2_1[[#This Row],[Transaction  Date]],"Y")</f>
        <v>21</v>
      </c>
      <c r="O725" s="33">
        <v>2340</v>
      </c>
      <c r="P725" s="33">
        <f>Table2_1[[#This Row],[Quantity Purchased]]*Table2_1[[#This Row],[UnitPrice]]*(1-Table2_1[[#This Row],[Discount]])</f>
        <v>2316.6</v>
      </c>
      <c r="Q725" s="33">
        <f>Table2_1[[#This Row],[Revenue]]-Table2_1[[#This Row],[COGS]]</f>
        <v>-23.400000000000091</v>
      </c>
      <c r="R725" s="39">
        <f>WEEKDAY(Table2_1[[#This Row],[Transaction  Date]])</f>
        <v>2</v>
      </c>
      <c r="S725" s="17" t="str">
        <f>IF(WEEKDAY(Table2_1[[#This Row],[Transaction  Date]],2)&lt;=5,"Weekday","Weekend")</f>
        <v>Weekday</v>
      </c>
      <c r="T725" s="37" t="str">
        <f>FLOOR(Table2_1[[#This Row],[Age]],15)&amp; "-"&amp; FLOOR(Table2_1[[#This Row],[Age]],15)+14</f>
        <v>15-29</v>
      </c>
    </row>
    <row r="726" spans="1:20" x14ac:dyDescent="0.3">
      <c r="A726" s="18">
        <v>45446</v>
      </c>
      <c r="B726" s="17" t="s">
        <v>1590</v>
      </c>
      <c r="C726" s="17" t="s">
        <v>83</v>
      </c>
      <c r="D726" s="18">
        <v>23714</v>
      </c>
      <c r="E726" s="16" t="s">
        <v>68</v>
      </c>
      <c r="F726" s="31">
        <v>124</v>
      </c>
      <c r="G726" s="17" t="s">
        <v>21</v>
      </c>
      <c r="H726" s="17" t="s">
        <v>52</v>
      </c>
      <c r="I726" s="17" t="s">
        <v>17</v>
      </c>
      <c r="J726" s="27">
        <v>0.1</v>
      </c>
      <c r="K726" s="17" t="s">
        <v>934</v>
      </c>
      <c r="L726" s="32">
        <v>10</v>
      </c>
      <c r="M726" s="32">
        <f>_xlfn.XLOOKUP(Table2_1[[#This Row],[Product Code]],Product_Code,Unit_Price,0)</f>
        <v>45</v>
      </c>
      <c r="N726" s="31">
        <f>DATEDIF(Table2_1[[#This Row],[Buyer Date of Birth]],Table2_1[[#This Row],[Transaction  Date]],"Y")</f>
        <v>59</v>
      </c>
      <c r="O726" s="33">
        <v>1240</v>
      </c>
      <c r="P726" s="33">
        <f>Table2_1[[#This Row],[Quantity Purchased]]*Table2_1[[#This Row],[UnitPrice]]*(1-Table2_1[[#This Row],[Discount]])</f>
        <v>5022</v>
      </c>
      <c r="Q726" s="33">
        <f>Table2_1[[#This Row],[Revenue]]-Table2_1[[#This Row],[COGS]]</f>
        <v>3782</v>
      </c>
      <c r="R726" s="39">
        <f>WEEKDAY(Table2_1[[#This Row],[Transaction  Date]])</f>
        <v>2</v>
      </c>
      <c r="S726" s="17" t="str">
        <f>IF(WEEKDAY(Table2_1[[#This Row],[Transaction  Date]],2)&lt;=5,"Weekday","Weekend")</f>
        <v>Weekday</v>
      </c>
      <c r="T726" s="37" t="str">
        <f>FLOOR(Table2_1[[#This Row],[Age]],15)&amp; "-"&amp; FLOOR(Table2_1[[#This Row],[Age]],15)+14</f>
        <v>45-59</v>
      </c>
    </row>
    <row r="727" spans="1:20" x14ac:dyDescent="0.3">
      <c r="A727" s="18">
        <v>45447</v>
      </c>
      <c r="B727" s="17" t="s">
        <v>1591</v>
      </c>
      <c r="C727" s="17" t="s">
        <v>51</v>
      </c>
      <c r="D727" s="18">
        <v>18090</v>
      </c>
      <c r="E727" s="16" t="s">
        <v>33</v>
      </c>
      <c r="F727" s="31">
        <v>500</v>
      </c>
      <c r="G727" s="17" t="s">
        <v>27</v>
      </c>
      <c r="H727" s="17" t="s">
        <v>52</v>
      </c>
      <c r="I727" s="17" t="s">
        <v>17</v>
      </c>
      <c r="J727" s="27">
        <v>0.1</v>
      </c>
      <c r="K727" s="17" t="s">
        <v>927</v>
      </c>
      <c r="L727" s="32">
        <v>18</v>
      </c>
      <c r="M727" s="32">
        <f>_xlfn.XLOOKUP(Table2_1[[#This Row],[Product Code]],Product_Code,Unit_Price,0)</f>
        <v>22</v>
      </c>
      <c r="N727" s="31">
        <f>DATEDIF(Table2_1[[#This Row],[Buyer Date of Birth]],Table2_1[[#This Row],[Transaction  Date]],"Y")</f>
        <v>74</v>
      </c>
      <c r="O727" s="33">
        <v>9000</v>
      </c>
      <c r="P727" s="33">
        <f>Table2_1[[#This Row],[Quantity Purchased]]*Table2_1[[#This Row],[UnitPrice]]*(1-Table2_1[[#This Row],[Discount]])</f>
        <v>9900</v>
      </c>
      <c r="Q727" s="33">
        <f>Table2_1[[#This Row],[Revenue]]-Table2_1[[#This Row],[COGS]]</f>
        <v>900</v>
      </c>
      <c r="R727" s="39">
        <f>WEEKDAY(Table2_1[[#This Row],[Transaction  Date]])</f>
        <v>3</v>
      </c>
      <c r="S727" s="17" t="str">
        <f>IF(WEEKDAY(Table2_1[[#This Row],[Transaction  Date]],2)&lt;=5,"Weekday","Weekend")</f>
        <v>Weekday</v>
      </c>
      <c r="T727" s="37" t="str">
        <f>FLOOR(Table2_1[[#This Row],[Age]],15)&amp; "-"&amp; FLOOR(Table2_1[[#This Row],[Age]],15)+14</f>
        <v>60-74</v>
      </c>
    </row>
    <row r="728" spans="1:20" x14ac:dyDescent="0.3">
      <c r="A728" s="18">
        <v>45447</v>
      </c>
      <c r="B728" s="17" t="s">
        <v>1592</v>
      </c>
      <c r="C728" s="17" t="s">
        <v>78</v>
      </c>
      <c r="D728" s="18">
        <v>24937</v>
      </c>
      <c r="E728" s="16" t="s">
        <v>14</v>
      </c>
      <c r="F728" s="31">
        <v>56</v>
      </c>
      <c r="G728" s="17" t="s">
        <v>15</v>
      </c>
      <c r="H728" s="17" t="s">
        <v>35</v>
      </c>
      <c r="I728" s="17" t="s">
        <v>29</v>
      </c>
      <c r="J728" s="27">
        <v>0.1</v>
      </c>
      <c r="K728" s="17" t="s">
        <v>929</v>
      </c>
      <c r="L728" s="32">
        <v>10</v>
      </c>
      <c r="M728" s="32">
        <f>_xlfn.XLOOKUP(Table2_1[[#This Row],[Product Code]],Product_Code,Unit_Price,0)</f>
        <v>14</v>
      </c>
      <c r="N728" s="31">
        <f>DATEDIF(Table2_1[[#This Row],[Buyer Date of Birth]],Table2_1[[#This Row],[Transaction  Date]],"Y")</f>
        <v>56</v>
      </c>
      <c r="O728" s="33">
        <v>560</v>
      </c>
      <c r="P728" s="33">
        <f>Table2_1[[#This Row],[Quantity Purchased]]*Table2_1[[#This Row],[UnitPrice]]*(1-Table2_1[[#This Row],[Discount]])</f>
        <v>705.6</v>
      </c>
      <c r="Q728" s="33">
        <f>Table2_1[[#This Row],[Revenue]]-Table2_1[[#This Row],[COGS]]</f>
        <v>145.60000000000002</v>
      </c>
      <c r="R728" s="39">
        <f>WEEKDAY(Table2_1[[#This Row],[Transaction  Date]])</f>
        <v>3</v>
      </c>
      <c r="S728" s="17" t="str">
        <f>IF(WEEKDAY(Table2_1[[#This Row],[Transaction  Date]],2)&lt;=5,"Weekday","Weekend")</f>
        <v>Weekday</v>
      </c>
      <c r="T728" s="37" t="str">
        <f>FLOOR(Table2_1[[#This Row],[Age]],15)&amp; "-"&amp; FLOOR(Table2_1[[#This Row],[Age]],15)+14</f>
        <v>45-59</v>
      </c>
    </row>
    <row r="729" spans="1:20" x14ac:dyDescent="0.3">
      <c r="A729" s="18">
        <v>45447</v>
      </c>
      <c r="B729" s="17" t="s">
        <v>1593</v>
      </c>
      <c r="C729" s="17" t="s">
        <v>32</v>
      </c>
      <c r="D729" s="18">
        <v>30099</v>
      </c>
      <c r="E729" s="16" t="s">
        <v>20</v>
      </c>
      <c r="F729" s="31">
        <v>169</v>
      </c>
      <c r="G729" s="17" t="s">
        <v>21</v>
      </c>
      <c r="H729" s="17" t="s">
        <v>52</v>
      </c>
      <c r="I729" s="17" t="s">
        <v>17</v>
      </c>
      <c r="J729" s="27">
        <v>0.1</v>
      </c>
      <c r="K729" s="17" t="s">
        <v>934</v>
      </c>
      <c r="L729" s="32">
        <v>10</v>
      </c>
      <c r="M729" s="32">
        <f>_xlfn.XLOOKUP(Table2_1[[#This Row],[Product Code]],Product_Code,Unit_Price,0)</f>
        <v>45</v>
      </c>
      <c r="N729" s="31">
        <f>DATEDIF(Table2_1[[#This Row],[Buyer Date of Birth]],Table2_1[[#This Row],[Transaction  Date]],"Y")</f>
        <v>42</v>
      </c>
      <c r="O729" s="33">
        <v>1690</v>
      </c>
      <c r="P729" s="33">
        <f>Table2_1[[#This Row],[Quantity Purchased]]*Table2_1[[#This Row],[UnitPrice]]*(1-Table2_1[[#This Row],[Discount]])</f>
        <v>6844.5</v>
      </c>
      <c r="Q729" s="33">
        <f>Table2_1[[#This Row],[Revenue]]-Table2_1[[#This Row],[COGS]]</f>
        <v>5154.5</v>
      </c>
      <c r="R729" s="39">
        <f>WEEKDAY(Table2_1[[#This Row],[Transaction  Date]])</f>
        <v>3</v>
      </c>
      <c r="S729" s="17" t="str">
        <f>IF(WEEKDAY(Table2_1[[#This Row],[Transaction  Date]],2)&lt;=5,"Weekday","Weekend")</f>
        <v>Weekday</v>
      </c>
      <c r="T729" s="37" t="str">
        <f>FLOOR(Table2_1[[#This Row],[Age]],15)&amp; "-"&amp; FLOOR(Table2_1[[#This Row],[Age]],15)+14</f>
        <v>30-44</v>
      </c>
    </row>
    <row r="730" spans="1:20" x14ac:dyDescent="0.3">
      <c r="A730" s="18">
        <v>45447</v>
      </c>
      <c r="B730" s="17" t="s">
        <v>1594</v>
      </c>
      <c r="C730" s="17" t="s">
        <v>38</v>
      </c>
      <c r="D730" s="18">
        <v>31342</v>
      </c>
      <c r="E730" s="16" t="s">
        <v>20</v>
      </c>
      <c r="F730" s="31">
        <v>459</v>
      </c>
      <c r="G730" s="17" t="s">
        <v>56</v>
      </c>
      <c r="H730" s="17" t="s">
        <v>48</v>
      </c>
      <c r="I730" s="17" t="s">
        <v>17</v>
      </c>
      <c r="J730" s="27">
        <v>0.1</v>
      </c>
      <c r="K730" s="17" t="s">
        <v>935</v>
      </c>
      <c r="L730" s="32">
        <v>18</v>
      </c>
      <c r="M730" s="32">
        <f>_xlfn.XLOOKUP(Table2_1[[#This Row],[Product Code]],Product_Code,Unit_Price,0)</f>
        <v>36</v>
      </c>
      <c r="N730" s="31">
        <f>DATEDIF(Table2_1[[#This Row],[Buyer Date of Birth]],Table2_1[[#This Row],[Transaction  Date]],"Y")</f>
        <v>38</v>
      </c>
      <c r="O730" s="33">
        <v>8262</v>
      </c>
      <c r="P730" s="33">
        <f>Table2_1[[#This Row],[Quantity Purchased]]*Table2_1[[#This Row],[UnitPrice]]*(1-Table2_1[[#This Row],[Discount]])</f>
        <v>14871.6</v>
      </c>
      <c r="Q730" s="33">
        <f>Table2_1[[#This Row],[Revenue]]-Table2_1[[#This Row],[COGS]]</f>
        <v>6609.6</v>
      </c>
      <c r="R730" s="39">
        <f>WEEKDAY(Table2_1[[#This Row],[Transaction  Date]])</f>
        <v>3</v>
      </c>
      <c r="S730" s="17" t="str">
        <f>IF(WEEKDAY(Table2_1[[#This Row],[Transaction  Date]],2)&lt;=5,"Weekday","Weekend")</f>
        <v>Weekday</v>
      </c>
      <c r="T730" s="37" t="str">
        <f>FLOOR(Table2_1[[#This Row],[Age]],15)&amp; "-"&amp; FLOOR(Table2_1[[#This Row],[Age]],15)+14</f>
        <v>30-44</v>
      </c>
    </row>
    <row r="731" spans="1:20" x14ac:dyDescent="0.3">
      <c r="A731" s="18">
        <v>45447</v>
      </c>
      <c r="B731" s="17" t="s">
        <v>1277</v>
      </c>
      <c r="C731" s="17" t="s">
        <v>51</v>
      </c>
      <c r="D731" s="18">
        <v>21735</v>
      </c>
      <c r="E731" s="16" t="s">
        <v>68</v>
      </c>
      <c r="F731" s="31">
        <v>342</v>
      </c>
      <c r="G731" s="17" t="s">
        <v>64</v>
      </c>
      <c r="H731" s="17" t="s">
        <v>43</v>
      </c>
      <c r="I731" s="17" t="s">
        <v>17</v>
      </c>
      <c r="J731" s="27">
        <v>0.1</v>
      </c>
      <c r="K731" s="17" t="s">
        <v>933</v>
      </c>
      <c r="L731" s="32">
        <v>5</v>
      </c>
      <c r="M731" s="32">
        <f>_xlfn.XLOOKUP(Table2_1[[#This Row],[Product Code]],Product_Code,Unit_Price,0)</f>
        <v>7</v>
      </c>
      <c r="N731" s="31">
        <f>DATEDIF(Table2_1[[#This Row],[Buyer Date of Birth]],Table2_1[[#This Row],[Transaction  Date]],"Y")</f>
        <v>64</v>
      </c>
      <c r="O731" s="33">
        <v>1710</v>
      </c>
      <c r="P731" s="33">
        <f>Table2_1[[#This Row],[Quantity Purchased]]*Table2_1[[#This Row],[UnitPrice]]*(1-Table2_1[[#This Row],[Discount]])</f>
        <v>2154.6</v>
      </c>
      <c r="Q731" s="33">
        <f>Table2_1[[#This Row],[Revenue]]-Table2_1[[#This Row],[COGS]]</f>
        <v>444.59999999999991</v>
      </c>
      <c r="R731" s="39">
        <f>WEEKDAY(Table2_1[[#This Row],[Transaction  Date]])</f>
        <v>3</v>
      </c>
      <c r="S731" s="17" t="str">
        <f>IF(WEEKDAY(Table2_1[[#This Row],[Transaction  Date]],2)&lt;=5,"Weekday","Weekend")</f>
        <v>Weekday</v>
      </c>
      <c r="T731" s="37" t="str">
        <f>FLOOR(Table2_1[[#This Row],[Age]],15)&amp; "-"&amp; FLOOR(Table2_1[[#This Row],[Age]],15)+14</f>
        <v>60-74</v>
      </c>
    </row>
    <row r="732" spans="1:20" x14ac:dyDescent="0.3">
      <c r="A732" s="18">
        <v>45447</v>
      </c>
      <c r="B732" s="17" t="s">
        <v>1595</v>
      </c>
      <c r="C732" s="17" t="s">
        <v>83</v>
      </c>
      <c r="D732" s="18">
        <v>30367</v>
      </c>
      <c r="E732" s="16" t="s">
        <v>33</v>
      </c>
      <c r="F732" s="31">
        <v>284</v>
      </c>
      <c r="G732" s="17" t="s">
        <v>65</v>
      </c>
      <c r="H732" s="17" t="s">
        <v>35</v>
      </c>
      <c r="I732" s="17" t="s">
        <v>17</v>
      </c>
      <c r="J732" s="27">
        <v>0.1</v>
      </c>
      <c r="K732" s="17" t="s">
        <v>928</v>
      </c>
      <c r="L732" s="32">
        <v>3</v>
      </c>
      <c r="M732" s="32">
        <f>_xlfn.XLOOKUP(Table2_1[[#This Row],[Product Code]],Product_Code,Unit_Price,0)</f>
        <v>5</v>
      </c>
      <c r="N732" s="31">
        <f>DATEDIF(Table2_1[[#This Row],[Buyer Date of Birth]],Table2_1[[#This Row],[Transaction  Date]],"Y")</f>
        <v>41</v>
      </c>
      <c r="O732" s="33">
        <v>852</v>
      </c>
      <c r="P732" s="33">
        <f>Table2_1[[#This Row],[Quantity Purchased]]*Table2_1[[#This Row],[UnitPrice]]*(1-Table2_1[[#This Row],[Discount]])</f>
        <v>1278</v>
      </c>
      <c r="Q732" s="33">
        <f>Table2_1[[#This Row],[Revenue]]-Table2_1[[#This Row],[COGS]]</f>
        <v>426</v>
      </c>
      <c r="R732" s="39">
        <f>WEEKDAY(Table2_1[[#This Row],[Transaction  Date]])</f>
        <v>3</v>
      </c>
      <c r="S732" s="17" t="str">
        <f>IF(WEEKDAY(Table2_1[[#This Row],[Transaction  Date]],2)&lt;=5,"Weekday","Weekend")</f>
        <v>Weekday</v>
      </c>
      <c r="T732" s="37" t="str">
        <f>FLOOR(Table2_1[[#This Row],[Age]],15)&amp; "-"&amp; FLOOR(Table2_1[[#This Row],[Age]],15)+14</f>
        <v>30-44</v>
      </c>
    </row>
    <row r="733" spans="1:20" x14ac:dyDescent="0.3">
      <c r="A733" s="18">
        <v>45447</v>
      </c>
      <c r="B733" s="17" t="s">
        <v>1881</v>
      </c>
      <c r="C733" s="17" t="s">
        <v>71</v>
      </c>
      <c r="D733" s="18">
        <v>25146</v>
      </c>
      <c r="E733" s="16" t="s">
        <v>68</v>
      </c>
      <c r="F733" s="31">
        <v>368</v>
      </c>
      <c r="G733" s="17" t="s">
        <v>64</v>
      </c>
      <c r="H733" s="17" t="s">
        <v>39</v>
      </c>
      <c r="I733" s="17" t="s">
        <v>17</v>
      </c>
      <c r="J733" s="27">
        <v>0.1</v>
      </c>
      <c r="K733" s="17" t="s">
        <v>933</v>
      </c>
      <c r="L733" s="32">
        <v>5</v>
      </c>
      <c r="M733" s="32">
        <f>_xlfn.XLOOKUP(Table2_1[[#This Row],[Product Code]],Product_Code,Unit_Price,0)</f>
        <v>7</v>
      </c>
      <c r="N733" s="31">
        <f>DATEDIF(Table2_1[[#This Row],[Buyer Date of Birth]],Table2_1[[#This Row],[Transaction  Date]],"Y")</f>
        <v>55</v>
      </c>
      <c r="O733" s="33">
        <v>1840</v>
      </c>
      <c r="P733" s="33">
        <f>Table2_1[[#This Row],[Quantity Purchased]]*Table2_1[[#This Row],[UnitPrice]]*(1-Table2_1[[#This Row],[Discount]])</f>
        <v>2318.4</v>
      </c>
      <c r="Q733" s="33">
        <f>Table2_1[[#This Row],[Revenue]]-Table2_1[[#This Row],[COGS]]</f>
        <v>478.40000000000009</v>
      </c>
      <c r="R733" s="39">
        <f>WEEKDAY(Table2_1[[#This Row],[Transaction  Date]])</f>
        <v>3</v>
      </c>
      <c r="S733" s="17" t="str">
        <f>IF(WEEKDAY(Table2_1[[#This Row],[Transaction  Date]],2)&lt;=5,"Weekday","Weekend")</f>
        <v>Weekday</v>
      </c>
      <c r="T733" s="37" t="str">
        <f>FLOOR(Table2_1[[#This Row],[Age]],15)&amp; "-"&amp; FLOOR(Table2_1[[#This Row],[Age]],15)+14</f>
        <v>45-59</v>
      </c>
    </row>
    <row r="734" spans="1:20" x14ac:dyDescent="0.3">
      <c r="A734" s="18">
        <v>45447</v>
      </c>
      <c r="B734" s="17" t="s">
        <v>1596</v>
      </c>
      <c r="C734" s="17" t="s">
        <v>55</v>
      </c>
      <c r="D734" s="18">
        <v>26691</v>
      </c>
      <c r="E734" s="16" t="s">
        <v>68</v>
      </c>
      <c r="F734" s="31">
        <v>204</v>
      </c>
      <c r="G734" s="17" t="s">
        <v>21</v>
      </c>
      <c r="H734" s="17" t="s">
        <v>43</v>
      </c>
      <c r="I734" s="17" t="s">
        <v>17</v>
      </c>
      <c r="J734" s="27">
        <v>0.1</v>
      </c>
      <c r="K734" s="17" t="s">
        <v>934</v>
      </c>
      <c r="L734" s="32">
        <v>10</v>
      </c>
      <c r="M734" s="32">
        <f>_xlfn.XLOOKUP(Table2_1[[#This Row],[Product Code]],Product_Code,Unit_Price,0)</f>
        <v>45</v>
      </c>
      <c r="N734" s="31">
        <f>DATEDIF(Table2_1[[#This Row],[Buyer Date of Birth]],Table2_1[[#This Row],[Transaction  Date]],"Y")</f>
        <v>51</v>
      </c>
      <c r="O734" s="33">
        <v>2040</v>
      </c>
      <c r="P734" s="33">
        <f>Table2_1[[#This Row],[Quantity Purchased]]*Table2_1[[#This Row],[UnitPrice]]*(1-Table2_1[[#This Row],[Discount]])</f>
        <v>8262</v>
      </c>
      <c r="Q734" s="33">
        <f>Table2_1[[#This Row],[Revenue]]-Table2_1[[#This Row],[COGS]]</f>
        <v>6222</v>
      </c>
      <c r="R734" s="39">
        <f>WEEKDAY(Table2_1[[#This Row],[Transaction  Date]])</f>
        <v>3</v>
      </c>
      <c r="S734" s="17" t="str">
        <f>IF(WEEKDAY(Table2_1[[#This Row],[Transaction  Date]],2)&lt;=5,"Weekday","Weekend")</f>
        <v>Weekday</v>
      </c>
      <c r="T734" s="37" t="str">
        <f>FLOOR(Table2_1[[#This Row],[Age]],15)&amp; "-"&amp; FLOOR(Table2_1[[#This Row],[Age]],15)+14</f>
        <v>45-59</v>
      </c>
    </row>
    <row r="735" spans="1:20" x14ac:dyDescent="0.3">
      <c r="A735" s="18">
        <v>45448</v>
      </c>
      <c r="B735" s="17" t="s">
        <v>1597</v>
      </c>
      <c r="C735" s="17" t="s">
        <v>83</v>
      </c>
      <c r="D735" s="18">
        <v>20035</v>
      </c>
      <c r="E735" s="16" t="s">
        <v>33</v>
      </c>
      <c r="F735" s="31">
        <v>494</v>
      </c>
      <c r="G735" s="17" t="s">
        <v>64</v>
      </c>
      <c r="H735" s="17" t="s">
        <v>43</v>
      </c>
      <c r="I735" s="17" t="s">
        <v>17</v>
      </c>
      <c r="J735" s="27">
        <v>0.1</v>
      </c>
      <c r="K735" s="17" t="s">
        <v>933</v>
      </c>
      <c r="L735" s="32">
        <v>5</v>
      </c>
      <c r="M735" s="32">
        <f>_xlfn.XLOOKUP(Table2_1[[#This Row],[Product Code]],Product_Code,Unit_Price,0)</f>
        <v>7</v>
      </c>
      <c r="N735" s="31">
        <f>DATEDIF(Table2_1[[#This Row],[Buyer Date of Birth]],Table2_1[[#This Row],[Transaction  Date]],"Y")</f>
        <v>69</v>
      </c>
      <c r="O735" s="33">
        <v>2470</v>
      </c>
      <c r="P735" s="33">
        <f>Table2_1[[#This Row],[Quantity Purchased]]*Table2_1[[#This Row],[UnitPrice]]*(1-Table2_1[[#This Row],[Discount]])</f>
        <v>3112.2000000000003</v>
      </c>
      <c r="Q735" s="33">
        <f>Table2_1[[#This Row],[Revenue]]-Table2_1[[#This Row],[COGS]]</f>
        <v>642.20000000000027</v>
      </c>
      <c r="R735" s="39">
        <f>WEEKDAY(Table2_1[[#This Row],[Transaction  Date]])</f>
        <v>4</v>
      </c>
      <c r="S735" s="17" t="str">
        <f>IF(WEEKDAY(Table2_1[[#This Row],[Transaction  Date]],2)&lt;=5,"Weekday","Weekend")</f>
        <v>Weekday</v>
      </c>
      <c r="T735" s="37" t="str">
        <f>FLOOR(Table2_1[[#This Row],[Age]],15)&amp; "-"&amp; FLOOR(Table2_1[[#This Row],[Age]],15)+14</f>
        <v>60-74</v>
      </c>
    </row>
    <row r="736" spans="1:20" x14ac:dyDescent="0.3">
      <c r="A736" s="18">
        <v>45448</v>
      </c>
      <c r="B736" s="17" t="s">
        <v>1598</v>
      </c>
      <c r="C736" s="17" t="s">
        <v>51</v>
      </c>
      <c r="D736" s="18">
        <v>38727</v>
      </c>
      <c r="E736" s="16" t="s">
        <v>68</v>
      </c>
      <c r="F736" s="31">
        <v>139</v>
      </c>
      <c r="G736" s="17" t="s">
        <v>21</v>
      </c>
      <c r="H736" s="17" t="s">
        <v>48</v>
      </c>
      <c r="I736" s="17" t="s">
        <v>17</v>
      </c>
      <c r="J736" s="27">
        <v>0.1</v>
      </c>
      <c r="K736" s="17" t="s">
        <v>934</v>
      </c>
      <c r="L736" s="32">
        <v>10</v>
      </c>
      <c r="M736" s="32">
        <f>_xlfn.XLOOKUP(Table2_1[[#This Row],[Product Code]],Product_Code,Unit_Price,0)</f>
        <v>45</v>
      </c>
      <c r="N736" s="31">
        <f>DATEDIF(Table2_1[[#This Row],[Buyer Date of Birth]],Table2_1[[#This Row],[Transaction  Date]],"Y")</f>
        <v>18</v>
      </c>
      <c r="O736" s="33">
        <v>1390</v>
      </c>
      <c r="P736" s="33">
        <f>Table2_1[[#This Row],[Quantity Purchased]]*Table2_1[[#This Row],[UnitPrice]]*(1-Table2_1[[#This Row],[Discount]])</f>
        <v>5629.5</v>
      </c>
      <c r="Q736" s="33">
        <f>Table2_1[[#This Row],[Revenue]]-Table2_1[[#This Row],[COGS]]</f>
        <v>4239.5</v>
      </c>
      <c r="R736" s="39">
        <f>WEEKDAY(Table2_1[[#This Row],[Transaction  Date]])</f>
        <v>4</v>
      </c>
      <c r="S736" s="17" t="str">
        <f>IF(WEEKDAY(Table2_1[[#This Row],[Transaction  Date]],2)&lt;=5,"Weekday","Weekend")</f>
        <v>Weekday</v>
      </c>
      <c r="T736" s="37" t="str">
        <f>FLOOR(Table2_1[[#This Row],[Age]],15)&amp; "-"&amp; FLOOR(Table2_1[[#This Row],[Age]],15)+14</f>
        <v>15-29</v>
      </c>
    </row>
    <row r="737" spans="1:20" x14ac:dyDescent="0.3">
      <c r="A737" s="18">
        <v>45448</v>
      </c>
      <c r="B737" s="17" t="s">
        <v>1599</v>
      </c>
      <c r="C737" s="17" t="s">
        <v>94</v>
      </c>
      <c r="D737" s="18">
        <v>28158</v>
      </c>
      <c r="E737" s="16" t="s">
        <v>14</v>
      </c>
      <c r="F737" s="31">
        <v>337</v>
      </c>
      <c r="G737" s="17" t="s">
        <v>27</v>
      </c>
      <c r="H737" s="17" t="s">
        <v>28</v>
      </c>
      <c r="I737" s="17" t="s">
        <v>17</v>
      </c>
      <c r="J737" s="27">
        <v>0.1</v>
      </c>
      <c r="K737" s="17" t="s">
        <v>927</v>
      </c>
      <c r="L737" s="32">
        <v>18</v>
      </c>
      <c r="M737" s="32">
        <f>_xlfn.XLOOKUP(Table2_1[[#This Row],[Product Code]],Product_Code,Unit_Price,0)</f>
        <v>22</v>
      </c>
      <c r="N737" s="31">
        <f>DATEDIF(Table2_1[[#This Row],[Buyer Date of Birth]],Table2_1[[#This Row],[Transaction  Date]],"Y")</f>
        <v>47</v>
      </c>
      <c r="O737" s="33">
        <v>6066</v>
      </c>
      <c r="P737" s="33">
        <f>Table2_1[[#This Row],[Quantity Purchased]]*Table2_1[[#This Row],[UnitPrice]]*(1-Table2_1[[#This Row],[Discount]])</f>
        <v>6672.6</v>
      </c>
      <c r="Q737" s="33">
        <f>Table2_1[[#This Row],[Revenue]]-Table2_1[[#This Row],[COGS]]</f>
        <v>606.60000000000036</v>
      </c>
      <c r="R737" s="39">
        <f>WEEKDAY(Table2_1[[#This Row],[Transaction  Date]])</f>
        <v>4</v>
      </c>
      <c r="S737" s="17" t="str">
        <f>IF(WEEKDAY(Table2_1[[#This Row],[Transaction  Date]],2)&lt;=5,"Weekday","Weekend")</f>
        <v>Weekday</v>
      </c>
      <c r="T737" s="37" t="str">
        <f>FLOOR(Table2_1[[#This Row],[Age]],15)&amp; "-"&amp; FLOOR(Table2_1[[#This Row],[Age]],15)+14</f>
        <v>45-59</v>
      </c>
    </row>
    <row r="738" spans="1:20" x14ac:dyDescent="0.3">
      <c r="A738" s="18">
        <v>45448</v>
      </c>
      <c r="B738" s="17" t="s">
        <v>1600</v>
      </c>
      <c r="C738" s="17" t="s">
        <v>71</v>
      </c>
      <c r="D738" s="18">
        <v>31340</v>
      </c>
      <c r="E738" s="16" t="s">
        <v>33</v>
      </c>
      <c r="F738" s="31">
        <v>141</v>
      </c>
      <c r="G738" s="17" t="s">
        <v>27</v>
      </c>
      <c r="H738" s="17" t="s">
        <v>52</v>
      </c>
      <c r="I738" s="17" t="s">
        <v>17</v>
      </c>
      <c r="J738" s="27">
        <v>0.1</v>
      </c>
      <c r="K738" s="17" t="s">
        <v>927</v>
      </c>
      <c r="L738" s="32">
        <v>18</v>
      </c>
      <c r="M738" s="32">
        <f>_xlfn.XLOOKUP(Table2_1[[#This Row],[Product Code]],Product_Code,Unit_Price,0)</f>
        <v>22</v>
      </c>
      <c r="N738" s="31">
        <f>DATEDIF(Table2_1[[#This Row],[Buyer Date of Birth]],Table2_1[[#This Row],[Transaction  Date]],"Y")</f>
        <v>38</v>
      </c>
      <c r="O738" s="33">
        <v>2538</v>
      </c>
      <c r="P738" s="33">
        <f>Table2_1[[#This Row],[Quantity Purchased]]*Table2_1[[#This Row],[UnitPrice]]*(1-Table2_1[[#This Row],[Discount]])</f>
        <v>2791.8</v>
      </c>
      <c r="Q738" s="33">
        <f>Table2_1[[#This Row],[Revenue]]-Table2_1[[#This Row],[COGS]]</f>
        <v>253.80000000000018</v>
      </c>
      <c r="R738" s="39">
        <f>WEEKDAY(Table2_1[[#This Row],[Transaction  Date]])</f>
        <v>4</v>
      </c>
      <c r="S738" s="17" t="str">
        <f>IF(WEEKDAY(Table2_1[[#This Row],[Transaction  Date]],2)&lt;=5,"Weekday","Weekend")</f>
        <v>Weekday</v>
      </c>
      <c r="T738" s="37" t="str">
        <f>FLOOR(Table2_1[[#This Row],[Age]],15)&amp; "-"&amp; FLOOR(Table2_1[[#This Row],[Age]],15)+14</f>
        <v>30-44</v>
      </c>
    </row>
    <row r="739" spans="1:20" x14ac:dyDescent="0.3">
      <c r="A739" s="18">
        <v>45448</v>
      </c>
      <c r="B739" s="17" t="s">
        <v>1601</v>
      </c>
      <c r="C739" s="17" t="s">
        <v>51</v>
      </c>
      <c r="D739" s="18">
        <v>17007</v>
      </c>
      <c r="E739" s="16" t="s">
        <v>14</v>
      </c>
      <c r="F739" s="31">
        <v>468</v>
      </c>
      <c r="G739" s="17" t="s">
        <v>21</v>
      </c>
      <c r="H739" s="17" t="s">
        <v>48</v>
      </c>
      <c r="I739" s="17" t="s">
        <v>17</v>
      </c>
      <c r="J739" s="27">
        <v>0.1</v>
      </c>
      <c r="K739" s="17" t="s">
        <v>934</v>
      </c>
      <c r="L739" s="32">
        <v>10</v>
      </c>
      <c r="M739" s="32">
        <f>_xlfn.XLOOKUP(Table2_1[[#This Row],[Product Code]],Product_Code,Unit_Price,0)</f>
        <v>45</v>
      </c>
      <c r="N739" s="31">
        <f>DATEDIF(Table2_1[[#This Row],[Buyer Date of Birth]],Table2_1[[#This Row],[Transaction  Date]],"Y")</f>
        <v>77</v>
      </c>
      <c r="O739" s="33">
        <v>4680</v>
      </c>
      <c r="P739" s="33">
        <f>Table2_1[[#This Row],[Quantity Purchased]]*Table2_1[[#This Row],[UnitPrice]]*(1-Table2_1[[#This Row],[Discount]])</f>
        <v>18954</v>
      </c>
      <c r="Q739" s="33">
        <f>Table2_1[[#This Row],[Revenue]]-Table2_1[[#This Row],[COGS]]</f>
        <v>14274</v>
      </c>
      <c r="R739" s="39">
        <f>WEEKDAY(Table2_1[[#This Row],[Transaction  Date]])</f>
        <v>4</v>
      </c>
      <c r="S739" s="17" t="str">
        <f>IF(WEEKDAY(Table2_1[[#This Row],[Transaction  Date]],2)&lt;=5,"Weekday","Weekend")</f>
        <v>Weekday</v>
      </c>
      <c r="T739" s="37" t="str">
        <f>FLOOR(Table2_1[[#This Row],[Age]],15)&amp; "-"&amp; FLOOR(Table2_1[[#This Row],[Age]],15)+14</f>
        <v>75-89</v>
      </c>
    </row>
    <row r="740" spans="1:20" x14ac:dyDescent="0.3">
      <c r="A740" s="18">
        <v>45449</v>
      </c>
      <c r="B740" s="17" t="s">
        <v>1602</v>
      </c>
      <c r="C740" s="17" t="s">
        <v>26</v>
      </c>
      <c r="D740" s="18">
        <v>29484</v>
      </c>
      <c r="E740" s="16" t="s">
        <v>20</v>
      </c>
      <c r="F740" s="31">
        <v>456</v>
      </c>
      <c r="G740" s="17" t="s">
        <v>56</v>
      </c>
      <c r="H740" s="17" t="s">
        <v>52</v>
      </c>
      <c r="I740" s="17" t="s">
        <v>17</v>
      </c>
      <c r="J740" s="27">
        <v>0.1</v>
      </c>
      <c r="K740" s="17" t="s">
        <v>935</v>
      </c>
      <c r="L740" s="32">
        <v>18</v>
      </c>
      <c r="M740" s="32">
        <f>_xlfn.XLOOKUP(Table2_1[[#This Row],[Product Code]],Product_Code,Unit_Price,0)</f>
        <v>36</v>
      </c>
      <c r="N740" s="31">
        <f>DATEDIF(Table2_1[[#This Row],[Buyer Date of Birth]],Table2_1[[#This Row],[Transaction  Date]],"Y")</f>
        <v>43</v>
      </c>
      <c r="O740" s="33">
        <v>8208</v>
      </c>
      <c r="P740" s="33">
        <f>Table2_1[[#This Row],[Quantity Purchased]]*Table2_1[[#This Row],[UnitPrice]]*(1-Table2_1[[#This Row],[Discount]])</f>
        <v>14774.4</v>
      </c>
      <c r="Q740" s="33">
        <f>Table2_1[[#This Row],[Revenue]]-Table2_1[[#This Row],[COGS]]</f>
        <v>6566.4</v>
      </c>
      <c r="R740" s="39">
        <f>WEEKDAY(Table2_1[[#This Row],[Transaction  Date]])</f>
        <v>5</v>
      </c>
      <c r="S740" s="17" t="str">
        <f>IF(WEEKDAY(Table2_1[[#This Row],[Transaction  Date]],2)&lt;=5,"Weekday","Weekend")</f>
        <v>Weekday</v>
      </c>
      <c r="T740" s="37" t="str">
        <f>FLOOR(Table2_1[[#This Row],[Age]],15)&amp; "-"&amp; FLOOR(Table2_1[[#This Row],[Age]],15)+14</f>
        <v>30-44</v>
      </c>
    </row>
    <row r="741" spans="1:20" x14ac:dyDescent="0.3">
      <c r="A741" s="18">
        <v>45449</v>
      </c>
      <c r="B741" s="17" t="s">
        <v>1603</v>
      </c>
      <c r="C741" s="17" t="s">
        <v>78</v>
      </c>
      <c r="D741" s="18">
        <v>28592</v>
      </c>
      <c r="E741" s="16" t="s">
        <v>33</v>
      </c>
      <c r="F741" s="31">
        <v>182</v>
      </c>
      <c r="G741" s="17" t="s">
        <v>64</v>
      </c>
      <c r="H741" s="17" t="s">
        <v>28</v>
      </c>
      <c r="I741" s="17" t="s">
        <v>17</v>
      </c>
      <c r="J741" s="27">
        <v>0.1</v>
      </c>
      <c r="K741" s="17" t="s">
        <v>933</v>
      </c>
      <c r="L741" s="32">
        <v>5</v>
      </c>
      <c r="M741" s="32">
        <f>_xlfn.XLOOKUP(Table2_1[[#This Row],[Product Code]],Product_Code,Unit_Price,0)</f>
        <v>7</v>
      </c>
      <c r="N741" s="31">
        <f>DATEDIF(Table2_1[[#This Row],[Buyer Date of Birth]],Table2_1[[#This Row],[Transaction  Date]],"Y")</f>
        <v>46</v>
      </c>
      <c r="O741" s="33">
        <v>910</v>
      </c>
      <c r="P741" s="33">
        <f>Table2_1[[#This Row],[Quantity Purchased]]*Table2_1[[#This Row],[UnitPrice]]*(1-Table2_1[[#This Row],[Discount]])</f>
        <v>1146.6000000000001</v>
      </c>
      <c r="Q741" s="33">
        <f>Table2_1[[#This Row],[Revenue]]-Table2_1[[#This Row],[COGS]]</f>
        <v>236.60000000000014</v>
      </c>
      <c r="R741" s="39">
        <f>WEEKDAY(Table2_1[[#This Row],[Transaction  Date]])</f>
        <v>5</v>
      </c>
      <c r="S741" s="17" t="str">
        <f>IF(WEEKDAY(Table2_1[[#This Row],[Transaction  Date]],2)&lt;=5,"Weekday","Weekend")</f>
        <v>Weekday</v>
      </c>
      <c r="T741" s="37" t="str">
        <f>FLOOR(Table2_1[[#This Row],[Age]],15)&amp; "-"&amp; FLOOR(Table2_1[[#This Row],[Age]],15)+14</f>
        <v>45-59</v>
      </c>
    </row>
    <row r="742" spans="1:20" x14ac:dyDescent="0.3">
      <c r="A742" s="18">
        <v>45449</v>
      </c>
      <c r="B742" s="17" t="s">
        <v>1604</v>
      </c>
      <c r="C742" s="17" t="s">
        <v>55</v>
      </c>
      <c r="D742" s="18">
        <v>33510</v>
      </c>
      <c r="E742" s="16" t="s">
        <v>33</v>
      </c>
      <c r="F742" s="31">
        <v>271</v>
      </c>
      <c r="G742" s="17" t="s">
        <v>27</v>
      </c>
      <c r="H742" s="17" t="s">
        <v>39</v>
      </c>
      <c r="I742" s="17" t="s">
        <v>29</v>
      </c>
      <c r="J742" s="27">
        <v>0.1</v>
      </c>
      <c r="K742" s="17" t="s">
        <v>927</v>
      </c>
      <c r="L742" s="32">
        <v>18</v>
      </c>
      <c r="M742" s="32">
        <f>_xlfn.XLOOKUP(Table2_1[[#This Row],[Product Code]],Product_Code,Unit_Price,0)</f>
        <v>22</v>
      </c>
      <c r="N742" s="31">
        <f>DATEDIF(Table2_1[[#This Row],[Buyer Date of Birth]],Table2_1[[#This Row],[Transaction  Date]],"Y")</f>
        <v>32</v>
      </c>
      <c r="O742" s="33">
        <v>4878</v>
      </c>
      <c r="P742" s="33">
        <f>Table2_1[[#This Row],[Quantity Purchased]]*Table2_1[[#This Row],[UnitPrice]]*(1-Table2_1[[#This Row],[Discount]])</f>
        <v>5365.8</v>
      </c>
      <c r="Q742" s="33">
        <f>Table2_1[[#This Row],[Revenue]]-Table2_1[[#This Row],[COGS]]</f>
        <v>487.80000000000018</v>
      </c>
      <c r="R742" s="39">
        <f>WEEKDAY(Table2_1[[#This Row],[Transaction  Date]])</f>
        <v>5</v>
      </c>
      <c r="S742" s="17" t="str">
        <f>IF(WEEKDAY(Table2_1[[#This Row],[Transaction  Date]],2)&lt;=5,"Weekday","Weekend")</f>
        <v>Weekday</v>
      </c>
      <c r="T742" s="37" t="str">
        <f>FLOOR(Table2_1[[#This Row],[Age]],15)&amp; "-"&amp; FLOOR(Table2_1[[#This Row],[Age]],15)+14</f>
        <v>30-44</v>
      </c>
    </row>
    <row r="743" spans="1:20" x14ac:dyDescent="0.3">
      <c r="A743" s="18">
        <v>45449</v>
      </c>
      <c r="B743" s="17" t="s">
        <v>1605</v>
      </c>
      <c r="C743" s="17" t="s">
        <v>13</v>
      </c>
      <c r="D743" s="18">
        <v>28526</v>
      </c>
      <c r="E743" s="16" t="s">
        <v>68</v>
      </c>
      <c r="F743" s="31">
        <v>381</v>
      </c>
      <c r="G743" s="17" t="s">
        <v>65</v>
      </c>
      <c r="H743" s="17" t="s">
        <v>52</v>
      </c>
      <c r="I743" s="17" t="s">
        <v>17</v>
      </c>
      <c r="J743" s="27">
        <v>0.1</v>
      </c>
      <c r="K743" s="17" t="s">
        <v>928</v>
      </c>
      <c r="L743" s="32">
        <v>3</v>
      </c>
      <c r="M743" s="32">
        <f>_xlfn.XLOOKUP(Table2_1[[#This Row],[Product Code]],Product_Code,Unit_Price,0)</f>
        <v>5</v>
      </c>
      <c r="N743" s="31">
        <f>DATEDIF(Table2_1[[#This Row],[Buyer Date of Birth]],Table2_1[[#This Row],[Transaction  Date]],"Y")</f>
        <v>46</v>
      </c>
      <c r="O743" s="33">
        <v>1143</v>
      </c>
      <c r="P743" s="33">
        <f>Table2_1[[#This Row],[Quantity Purchased]]*Table2_1[[#This Row],[UnitPrice]]*(1-Table2_1[[#This Row],[Discount]])</f>
        <v>1714.5</v>
      </c>
      <c r="Q743" s="33">
        <f>Table2_1[[#This Row],[Revenue]]-Table2_1[[#This Row],[COGS]]</f>
        <v>571.5</v>
      </c>
      <c r="R743" s="39">
        <f>WEEKDAY(Table2_1[[#This Row],[Transaction  Date]])</f>
        <v>5</v>
      </c>
      <c r="S743" s="17" t="str">
        <f>IF(WEEKDAY(Table2_1[[#This Row],[Transaction  Date]],2)&lt;=5,"Weekday","Weekend")</f>
        <v>Weekday</v>
      </c>
      <c r="T743" s="37" t="str">
        <f>FLOOR(Table2_1[[#This Row],[Age]],15)&amp; "-"&amp; FLOOR(Table2_1[[#This Row],[Age]],15)+14</f>
        <v>45-59</v>
      </c>
    </row>
    <row r="744" spans="1:20" x14ac:dyDescent="0.3">
      <c r="A744" s="18">
        <v>45449</v>
      </c>
      <c r="B744" s="17" t="s">
        <v>1606</v>
      </c>
      <c r="C744" s="17" t="s">
        <v>83</v>
      </c>
      <c r="D744" s="18">
        <v>23557</v>
      </c>
      <c r="E744" s="16" t="s">
        <v>33</v>
      </c>
      <c r="F744" s="31">
        <v>64</v>
      </c>
      <c r="G744" s="17" t="s">
        <v>47</v>
      </c>
      <c r="H744" s="17" t="s">
        <v>48</v>
      </c>
      <c r="I744" s="17" t="s">
        <v>17</v>
      </c>
      <c r="J744" s="27">
        <v>0.1</v>
      </c>
      <c r="K744" s="17" t="s">
        <v>931</v>
      </c>
      <c r="L744" s="32">
        <v>7</v>
      </c>
      <c r="M744" s="32">
        <f>_xlfn.XLOOKUP(Table2_1[[#This Row],[Product Code]],Product_Code,Unit_Price,0)</f>
        <v>9</v>
      </c>
      <c r="N744" s="31">
        <f>DATEDIF(Table2_1[[#This Row],[Buyer Date of Birth]],Table2_1[[#This Row],[Transaction  Date]],"Y")</f>
        <v>59</v>
      </c>
      <c r="O744" s="33">
        <v>448</v>
      </c>
      <c r="P744" s="33">
        <f>Table2_1[[#This Row],[Quantity Purchased]]*Table2_1[[#This Row],[UnitPrice]]*(1-Table2_1[[#This Row],[Discount]])</f>
        <v>518.4</v>
      </c>
      <c r="Q744" s="33">
        <f>Table2_1[[#This Row],[Revenue]]-Table2_1[[#This Row],[COGS]]</f>
        <v>70.399999999999977</v>
      </c>
      <c r="R744" s="39">
        <f>WEEKDAY(Table2_1[[#This Row],[Transaction  Date]])</f>
        <v>5</v>
      </c>
      <c r="S744" s="17" t="str">
        <f>IF(WEEKDAY(Table2_1[[#This Row],[Transaction  Date]],2)&lt;=5,"Weekday","Weekend")</f>
        <v>Weekday</v>
      </c>
      <c r="T744" s="37" t="str">
        <f>FLOOR(Table2_1[[#This Row],[Age]],15)&amp; "-"&amp; FLOOR(Table2_1[[#This Row],[Age]],15)+14</f>
        <v>45-59</v>
      </c>
    </row>
    <row r="745" spans="1:20" x14ac:dyDescent="0.3">
      <c r="A745" s="18">
        <v>45449</v>
      </c>
      <c r="B745" s="17" t="s">
        <v>1607</v>
      </c>
      <c r="C745" s="17" t="s">
        <v>32</v>
      </c>
      <c r="D745" s="18">
        <v>19730</v>
      </c>
      <c r="E745" s="16" t="s">
        <v>33</v>
      </c>
      <c r="F745" s="31">
        <v>102</v>
      </c>
      <c r="G745" s="17" t="s">
        <v>42</v>
      </c>
      <c r="H745" s="17" t="s">
        <v>28</v>
      </c>
      <c r="I745" s="17" t="s">
        <v>17</v>
      </c>
      <c r="J745" s="27">
        <v>0.1</v>
      </c>
      <c r="K745" s="17" t="s">
        <v>926</v>
      </c>
      <c r="L745" s="32">
        <v>10</v>
      </c>
      <c r="M745" s="32">
        <f>_xlfn.XLOOKUP(Table2_1[[#This Row],[Product Code]],Product_Code,Unit_Price,0)</f>
        <v>11</v>
      </c>
      <c r="N745" s="31">
        <f>DATEDIF(Table2_1[[#This Row],[Buyer Date of Birth]],Table2_1[[#This Row],[Transaction  Date]],"Y")</f>
        <v>70</v>
      </c>
      <c r="O745" s="33">
        <v>1020</v>
      </c>
      <c r="P745" s="33">
        <f>Table2_1[[#This Row],[Quantity Purchased]]*Table2_1[[#This Row],[UnitPrice]]*(1-Table2_1[[#This Row],[Discount]])</f>
        <v>1009.8000000000001</v>
      </c>
      <c r="Q745" s="33">
        <f>Table2_1[[#This Row],[Revenue]]-Table2_1[[#This Row],[COGS]]</f>
        <v>-10.199999999999932</v>
      </c>
      <c r="R745" s="39">
        <f>WEEKDAY(Table2_1[[#This Row],[Transaction  Date]])</f>
        <v>5</v>
      </c>
      <c r="S745" s="17" t="str">
        <f>IF(WEEKDAY(Table2_1[[#This Row],[Transaction  Date]],2)&lt;=5,"Weekday","Weekend")</f>
        <v>Weekday</v>
      </c>
      <c r="T745" s="37" t="str">
        <f>FLOOR(Table2_1[[#This Row],[Age]],15)&amp; "-"&amp; FLOOR(Table2_1[[#This Row],[Age]],15)+14</f>
        <v>60-74</v>
      </c>
    </row>
    <row r="746" spans="1:20" x14ac:dyDescent="0.3">
      <c r="A746" s="18">
        <v>45449</v>
      </c>
      <c r="B746" s="17" t="s">
        <v>1608</v>
      </c>
      <c r="C746" s="17" t="s">
        <v>51</v>
      </c>
      <c r="D746" s="18">
        <v>29356</v>
      </c>
      <c r="E746" s="16" t="s">
        <v>33</v>
      </c>
      <c r="F746" s="31">
        <v>130</v>
      </c>
      <c r="G746" s="17" t="s">
        <v>59</v>
      </c>
      <c r="H746" s="17" t="s">
        <v>43</v>
      </c>
      <c r="I746" s="17" t="s">
        <v>17</v>
      </c>
      <c r="J746" s="27">
        <v>0.1</v>
      </c>
      <c r="K746" s="17" t="s">
        <v>932</v>
      </c>
      <c r="L746" s="32">
        <v>19</v>
      </c>
      <c r="M746" s="32">
        <f>_xlfn.XLOOKUP(Table2_1[[#This Row],[Product Code]],Product_Code,Unit_Price,0)</f>
        <v>23</v>
      </c>
      <c r="N746" s="31">
        <f>DATEDIF(Table2_1[[#This Row],[Buyer Date of Birth]],Table2_1[[#This Row],[Transaction  Date]],"Y")</f>
        <v>44</v>
      </c>
      <c r="O746" s="33">
        <v>2470</v>
      </c>
      <c r="P746" s="33">
        <f>Table2_1[[#This Row],[Quantity Purchased]]*Table2_1[[#This Row],[UnitPrice]]*(1-Table2_1[[#This Row],[Discount]])</f>
        <v>2691</v>
      </c>
      <c r="Q746" s="33">
        <f>Table2_1[[#This Row],[Revenue]]-Table2_1[[#This Row],[COGS]]</f>
        <v>221</v>
      </c>
      <c r="R746" s="39">
        <f>WEEKDAY(Table2_1[[#This Row],[Transaction  Date]])</f>
        <v>5</v>
      </c>
      <c r="S746" s="17" t="str">
        <f>IF(WEEKDAY(Table2_1[[#This Row],[Transaction  Date]],2)&lt;=5,"Weekday","Weekend")</f>
        <v>Weekday</v>
      </c>
      <c r="T746" s="37" t="str">
        <f>FLOOR(Table2_1[[#This Row],[Age]],15)&amp; "-"&amp; FLOOR(Table2_1[[#This Row],[Age]],15)+14</f>
        <v>30-44</v>
      </c>
    </row>
    <row r="747" spans="1:20" x14ac:dyDescent="0.3">
      <c r="A747" s="18">
        <v>45449</v>
      </c>
      <c r="B747" s="17" t="s">
        <v>1609</v>
      </c>
      <c r="C747" s="17" t="s">
        <v>71</v>
      </c>
      <c r="D747" s="18">
        <v>33241</v>
      </c>
      <c r="E747" s="16" t="s">
        <v>33</v>
      </c>
      <c r="F747" s="31">
        <v>277</v>
      </c>
      <c r="G747" s="17" t="s">
        <v>56</v>
      </c>
      <c r="H747" s="17" t="s">
        <v>52</v>
      </c>
      <c r="I747" s="17" t="s">
        <v>17</v>
      </c>
      <c r="J747" s="27">
        <v>0.1</v>
      </c>
      <c r="K747" s="17" t="s">
        <v>935</v>
      </c>
      <c r="L747" s="32">
        <v>18</v>
      </c>
      <c r="M747" s="32">
        <f>_xlfn.XLOOKUP(Table2_1[[#This Row],[Product Code]],Product_Code,Unit_Price,0)</f>
        <v>36</v>
      </c>
      <c r="N747" s="31">
        <f>DATEDIF(Table2_1[[#This Row],[Buyer Date of Birth]],Table2_1[[#This Row],[Transaction  Date]],"Y")</f>
        <v>33</v>
      </c>
      <c r="O747" s="33">
        <v>4986</v>
      </c>
      <c r="P747" s="33">
        <f>Table2_1[[#This Row],[Quantity Purchased]]*Table2_1[[#This Row],[UnitPrice]]*(1-Table2_1[[#This Row],[Discount]])</f>
        <v>8974.8000000000011</v>
      </c>
      <c r="Q747" s="33">
        <f>Table2_1[[#This Row],[Revenue]]-Table2_1[[#This Row],[COGS]]</f>
        <v>3988.8000000000011</v>
      </c>
      <c r="R747" s="39">
        <f>WEEKDAY(Table2_1[[#This Row],[Transaction  Date]])</f>
        <v>5</v>
      </c>
      <c r="S747" s="17" t="str">
        <f>IF(WEEKDAY(Table2_1[[#This Row],[Transaction  Date]],2)&lt;=5,"Weekday","Weekend")</f>
        <v>Weekday</v>
      </c>
      <c r="T747" s="37" t="str">
        <f>FLOOR(Table2_1[[#This Row],[Age]],15)&amp; "-"&amp; FLOOR(Table2_1[[#This Row],[Age]],15)+14</f>
        <v>30-44</v>
      </c>
    </row>
    <row r="748" spans="1:20" x14ac:dyDescent="0.3">
      <c r="A748" s="18">
        <v>45449</v>
      </c>
      <c r="B748" s="17" t="s">
        <v>1610</v>
      </c>
      <c r="C748" s="17" t="s">
        <v>83</v>
      </c>
      <c r="D748" s="18">
        <v>20775</v>
      </c>
      <c r="E748" s="16" t="s">
        <v>68</v>
      </c>
      <c r="F748" s="31">
        <v>138</v>
      </c>
      <c r="G748" s="17" t="s">
        <v>47</v>
      </c>
      <c r="H748" s="17" t="s">
        <v>39</v>
      </c>
      <c r="I748" s="17" t="s">
        <v>17</v>
      </c>
      <c r="J748" s="27">
        <v>0.1</v>
      </c>
      <c r="K748" s="17" t="s">
        <v>931</v>
      </c>
      <c r="L748" s="32">
        <v>7</v>
      </c>
      <c r="M748" s="32">
        <f>_xlfn.XLOOKUP(Table2_1[[#This Row],[Product Code]],Product_Code,Unit_Price,0)</f>
        <v>9</v>
      </c>
      <c r="N748" s="31">
        <f>DATEDIF(Table2_1[[#This Row],[Buyer Date of Birth]],Table2_1[[#This Row],[Transaction  Date]],"Y")</f>
        <v>67</v>
      </c>
      <c r="O748" s="33">
        <v>966</v>
      </c>
      <c r="P748" s="33">
        <f>Table2_1[[#This Row],[Quantity Purchased]]*Table2_1[[#This Row],[UnitPrice]]*(1-Table2_1[[#This Row],[Discount]])</f>
        <v>1117.8</v>
      </c>
      <c r="Q748" s="33">
        <f>Table2_1[[#This Row],[Revenue]]-Table2_1[[#This Row],[COGS]]</f>
        <v>151.79999999999995</v>
      </c>
      <c r="R748" s="39">
        <f>WEEKDAY(Table2_1[[#This Row],[Transaction  Date]])</f>
        <v>5</v>
      </c>
      <c r="S748" s="17" t="str">
        <f>IF(WEEKDAY(Table2_1[[#This Row],[Transaction  Date]],2)&lt;=5,"Weekday","Weekend")</f>
        <v>Weekday</v>
      </c>
      <c r="T748" s="37" t="str">
        <f>FLOOR(Table2_1[[#This Row],[Age]],15)&amp; "-"&amp; FLOOR(Table2_1[[#This Row],[Age]],15)+14</f>
        <v>60-74</v>
      </c>
    </row>
    <row r="749" spans="1:20" x14ac:dyDescent="0.3">
      <c r="A749" s="18">
        <v>45450</v>
      </c>
      <c r="B749" s="17" t="s">
        <v>1611</v>
      </c>
      <c r="C749" s="17" t="s">
        <v>83</v>
      </c>
      <c r="D749" s="18">
        <v>34070</v>
      </c>
      <c r="E749" s="16" t="s">
        <v>14</v>
      </c>
      <c r="F749" s="31">
        <v>309</v>
      </c>
      <c r="G749" s="17" t="s">
        <v>59</v>
      </c>
      <c r="H749" s="17" t="s">
        <v>48</v>
      </c>
      <c r="I749" s="17" t="s">
        <v>17</v>
      </c>
      <c r="J749" s="27">
        <v>0.1</v>
      </c>
      <c r="K749" s="17" t="s">
        <v>932</v>
      </c>
      <c r="L749" s="32">
        <v>19</v>
      </c>
      <c r="M749" s="32">
        <f>_xlfn.XLOOKUP(Table2_1[[#This Row],[Product Code]],Product_Code,Unit_Price,0)</f>
        <v>23</v>
      </c>
      <c r="N749" s="31">
        <f>DATEDIF(Table2_1[[#This Row],[Buyer Date of Birth]],Table2_1[[#This Row],[Transaction  Date]],"Y")</f>
        <v>31</v>
      </c>
      <c r="O749" s="33">
        <v>5871</v>
      </c>
      <c r="P749" s="33">
        <f>Table2_1[[#This Row],[Quantity Purchased]]*Table2_1[[#This Row],[UnitPrice]]*(1-Table2_1[[#This Row],[Discount]])</f>
        <v>6396.3</v>
      </c>
      <c r="Q749" s="33">
        <f>Table2_1[[#This Row],[Revenue]]-Table2_1[[#This Row],[COGS]]</f>
        <v>525.30000000000018</v>
      </c>
      <c r="R749" s="39">
        <f>WEEKDAY(Table2_1[[#This Row],[Transaction  Date]])</f>
        <v>6</v>
      </c>
      <c r="S749" s="17" t="str">
        <f>IF(WEEKDAY(Table2_1[[#This Row],[Transaction  Date]],2)&lt;=5,"Weekday","Weekend")</f>
        <v>Weekday</v>
      </c>
      <c r="T749" s="37" t="str">
        <f>FLOOR(Table2_1[[#This Row],[Age]],15)&amp; "-"&amp; FLOOR(Table2_1[[#This Row],[Age]],15)+14</f>
        <v>30-44</v>
      </c>
    </row>
    <row r="750" spans="1:20" x14ac:dyDescent="0.3">
      <c r="A750" s="18">
        <v>45451</v>
      </c>
      <c r="B750" s="17" t="s">
        <v>1612</v>
      </c>
      <c r="C750" s="17" t="s">
        <v>55</v>
      </c>
      <c r="D750" s="18">
        <v>20483</v>
      </c>
      <c r="E750" s="16" t="s">
        <v>20</v>
      </c>
      <c r="F750" s="31">
        <v>214</v>
      </c>
      <c r="G750" s="17" t="s">
        <v>15</v>
      </c>
      <c r="H750" s="17" t="s">
        <v>39</v>
      </c>
      <c r="I750" s="17" t="s">
        <v>17</v>
      </c>
      <c r="J750" s="27">
        <v>0.1</v>
      </c>
      <c r="K750" s="17" t="s">
        <v>929</v>
      </c>
      <c r="L750" s="32">
        <v>10</v>
      </c>
      <c r="M750" s="32">
        <f>_xlfn.XLOOKUP(Table2_1[[#This Row],[Product Code]],Product_Code,Unit_Price,0)</f>
        <v>14</v>
      </c>
      <c r="N750" s="31">
        <f>DATEDIF(Table2_1[[#This Row],[Buyer Date of Birth]],Table2_1[[#This Row],[Transaction  Date]],"Y")</f>
        <v>68</v>
      </c>
      <c r="O750" s="33">
        <v>2140</v>
      </c>
      <c r="P750" s="33">
        <f>Table2_1[[#This Row],[Quantity Purchased]]*Table2_1[[#This Row],[UnitPrice]]*(1-Table2_1[[#This Row],[Discount]])</f>
        <v>2696.4</v>
      </c>
      <c r="Q750" s="33">
        <f>Table2_1[[#This Row],[Revenue]]-Table2_1[[#This Row],[COGS]]</f>
        <v>556.40000000000009</v>
      </c>
      <c r="R750" s="39">
        <f>WEEKDAY(Table2_1[[#This Row],[Transaction  Date]])</f>
        <v>7</v>
      </c>
      <c r="S750" s="17" t="str">
        <f>IF(WEEKDAY(Table2_1[[#This Row],[Transaction  Date]],2)&lt;=5,"Weekday","Weekend")</f>
        <v>Weekend</v>
      </c>
      <c r="T750" s="37" t="str">
        <f>FLOOR(Table2_1[[#This Row],[Age]],15)&amp; "-"&amp; FLOOR(Table2_1[[#This Row],[Age]],15)+14</f>
        <v>60-74</v>
      </c>
    </row>
    <row r="751" spans="1:20" x14ac:dyDescent="0.3">
      <c r="A751" s="18">
        <v>45451</v>
      </c>
      <c r="B751" s="17" t="s">
        <v>1882</v>
      </c>
      <c r="C751" s="17" t="s">
        <v>83</v>
      </c>
      <c r="D751" s="18">
        <v>25092</v>
      </c>
      <c r="E751" s="16" t="s">
        <v>20</v>
      </c>
      <c r="F751" s="31">
        <v>445</v>
      </c>
      <c r="G751" s="17" t="s">
        <v>34</v>
      </c>
      <c r="H751" s="17" t="s">
        <v>52</v>
      </c>
      <c r="I751" s="17" t="s">
        <v>23</v>
      </c>
      <c r="J751" s="27">
        <v>0.1</v>
      </c>
      <c r="K751" s="17" t="s">
        <v>930</v>
      </c>
      <c r="L751" s="32">
        <v>14</v>
      </c>
      <c r="M751" s="32">
        <f>_xlfn.XLOOKUP(Table2_1[[#This Row],[Product Code]],Product_Code,Unit_Price,0)</f>
        <v>28</v>
      </c>
      <c r="N751" s="31">
        <f>DATEDIF(Table2_1[[#This Row],[Buyer Date of Birth]],Table2_1[[#This Row],[Transaction  Date]],"Y")</f>
        <v>55</v>
      </c>
      <c r="O751" s="33">
        <v>6230</v>
      </c>
      <c r="P751" s="33">
        <f>Table2_1[[#This Row],[Quantity Purchased]]*Table2_1[[#This Row],[UnitPrice]]*(1-Table2_1[[#This Row],[Discount]])</f>
        <v>11214</v>
      </c>
      <c r="Q751" s="33">
        <f>Table2_1[[#This Row],[Revenue]]-Table2_1[[#This Row],[COGS]]</f>
        <v>4984</v>
      </c>
      <c r="R751" s="39">
        <f>WEEKDAY(Table2_1[[#This Row],[Transaction  Date]])</f>
        <v>7</v>
      </c>
      <c r="S751" s="17" t="str">
        <f>IF(WEEKDAY(Table2_1[[#This Row],[Transaction  Date]],2)&lt;=5,"Weekday","Weekend")</f>
        <v>Weekend</v>
      </c>
      <c r="T751" s="37" t="str">
        <f>FLOOR(Table2_1[[#This Row],[Age]],15)&amp; "-"&amp; FLOOR(Table2_1[[#This Row],[Age]],15)+14</f>
        <v>45-59</v>
      </c>
    </row>
    <row r="752" spans="1:20" x14ac:dyDescent="0.3">
      <c r="A752" s="18">
        <v>45453</v>
      </c>
      <c r="B752" s="17" t="s">
        <v>1613</v>
      </c>
      <c r="C752" s="17" t="s">
        <v>83</v>
      </c>
      <c r="D752" s="18">
        <v>34253</v>
      </c>
      <c r="E752" s="16" t="s">
        <v>33</v>
      </c>
      <c r="F752" s="31">
        <v>283</v>
      </c>
      <c r="G752" s="17" t="s">
        <v>15</v>
      </c>
      <c r="H752" s="17" t="s">
        <v>48</v>
      </c>
      <c r="I752" s="17" t="s">
        <v>17</v>
      </c>
      <c r="J752" s="27">
        <v>0.1</v>
      </c>
      <c r="K752" s="17" t="s">
        <v>929</v>
      </c>
      <c r="L752" s="32">
        <v>10</v>
      </c>
      <c r="M752" s="32">
        <f>_xlfn.XLOOKUP(Table2_1[[#This Row],[Product Code]],Product_Code,Unit_Price,0)</f>
        <v>14</v>
      </c>
      <c r="N752" s="31">
        <f>DATEDIF(Table2_1[[#This Row],[Buyer Date of Birth]],Table2_1[[#This Row],[Transaction  Date]],"Y")</f>
        <v>30</v>
      </c>
      <c r="O752" s="33">
        <v>2830</v>
      </c>
      <c r="P752" s="33">
        <f>Table2_1[[#This Row],[Quantity Purchased]]*Table2_1[[#This Row],[UnitPrice]]*(1-Table2_1[[#This Row],[Discount]])</f>
        <v>3565.8</v>
      </c>
      <c r="Q752" s="33">
        <f>Table2_1[[#This Row],[Revenue]]-Table2_1[[#This Row],[COGS]]</f>
        <v>735.80000000000018</v>
      </c>
      <c r="R752" s="39">
        <f>WEEKDAY(Table2_1[[#This Row],[Transaction  Date]])</f>
        <v>2</v>
      </c>
      <c r="S752" s="17" t="str">
        <f>IF(WEEKDAY(Table2_1[[#This Row],[Transaction  Date]],2)&lt;=5,"Weekday","Weekend")</f>
        <v>Weekday</v>
      </c>
      <c r="T752" s="37" t="str">
        <f>FLOOR(Table2_1[[#This Row],[Age]],15)&amp; "-"&amp; FLOOR(Table2_1[[#This Row],[Age]],15)+14</f>
        <v>30-44</v>
      </c>
    </row>
    <row r="753" spans="1:20" x14ac:dyDescent="0.3">
      <c r="A753" s="18">
        <v>45453</v>
      </c>
      <c r="B753" s="17" t="s">
        <v>1614</v>
      </c>
      <c r="C753" s="17" t="s">
        <v>71</v>
      </c>
      <c r="D753" s="18">
        <v>17082</v>
      </c>
      <c r="E753" s="16" t="s">
        <v>20</v>
      </c>
      <c r="F753" s="31">
        <v>411</v>
      </c>
      <c r="G753" s="17" t="s">
        <v>21</v>
      </c>
      <c r="H753" s="17" t="s">
        <v>52</v>
      </c>
      <c r="I753" s="17" t="s">
        <v>17</v>
      </c>
      <c r="J753" s="27">
        <v>0.1</v>
      </c>
      <c r="K753" s="17" t="s">
        <v>934</v>
      </c>
      <c r="L753" s="32">
        <v>10</v>
      </c>
      <c r="M753" s="32">
        <f>_xlfn.XLOOKUP(Table2_1[[#This Row],[Product Code]],Product_Code,Unit_Price,0)</f>
        <v>45</v>
      </c>
      <c r="N753" s="31">
        <f>DATEDIF(Table2_1[[#This Row],[Buyer Date of Birth]],Table2_1[[#This Row],[Transaction  Date]],"Y")</f>
        <v>77</v>
      </c>
      <c r="O753" s="33">
        <v>4110</v>
      </c>
      <c r="P753" s="33">
        <f>Table2_1[[#This Row],[Quantity Purchased]]*Table2_1[[#This Row],[UnitPrice]]*(1-Table2_1[[#This Row],[Discount]])</f>
        <v>16645.5</v>
      </c>
      <c r="Q753" s="33">
        <f>Table2_1[[#This Row],[Revenue]]-Table2_1[[#This Row],[COGS]]</f>
        <v>12535.5</v>
      </c>
      <c r="R753" s="39">
        <f>WEEKDAY(Table2_1[[#This Row],[Transaction  Date]])</f>
        <v>2</v>
      </c>
      <c r="S753" s="17" t="str">
        <f>IF(WEEKDAY(Table2_1[[#This Row],[Transaction  Date]],2)&lt;=5,"Weekday","Weekend")</f>
        <v>Weekday</v>
      </c>
      <c r="T753" s="37" t="str">
        <f>FLOOR(Table2_1[[#This Row],[Age]],15)&amp; "-"&amp; FLOOR(Table2_1[[#This Row],[Age]],15)+14</f>
        <v>75-89</v>
      </c>
    </row>
    <row r="754" spans="1:20" x14ac:dyDescent="0.3">
      <c r="A754" s="18">
        <v>45453</v>
      </c>
      <c r="B754" s="17" t="s">
        <v>1615</v>
      </c>
      <c r="C754" s="17" t="s">
        <v>32</v>
      </c>
      <c r="D754" s="18">
        <v>37804</v>
      </c>
      <c r="E754" s="16" t="s">
        <v>68</v>
      </c>
      <c r="F754" s="31">
        <v>85</v>
      </c>
      <c r="G754" s="17" t="s">
        <v>47</v>
      </c>
      <c r="H754" s="17" t="s">
        <v>52</v>
      </c>
      <c r="I754" s="17" t="s">
        <v>17</v>
      </c>
      <c r="J754" s="27">
        <v>0.1</v>
      </c>
      <c r="K754" s="17" t="s">
        <v>931</v>
      </c>
      <c r="L754" s="32">
        <v>7</v>
      </c>
      <c r="M754" s="32">
        <f>_xlfn.XLOOKUP(Table2_1[[#This Row],[Product Code]],Product_Code,Unit_Price,0)</f>
        <v>9</v>
      </c>
      <c r="N754" s="31">
        <f>DATEDIF(Table2_1[[#This Row],[Buyer Date of Birth]],Table2_1[[#This Row],[Transaction  Date]],"Y")</f>
        <v>20</v>
      </c>
      <c r="O754" s="33">
        <v>595</v>
      </c>
      <c r="P754" s="33">
        <f>Table2_1[[#This Row],[Quantity Purchased]]*Table2_1[[#This Row],[UnitPrice]]*(1-Table2_1[[#This Row],[Discount]])</f>
        <v>688.5</v>
      </c>
      <c r="Q754" s="33">
        <f>Table2_1[[#This Row],[Revenue]]-Table2_1[[#This Row],[COGS]]</f>
        <v>93.5</v>
      </c>
      <c r="R754" s="39">
        <f>WEEKDAY(Table2_1[[#This Row],[Transaction  Date]])</f>
        <v>2</v>
      </c>
      <c r="S754" s="17" t="str">
        <f>IF(WEEKDAY(Table2_1[[#This Row],[Transaction  Date]],2)&lt;=5,"Weekday","Weekend")</f>
        <v>Weekday</v>
      </c>
      <c r="T754" s="37" t="str">
        <f>FLOOR(Table2_1[[#This Row],[Age]],15)&amp; "-"&amp; FLOOR(Table2_1[[#This Row],[Age]],15)+14</f>
        <v>15-29</v>
      </c>
    </row>
    <row r="755" spans="1:20" x14ac:dyDescent="0.3">
      <c r="A755" s="18">
        <v>45453</v>
      </c>
      <c r="B755" s="17" t="s">
        <v>1616</v>
      </c>
      <c r="C755" s="17" t="s">
        <v>78</v>
      </c>
      <c r="D755" s="18">
        <v>18734</v>
      </c>
      <c r="E755" s="16" t="s">
        <v>14</v>
      </c>
      <c r="F755" s="31">
        <v>287</v>
      </c>
      <c r="G755" s="17" t="s">
        <v>42</v>
      </c>
      <c r="H755" s="17" t="s">
        <v>35</v>
      </c>
      <c r="I755" s="17" t="s">
        <v>17</v>
      </c>
      <c r="J755" s="27">
        <v>0.1</v>
      </c>
      <c r="K755" s="17" t="s">
        <v>926</v>
      </c>
      <c r="L755" s="32">
        <v>10</v>
      </c>
      <c r="M755" s="32">
        <f>_xlfn.XLOOKUP(Table2_1[[#This Row],[Product Code]],Product_Code,Unit_Price,0)</f>
        <v>11</v>
      </c>
      <c r="N755" s="31">
        <f>DATEDIF(Table2_1[[#This Row],[Buyer Date of Birth]],Table2_1[[#This Row],[Transaction  Date]],"Y")</f>
        <v>73</v>
      </c>
      <c r="O755" s="33">
        <v>2870</v>
      </c>
      <c r="P755" s="33">
        <f>Table2_1[[#This Row],[Quantity Purchased]]*Table2_1[[#This Row],[UnitPrice]]*(1-Table2_1[[#This Row],[Discount]])</f>
        <v>2841.3</v>
      </c>
      <c r="Q755" s="33">
        <f>Table2_1[[#This Row],[Revenue]]-Table2_1[[#This Row],[COGS]]</f>
        <v>-28.699999999999818</v>
      </c>
      <c r="R755" s="39">
        <f>WEEKDAY(Table2_1[[#This Row],[Transaction  Date]])</f>
        <v>2</v>
      </c>
      <c r="S755" s="17" t="str">
        <f>IF(WEEKDAY(Table2_1[[#This Row],[Transaction  Date]],2)&lt;=5,"Weekday","Weekend")</f>
        <v>Weekday</v>
      </c>
      <c r="T755" s="37" t="str">
        <f>FLOOR(Table2_1[[#This Row],[Age]],15)&amp; "-"&amp; FLOOR(Table2_1[[#This Row],[Age]],15)+14</f>
        <v>60-74</v>
      </c>
    </row>
    <row r="756" spans="1:20" x14ac:dyDescent="0.3">
      <c r="A756" s="18">
        <v>45453</v>
      </c>
      <c r="B756" s="17" t="s">
        <v>1617</v>
      </c>
      <c r="C756" s="17" t="s">
        <v>55</v>
      </c>
      <c r="D756" s="18">
        <v>19876</v>
      </c>
      <c r="E756" s="16" t="s">
        <v>33</v>
      </c>
      <c r="F756" s="31">
        <v>305</v>
      </c>
      <c r="G756" s="17" t="s">
        <v>21</v>
      </c>
      <c r="H756" s="17" t="s">
        <v>48</v>
      </c>
      <c r="I756" s="17" t="s">
        <v>17</v>
      </c>
      <c r="J756" s="27">
        <v>0.1</v>
      </c>
      <c r="K756" s="17" t="s">
        <v>934</v>
      </c>
      <c r="L756" s="32">
        <v>10</v>
      </c>
      <c r="M756" s="32">
        <f>_xlfn.XLOOKUP(Table2_1[[#This Row],[Product Code]],Product_Code,Unit_Price,0)</f>
        <v>45</v>
      </c>
      <c r="N756" s="31">
        <f>DATEDIF(Table2_1[[#This Row],[Buyer Date of Birth]],Table2_1[[#This Row],[Transaction  Date]],"Y")</f>
        <v>70</v>
      </c>
      <c r="O756" s="33">
        <v>3050</v>
      </c>
      <c r="P756" s="33">
        <f>Table2_1[[#This Row],[Quantity Purchased]]*Table2_1[[#This Row],[UnitPrice]]*(1-Table2_1[[#This Row],[Discount]])</f>
        <v>12352.5</v>
      </c>
      <c r="Q756" s="33">
        <f>Table2_1[[#This Row],[Revenue]]-Table2_1[[#This Row],[COGS]]</f>
        <v>9302.5</v>
      </c>
      <c r="R756" s="39">
        <f>WEEKDAY(Table2_1[[#This Row],[Transaction  Date]])</f>
        <v>2</v>
      </c>
      <c r="S756" s="17" t="str">
        <f>IF(WEEKDAY(Table2_1[[#This Row],[Transaction  Date]],2)&lt;=5,"Weekday","Weekend")</f>
        <v>Weekday</v>
      </c>
      <c r="T756" s="37" t="str">
        <f>FLOOR(Table2_1[[#This Row],[Age]],15)&amp; "-"&amp; FLOOR(Table2_1[[#This Row],[Age]],15)+14</f>
        <v>60-74</v>
      </c>
    </row>
    <row r="757" spans="1:20" x14ac:dyDescent="0.3">
      <c r="A757" s="18">
        <v>45454</v>
      </c>
      <c r="B757" s="17" t="s">
        <v>1618</v>
      </c>
      <c r="C757" s="17" t="s">
        <v>55</v>
      </c>
      <c r="D757" s="18">
        <v>33248</v>
      </c>
      <c r="E757" s="16" t="s">
        <v>68</v>
      </c>
      <c r="F757" s="31">
        <v>299</v>
      </c>
      <c r="G757" s="17" t="s">
        <v>15</v>
      </c>
      <c r="H757" s="17" t="s">
        <v>52</v>
      </c>
      <c r="I757" s="17" t="s">
        <v>17</v>
      </c>
      <c r="J757" s="27">
        <v>0.1</v>
      </c>
      <c r="K757" s="17" t="s">
        <v>929</v>
      </c>
      <c r="L757" s="32">
        <v>10</v>
      </c>
      <c r="M757" s="32">
        <f>_xlfn.XLOOKUP(Table2_1[[#This Row],[Product Code]],Product_Code,Unit_Price,0)</f>
        <v>14</v>
      </c>
      <c r="N757" s="31">
        <f>DATEDIF(Table2_1[[#This Row],[Buyer Date of Birth]],Table2_1[[#This Row],[Transaction  Date]],"Y")</f>
        <v>33</v>
      </c>
      <c r="O757" s="33">
        <v>2990</v>
      </c>
      <c r="P757" s="33">
        <f>Table2_1[[#This Row],[Quantity Purchased]]*Table2_1[[#This Row],[UnitPrice]]*(1-Table2_1[[#This Row],[Discount]])</f>
        <v>3767.4</v>
      </c>
      <c r="Q757" s="33">
        <f>Table2_1[[#This Row],[Revenue]]-Table2_1[[#This Row],[COGS]]</f>
        <v>777.40000000000009</v>
      </c>
      <c r="R757" s="39">
        <f>WEEKDAY(Table2_1[[#This Row],[Transaction  Date]])</f>
        <v>3</v>
      </c>
      <c r="S757" s="17" t="str">
        <f>IF(WEEKDAY(Table2_1[[#This Row],[Transaction  Date]],2)&lt;=5,"Weekday","Weekend")</f>
        <v>Weekday</v>
      </c>
      <c r="T757" s="37" t="str">
        <f>FLOOR(Table2_1[[#This Row],[Age]],15)&amp; "-"&amp; FLOOR(Table2_1[[#This Row],[Age]],15)+14</f>
        <v>30-44</v>
      </c>
    </row>
    <row r="758" spans="1:20" x14ac:dyDescent="0.3">
      <c r="A758" s="18">
        <v>45454</v>
      </c>
      <c r="B758" s="17" t="s">
        <v>1619</v>
      </c>
      <c r="C758" s="17" t="s">
        <v>26</v>
      </c>
      <c r="D758" s="18">
        <v>38766</v>
      </c>
      <c r="E758" s="16" t="s">
        <v>14</v>
      </c>
      <c r="F758" s="31">
        <v>389</v>
      </c>
      <c r="G758" s="17" t="s">
        <v>56</v>
      </c>
      <c r="H758" s="17" t="s">
        <v>52</v>
      </c>
      <c r="I758" s="17" t="s">
        <v>17</v>
      </c>
      <c r="J758" s="27">
        <v>0.1</v>
      </c>
      <c r="K758" s="17" t="s">
        <v>935</v>
      </c>
      <c r="L758" s="32">
        <v>18</v>
      </c>
      <c r="M758" s="32">
        <f>_xlfn.XLOOKUP(Table2_1[[#This Row],[Product Code]],Product_Code,Unit_Price,0)</f>
        <v>36</v>
      </c>
      <c r="N758" s="31">
        <f>DATEDIF(Table2_1[[#This Row],[Buyer Date of Birth]],Table2_1[[#This Row],[Transaction  Date]],"Y")</f>
        <v>18</v>
      </c>
      <c r="O758" s="33">
        <v>7002</v>
      </c>
      <c r="P758" s="33">
        <f>Table2_1[[#This Row],[Quantity Purchased]]*Table2_1[[#This Row],[UnitPrice]]*(1-Table2_1[[#This Row],[Discount]])</f>
        <v>12603.6</v>
      </c>
      <c r="Q758" s="33">
        <f>Table2_1[[#This Row],[Revenue]]-Table2_1[[#This Row],[COGS]]</f>
        <v>5601.6</v>
      </c>
      <c r="R758" s="39">
        <f>WEEKDAY(Table2_1[[#This Row],[Transaction  Date]])</f>
        <v>3</v>
      </c>
      <c r="S758" s="17" t="str">
        <f>IF(WEEKDAY(Table2_1[[#This Row],[Transaction  Date]],2)&lt;=5,"Weekday","Weekend")</f>
        <v>Weekday</v>
      </c>
      <c r="T758" s="37" t="str">
        <f>FLOOR(Table2_1[[#This Row],[Age]],15)&amp; "-"&amp; FLOOR(Table2_1[[#This Row],[Age]],15)+14</f>
        <v>15-29</v>
      </c>
    </row>
    <row r="759" spans="1:20" x14ac:dyDescent="0.3">
      <c r="A759" s="18">
        <v>45454</v>
      </c>
      <c r="B759" s="17" t="s">
        <v>1620</v>
      </c>
      <c r="C759" s="17" t="s">
        <v>32</v>
      </c>
      <c r="D759" s="18">
        <v>35995</v>
      </c>
      <c r="E759" s="16" t="s">
        <v>20</v>
      </c>
      <c r="F759" s="31">
        <v>150</v>
      </c>
      <c r="G759" s="17" t="s">
        <v>21</v>
      </c>
      <c r="H759" s="17" t="s">
        <v>43</v>
      </c>
      <c r="I759" s="17" t="s">
        <v>17</v>
      </c>
      <c r="J759" s="27">
        <v>0.1</v>
      </c>
      <c r="K759" s="17" t="s">
        <v>934</v>
      </c>
      <c r="L759" s="32">
        <v>10</v>
      </c>
      <c r="M759" s="32">
        <f>_xlfn.XLOOKUP(Table2_1[[#This Row],[Product Code]],Product_Code,Unit_Price,0)</f>
        <v>45</v>
      </c>
      <c r="N759" s="31">
        <f>DATEDIF(Table2_1[[#This Row],[Buyer Date of Birth]],Table2_1[[#This Row],[Transaction  Date]],"Y")</f>
        <v>25</v>
      </c>
      <c r="O759" s="33">
        <v>1500</v>
      </c>
      <c r="P759" s="33">
        <f>Table2_1[[#This Row],[Quantity Purchased]]*Table2_1[[#This Row],[UnitPrice]]*(1-Table2_1[[#This Row],[Discount]])</f>
        <v>6075</v>
      </c>
      <c r="Q759" s="33">
        <f>Table2_1[[#This Row],[Revenue]]-Table2_1[[#This Row],[COGS]]</f>
        <v>4575</v>
      </c>
      <c r="R759" s="39">
        <f>WEEKDAY(Table2_1[[#This Row],[Transaction  Date]])</f>
        <v>3</v>
      </c>
      <c r="S759" s="17" t="str">
        <f>IF(WEEKDAY(Table2_1[[#This Row],[Transaction  Date]],2)&lt;=5,"Weekday","Weekend")</f>
        <v>Weekday</v>
      </c>
      <c r="T759" s="37" t="str">
        <f>FLOOR(Table2_1[[#This Row],[Age]],15)&amp; "-"&amp; FLOOR(Table2_1[[#This Row],[Age]],15)+14</f>
        <v>15-29</v>
      </c>
    </row>
    <row r="760" spans="1:20" x14ac:dyDescent="0.3">
      <c r="A760" s="18">
        <v>45454</v>
      </c>
      <c r="B760" s="17" t="s">
        <v>1621</v>
      </c>
      <c r="C760" s="17" t="s">
        <v>71</v>
      </c>
      <c r="D760" s="18">
        <v>37869</v>
      </c>
      <c r="E760" s="16" t="s">
        <v>68</v>
      </c>
      <c r="F760" s="31">
        <v>251</v>
      </c>
      <c r="G760" s="17" t="s">
        <v>59</v>
      </c>
      <c r="H760" s="17" t="s">
        <v>52</v>
      </c>
      <c r="I760" s="17" t="s">
        <v>17</v>
      </c>
      <c r="J760" s="27">
        <v>0.1</v>
      </c>
      <c r="K760" s="17" t="s">
        <v>932</v>
      </c>
      <c r="L760" s="32">
        <v>19</v>
      </c>
      <c r="M760" s="32">
        <f>_xlfn.XLOOKUP(Table2_1[[#This Row],[Product Code]],Product_Code,Unit_Price,0)</f>
        <v>23</v>
      </c>
      <c r="N760" s="31">
        <f>DATEDIF(Table2_1[[#This Row],[Buyer Date of Birth]],Table2_1[[#This Row],[Transaction  Date]],"Y")</f>
        <v>20</v>
      </c>
      <c r="O760" s="33">
        <v>4769</v>
      </c>
      <c r="P760" s="33">
        <f>Table2_1[[#This Row],[Quantity Purchased]]*Table2_1[[#This Row],[UnitPrice]]*(1-Table2_1[[#This Row],[Discount]])</f>
        <v>5195.7</v>
      </c>
      <c r="Q760" s="33">
        <f>Table2_1[[#This Row],[Revenue]]-Table2_1[[#This Row],[COGS]]</f>
        <v>426.69999999999982</v>
      </c>
      <c r="R760" s="39">
        <f>WEEKDAY(Table2_1[[#This Row],[Transaction  Date]])</f>
        <v>3</v>
      </c>
      <c r="S760" s="17" t="str">
        <f>IF(WEEKDAY(Table2_1[[#This Row],[Transaction  Date]],2)&lt;=5,"Weekday","Weekend")</f>
        <v>Weekday</v>
      </c>
      <c r="T760" s="37" t="str">
        <f>FLOOR(Table2_1[[#This Row],[Age]],15)&amp; "-"&amp; FLOOR(Table2_1[[#This Row],[Age]],15)+14</f>
        <v>15-29</v>
      </c>
    </row>
    <row r="761" spans="1:20" x14ac:dyDescent="0.3">
      <c r="A761" s="18">
        <v>45454</v>
      </c>
      <c r="B761" s="17" t="s">
        <v>1622</v>
      </c>
      <c r="C761" s="17" t="s">
        <v>55</v>
      </c>
      <c r="D761" s="18">
        <v>19364</v>
      </c>
      <c r="E761" s="16" t="s">
        <v>33</v>
      </c>
      <c r="F761" s="31">
        <v>223</v>
      </c>
      <c r="G761" s="17" t="s">
        <v>42</v>
      </c>
      <c r="H761" s="17" t="s">
        <v>52</v>
      </c>
      <c r="I761" s="17" t="s">
        <v>23</v>
      </c>
      <c r="J761" s="27">
        <v>0.1</v>
      </c>
      <c r="K761" s="17" t="s">
        <v>926</v>
      </c>
      <c r="L761" s="32">
        <v>10</v>
      </c>
      <c r="M761" s="32">
        <f>_xlfn.XLOOKUP(Table2_1[[#This Row],[Product Code]],Product_Code,Unit_Price,0)</f>
        <v>11</v>
      </c>
      <c r="N761" s="31">
        <f>DATEDIF(Table2_1[[#This Row],[Buyer Date of Birth]],Table2_1[[#This Row],[Transaction  Date]],"Y")</f>
        <v>71</v>
      </c>
      <c r="O761" s="33">
        <v>2230</v>
      </c>
      <c r="P761" s="33">
        <f>Table2_1[[#This Row],[Quantity Purchased]]*Table2_1[[#This Row],[UnitPrice]]*(1-Table2_1[[#This Row],[Discount]])</f>
        <v>2207.7000000000003</v>
      </c>
      <c r="Q761" s="33">
        <f>Table2_1[[#This Row],[Revenue]]-Table2_1[[#This Row],[COGS]]</f>
        <v>-22.299999999999727</v>
      </c>
      <c r="R761" s="39">
        <f>WEEKDAY(Table2_1[[#This Row],[Transaction  Date]])</f>
        <v>3</v>
      </c>
      <c r="S761" s="17" t="str">
        <f>IF(WEEKDAY(Table2_1[[#This Row],[Transaction  Date]],2)&lt;=5,"Weekday","Weekend")</f>
        <v>Weekday</v>
      </c>
      <c r="T761" s="37" t="str">
        <f>FLOOR(Table2_1[[#This Row],[Age]],15)&amp; "-"&amp; FLOOR(Table2_1[[#This Row],[Age]],15)+14</f>
        <v>60-74</v>
      </c>
    </row>
    <row r="762" spans="1:20" x14ac:dyDescent="0.3">
      <c r="A762" s="18">
        <v>45454</v>
      </c>
      <c r="B762" s="17" t="s">
        <v>1623</v>
      </c>
      <c r="C762" s="17" t="s">
        <v>83</v>
      </c>
      <c r="D762" s="18">
        <v>29357</v>
      </c>
      <c r="E762" s="16" t="s">
        <v>68</v>
      </c>
      <c r="F762" s="31">
        <v>333</v>
      </c>
      <c r="G762" s="17" t="s">
        <v>21</v>
      </c>
      <c r="H762" s="17" t="s">
        <v>48</v>
      </c>
      <c r="I762" s="17" t="s">
        <v>17</v>
      </c>
      <c r="J762" s="27">
        <v>0.1</v>
      </c>
      <c r="K762" s="17" t="s">
        <v>934</v>
      </c>
      <c r="L762" s="32">
        <v>10</v>
      </c>
      <c r="M762" s="32">
        <f>_xlfn.XLOOKUP(Table2_1[[#This Row],[Product Code]],Product_Code,Unit_Price,0)</f>
        <v>45</v>
      </c>
      <c r="N762" s="31">
        <f>DATEDIF(Table2_1[[#This Row],[Buyer Date of Birth]],Table2_1[[#This Row],[Transaction  Date]],"Y")</f>
        <v>44</v>
      </c>
      <c r="O762" s="33">
        <v>3330</v>
      </c>
      <c r="P762" s="33">
        <f>Table2_1[[#This Row],[Quantity Purchased]]*Table2_1[[#This Row],[UnitPrice]]*(1-Table2_1[[#This Row],[Discount]])</f>
        <v>13486.5</v>
      </c>
      <c r="Q762" s="33">
        <f>Table2_1[[#This Row],[Revenue]]-Table2_1[[#This Row],[COGS]]</f>
        <v>10156.5</v>
      </c>
      <c r="R762" s="39">
        <f>WEEKDAY(Table2_1[[#This Row],[Transaction  Date]])</f>
        <v>3</v>
      </c>
      <c r="S762" s="17" t="str">
        <f>IF(WEEKDAY(Table2_1[[#This Row],[Transaction  Date]],2)&lt;=5,"Weekday","Weekend")</f>
        <v>Weekday</v>
      </c>
      <c r="T762" s="37" t="str">
        <f>FLOOR(Table2_1[[#This Row],[Age]],15)&amp; "-"&amp; FLOOR(Table2_1[[#This Row],[Age]],15)+14</f>
        <v>30-44</v>
      </c>
    </row>
    <row r="763" spans="1:20" x14ac:dyDescent="0.3">
      <c r="A763" s="18">
        <v>45455</v>
      </c>
      <c r="B763" s="17" t="s">
        <v>1027</v>
      </c>
      <c r="C763" s="17" t="s">
        <v>38</v>
      </c>
      <c r="D763" s="18">
        <v>32742</v>
      </c>
      <c r="E763" s="16" t="s">
        <v>33</v>
      </c>
      <c r="F763" s="31">
        <v>383</v>
      </c>
      <c r="G763" s="17" t="s">
        <v>42</v>
      </c>
      <c r="H763" s="17" t="s">
        <v>28</v>
      </c>
      <c r="I763" s="17" t="s">
        <v>29</v>
      </c>
      <c r="J763" s="27">
        <v>0.1</v>
      </c>
      <c r="K763" s="17" t="s">
        <v>926</v>
      </c>
      <c r="L763" s="32">
        <v>10</v>
      </c>
      <c r="M763" s="32">
        <f>_xlfn.XLOOKUP(Table2_1[[#This Row],[Product Code]],Product_Code,Unit_Price,0)</f>
        <v>11</v>
      </c>
      <c r="N763" s="31">
        <f>DATEDIF(Table2_1[[#This Row],[Buyer Date of Birth]],Table2_1[[#This Row],[Transaction  Date]],"Y")</f>
        <v>34</v>
      </c>
      <c r="O763" s="33">
        <v>3830</v>
      </c>
      <c r="P763" s="33">
        <f>Table2_1[[#This Row],[Quantity Purchased]]*Table2_1[[#This Row],[UnitPrice]]*(1-Table2_1[[#This Row],[Discount]])</f>
        <v>3791.7000000000003</v>
      </c>
      <c r="Q763" s="33">
        <f>Table2_1[[#This Row],[Revenue]]-Table2_1[[#This Row],[COGS]]</f>
        <v>-38.299999999999727</v>
      </c>
      <c r="R763" s="39">
        <f>WEEKDAY(Table2_1[[#This Row],[Transaction  Date]])</f>
        <v>4</v>
      </c>
      <c r="S763" s="17" t="str">
        <f>IF(WEEKDAY(Table2_1[[#This Row],[Transaction  Date]],2)&lt;=5,"Weekday","Weekend")</f>
        <v>Weekday</v>
      </c>
      <c r="T763" s="37" t="str">
        <f>FLOOR(Table2_1[[#This Row],[Age]],15)&amp; "-"&amp; FLOOR(Table2_1[[#This Row],[Age]],15)+14</f>
        <v>30-44</v>
      </c>
    </row>
    <row r="764" spans="1:20" x14ac:dyDescent="0.3">
      <c r="A764" s="18">
        <v>45456</v>
      </c>
      <c r="B764" s="17" t="s">
        <v>1624</v>
      </c>
      <c r="C764" s="17" t="s">
        <v>83</v>
      </c>
      <c r="D764" s="18">
        <v>19705</v>
      </c>
      <c r="E764" s="16" t="s">
        <v>14</v>
      </c>
      <c r="F764" s="31">
        <v>404</v>
      </c>
      <c r="G764" s="17" t="s">
        <v>64</v>
      </c>
      <c r="H764" s="17" t="s">
        <v>52</v>
      </c>
      <c r="I764" s="17" t="s">
        <v>17</v>
      </c>
      <c r="J764" s="27">
        <v>0.1</v>
      </c>
      <c r="K764" s="17" t="s">
        <v>933</v>
      </c>
      <c r="L764" s="32">
        <v>5</v>
      </c>
      <c r="M764" s="32">
        <f>_xlfn.XLOOKUP(Table2_1[[#This Row],[Product Code]],Product_Code,Unit_Price,0)</f>
        <v>7</v>
      </c>
      <c r="N764" s="31">
        <f>DATEDIF(Table2_1[[#This Row],[Buyer Date of Birth]],Table2_1[[#This Row],[Transaction  Date]],"Y")</f>
        <v>70</v>
      </c>
      <c r="O764" s="33">
        <v>2020</v>
      </c>
      <c r="P764" s="33">
        <f>Table2_1[[#This Row],[Quantity Purchased]]*Table2_1[[#This Row],[UnitPrice]]*(1-Table2_1[[#This Row],[Discount]])</f>
        <v>2545.2000000000003</v>
      </c>
      <c r="Q764" s="33">
        <f>Table2_1[[#This Row],[Revenue]]-Table2_1[[#This Row],[COGS]]</f>
        <v>525.20000000000027</v>
      </c>
      <c r="R764" s="39">
        <f>WEEKDAY(Table2_1[[#This Row],[Transaction  Date]])</f>
        <v>5</v>
      </c>
      <c r="S764" s="17" t="str">
        <f>IF(WEEKDAY(Table2_1[[#This Row],[Transaction  Date]],2)&lt;=5,"Weekday","Weekend")</f>
        <v>Weekday</v>
      </c>
      <c r="T764" s="37" t="str">
        <f>FLOOR(Table2_1[[#This Row],[Age]],15)&amp; "-"&amp; FLOOR(Table2_1[[#This Row],[Age]],15)+14</f>
        <v>60-74</v>
      </c>
    </row>
    <row r="765" spans="1:20" x14ac:dyDescent="0.3">
      <c r="A765" s="18">
        <v>45456</v>
      </c>
      <c r="B765" s="17" t="s">
        <v>1625</v>
      </c>
      <c r="C765" s="17" t="s">
        <v>55</v>
      </c>
      <c r="D765" s="18">
        <v>34868</v>
      </c>
      <c r="E765" s="16" t="s">
        <v>20</v>
      </c>
      <c r="F765" s="31">
        <v>359</v>
      </c>
      <c r="G765" s="17" t="s">
        <v>27</v>
      </c>
      <c r="H765" s="17" t="s">
        <v>39</v>
      </c>
      <c r="I765" s="17" t="s">
        <v>17</v>
      </c>
      <c r="J765" s="27">
        <v>0.1</v>
      </c>
      <c r="K765" s="17" t="s">
        <v>927</v>
      </c>
      <c r="L765" s="32">
        <v>18</v>
      </c>
      <c r="M765" s="32">
        <f>_xlfn.XLOOKUP(Table2_1[[#This Row],[Product Code]],Product_Code,Unit_Price,0)</f>
        <v>22</v>
      </c>
      <c r="N765" s="31">
        <f>DATEDIF(Table2_1[[#This Row],[Buyer Date of Birth]],Table2_1[[#This Row],[Transaction  Date]],"Y")</f>
        <v>28</v>
      </c>
      <c r="O765" s="33">
        <v>6462</v>
      </c>
      <c r="P765" s="33">
        <f>Table2_1[[#This Row],[Quantity Purchased]]*Table2_1[[#This Row],[UnitPrice]]*(1-Table2_1[[#This Row],[Discount]])</f>
        <v>7108.2</v>
      </c>
      <c r="Q765" s="33">
        <f>Table2_1[[#This Row],[Revenue]]-Table2_1[[#This Row],[COGS]]</f>
        <v>646.19999999999982</v>
      </c>
      <c r="R765" s="39">
        <f>WEEKDAY(Table2_1[[#This Row],[Transaction  Date]])</f>
        <v>5</v>
      </c>
      <c r="S765" s="17" t="str">
        <f>IF(WEEKDAY(Table2_1[[#This Row],[Transaction  Date]],2)&lt;=5,"Weekday","Weekend")</f>
        <v>Weekday</v>
      </c>
      <c r="T765" s="37" t="str">
        <f>FLOOR(Table2_1[[#This Row],[Age]],15)&amp; "-"&amp; FLOOR(Table2_1[[#This Row],[Age]],15)+14</f>
        <v>15-29</v>
      </c>
    </row>
    <row r="766" spans="1:20" x14ac:dyDescent="0.3">
      <c r="A766" s="18">
        <v>45456</v>
      </c>
      <c r="B766" s="17" t="s">
        <v>1626</v>
      </c>
      <c r="C766" s="17" t="s">
        <v>51</v>
      </c>
      <c r="D766" s="18">
        <v>28788</v>
      </c>
      <c r="E766" s="16" t="s">
        <v>14</v>
      </c>
      <c r="F766" s="31">
        <v>149</v>
      </c>
      <c r="G766" s="17" t="s">
        <v>59</v>
      </c>
      <c r="H766" s="17" t="s">
        <v>48</v>
      </c>
      <c r="I766" s="17" t="s">
        <v>17</v>
      </c>
      <c r="J766" s="27">
        <v>0.1</v>
      </c>
      <c r="K766" s="17" t="s">
        <v>932</v>
      </c>
      <c r="L766" s="32">
        <v>19</v>
      </c>
      <c r="M766" s="32">
        <f>_xlfn.XLOOKUP(Table2_1[[#This Row],[Product Code]],Product_Code,Unit_Price,0)</f>
        <v>23</v>
      </c>
      <c r="N766" s="31">
        <f>DATEDIF(Table2_1[[#This Row],[Buyer Date of Birth]],Table2_1[[#This Row],[Transaction  Date]],"Y")</f>
        <v>45</v>
      </c>
      <c r="O766" s="33">
        <v>2831</v>
      </c>
      <c r="P766" s="33">
        <f>Table2_1[[#This Row],[Quantity Purchased]]*Table2_1[[#This Row],[UnitPrice]]*(1-Table2_1[[#This Row],[Discount]])</f>
        <v>3084.3</v>
      </c>
      <c r="Q766" s="33">
        <f>Table2_1[[#This Row],[Revenue]]-Table2_1[[#This Row],[COGS]]</f>
        <v>253.30000000000018</v>
      </c>
      <c r="R766" s="39">
        <f>WEEKDAY(Table2_1[[#This Row],[Transaction  Date]])</f>
        <v>5</v>
      </c>
      <c r="S766" s="17" t="str">
        <f>IF(WEEKDAY(Table2_1[[#This Row],[Transaction  Date]],2)&lt;=5,"Weekday","Weekend")</f>
        <v>Weekday</v>
      </c>
      <c r="T766" s="37" t="str">
        <f>FLOOR(Table2_1[[#This Row],[Age]],15)&amp; "-"&amp; FLOOR(Table2_1[[#This Row],[Age]],15)+14</f>
        <v>45-59</v>
      </c>
    </row>
    <row r="767" spans="1:20" x14ac:dyDescent="0.3">
      <c r="A767" s="18">
        <v>45456</v>
      </c>
      <c r="B767" s="17" t="s">
        <v>1627</v>
      </c>
      <c r="C767" s="17" t="s">
        <v>94</v>
      </c>
      <c r="D767" s="18">
        <v>37453</v>
      </c>
      <c r="E767" s="16" t="s">
        <v>20</v>
      </c>
      <c r="F767" s="31">
        <v>42</v>
      </c>
      <c r="G767" s="17" t="s">
        <v>59</v>
      </c>
      <c r="H767" s="17" t="s">
        <v>28</v>
      </c>
      <c r="I767" s="17" t="s">
        <v>17</v>
      </c>
      <c r="J767" s="27">
        <v>0.1</v>
      </c>
      <c r="K767" s="17" t="s">
        <v>932</v>
      </c>
      <c r="L767" s="32">
        <v>19</v>
      </c>
      <c r="M767" s="32">
        <f>_xlfn.XLOOKUP(Table2_1[[#This Row],[Product Code]],Product_Code,Unit_Price,0)</f>
        <v>23</v>
      </c>
      <c r="N767" s="31">
        <f>DATEDIF(Table2_1[[#This Row],[Buyer Date of Birth]],Table2_1[[#This Row],[Transaction  Date]],"Y")</f>
        <v>21</v>
      </c>
      <c r="O767" s="33">
        <v>798</v>
      </c>
      <c r="P767" s="33">
        <f>Table2_1[[#This Row],[Quantity Purchased]]*Table2_1[[#This Row],[UnitPrice]]*(1-Table2_1[[#This Row],[Discount]])</f>
        <v>869.4</v>
      </c>
      <c r="Q767" s="33">
        <f>Table2_1[[#This Row],[Revenue]]-Table2_1[[#This Row],[COGS]]</f>
        <v>71.399999999999977</v>
      </c>
      <c r="R767" s="39">
        <f>WEEKDAY(Table2_1[[#This Row],[Transaction  Date]])</f>
        <v>5</v>
      </c>
      <c r="S767" s="17" t="str">
        <f>IF(WEEKDAY(Table2_1[[#This Row],[Transaction  Date]],2)&lt;=5,"Weekday","Weekend")</f>
        <v>Weekday</v>
      </c>
      <c r="T767" s="37" t="str">
        <f>FLOOR(Table2_1[[#This Row],[Age]],15)&amp; "-"&amp; FLOOR(Table2_1[[#This Row],[Age]],15)+14</f>
        <v>15-29</v>
      </c>
    </row>
    <row r="768" spans="1:20" x14ac:dyDescent="0.3">
      <c r="A768" s="18">
        <v>45457</v>
      </c>
      <c r="B768" s="17" t="s">
        <v>1628</v>
      </c>
      <c r="C768" s="17" t="s">
        <v>26</v>
      </c>
      <c r="D768" s="18">
        <v>30814</v>
      </c>
      <c r="E768" s="16" t="s">
        <v>68</v>
      </c>
      <c r="F768" s="31">
        <v>329</v>
      </c>
      <c r="G768" s="17" t="s">
        <v>65</v>
      </c>
      <c r="H768" s="17" t="s">
        <v>43</v>
      </c>
      <c r="I768" s="17" t="s">
        <v>17</v>
      </c>
      <c r="J768" s="27">
        <v>0.1</v>
      </c>
      <c r="K768" s="17" t="s">
        <v>928</v>
      </c>
      <c r="L768" s="32">
        <v>3</v>
      </c>
      <c r="M768" s="32">
        <f>_xlfn.XLOOKUP(Table2_1[[#This Row],[Product Code]],Product_Code,Unit_Price,0)</f>
        <v>5</v>
      </c>
      <c r="N768" s="31">
        <f>DATEDIF(Table2_1[[#This Row],[Buyer Date of Birth]],Table2_1[[#This Row],[Transaction  Date]],"Y")</f>
        <v>40</v>
      </c>
      <c r="O768" s="33">
        <v>987</v>
      </c>
      <c r="P768" s="33">
        <f>Table2_1[[#This Row],[Quantity Purchased]]*Table2_1[[#This Row],[UnitPrice]]*(1-Table2_1[[#This Row],[Discount]])</f>
        <v>1480.5</v>
      </c>
      <c r="Q768" s="33">
        <f>Table2_1[[#This Row],[Revenue]]-Table2_1[[#This Row],[COGS]]</f>
        <v>493.5</v>
      </c>
      <c r="R768" s="39">
        <f>WEEKDAY(Table2_1[[#This Row],[Transaction  Date]])</f>
        <v>6</v>
      </c>
      <c r="S768" s="17" t="str">
        <f>IF(WEEKDAY(Table2_1[[#This Row],[Transaction  Date]],2)&lt;=5,"Weekday","Weekend")</f>
        <v>Weekday</v>
      </c>
      <c r="T768" s="37" t="str">
        <f>FLOOR(Table2_1[[#This Row],[Age]],15)&amp; "-"&amp; FLOOR(Table2_1[[#This Row],[Age]],15)+14</f>
        <v>30-44</v>
      </c>
    </row>
    <row r="769" spans="1:20" x14ac:dyDescent="0.3">
      <c r="A769" s="18">
        <v>45457</v>
      </c>
      <c r="B769" s="17" t="s">
        <v>1629</v>
      </c>
      <c r="C769" s="17" t="s">
        <v>55</v>
      </c>
      <c r="D769" s="18">
        <v>21781</v>
      </c>
      <c r="E769" s="16" t="s">
        <v>68</v>
      </c>
      <c r="F769" s="31">
        <v>442</v>
      </c>
      <c r="G769" s="17" t="s">
        <v>27</v>
      </c>
      <c r="H769" s="17" t="s">
        <v>52</v>
      </c>
      <c r="I769" s="17" t="s">
        <v>17</v>
      </c>
      <c r="J769" s="27">
        <v>0.1</v>
      </c>
      <c r="K769" s="17" t="s">
        <v>927</v>
      </c>
      <c r="L769" s="32">
        <v>18</v>
      </c>
      <c r="M769" s="32">
        <f>_xlfn.XLOOKUP(Table2_1[[#This Row],[Product Code]],Product_Code,Unit_Price,0)</f>
        <v>22</v>
      </c>
      <c r="N769" s="31">
        <f>DATEDIF(Table2_1[[#This Row],[Buyer Date of Birth]],Table2_1[[#This Row],[Transaction  Date]],"Y")</f>
        <v>64</v>
      </c>
      <c r="O769" s="33">
        <v>7956</v>
      </c>
      <c r="P769" s="33">
        <f>Table2_1[[#This Row],[Quantity Purchased]]*Table2_1[[#This Row],[UnitPrice]]*(1-Table2_1[[#This Row],[Discount]])</f>
        <v>8751.6</v>
      </c>
      <c r="Q769" s="33">
        <f>Table2_1[[#This Row],[Revenue]]-Table2_1[[#This Row],[COGS]]</f>
        <v>795.60000000000036</v>
      </c>
      <c r="R769" s="39">
        <f>WEEKDAY(Table2_1[[#This Row],[Transaction  Date]])</f>
        <v>6</v>
      </c>
      <c r="S769" s="17" t="str">
        <f>IF(WEEKDAY(Table2_1[[#This Row],[Transaction  Date]],2)&lt;=5,"Weekday","Weekend")</f>
        <v>Weekday</v>
      </c>
      <c r="T769" s="37" t="str">
        <f>FLOOR(Table2_1[[#This Row],[Age]],15)&amp; "-"&amp; FLOOR(Table2_1[[#This Row],[Age]],15)+14</f>
        <v>60-74</v>
      </c>
    </row>
    <row r="770" spans="1:20" x14ac:dyDescent="0.3">
      <c r="A770" s="18">
        <v>45457</v>
      </c>
      <c r="B770" s="17" t="s">
        <v>1630</v>
      </c>
      <c r="C770" s="17" t="s">
        <v>51</v>
      </c>
      <c r="D770" s="18">
        <v>38657</v>
      </c>
      <c r="E770" s="16" t="s">
        <v>20</v>
      </c>
      <c r="F770" s="31">
        <v>185</v>
      </c>
      <c r="G770" s="17" t="s">
        <v>34</v>
      </c>
      <c r="H770" s="17" t="s">
        <v>52</v>
      </c>
      <c r="I770" s="17" t="s">
        <v>17</v>
      </c>
      <c r="J770" s="27">
        <v>0.1</v>
      </c>
      <c r="K770" s="17" t="s">
        <v>930</v>
      </c>
      <c r="L770" s="32">
        <v>14</v>
      </c>
      <c r="M770" s="32">
        <f>_xlfn.XLOOKUP(Table2_1[[#This Row],[Product Code]],Product_Code,Unit_Price,0)</f>
        <v>28</v>
      </c>
      <c r="N770" s="31">
        <f>DATEDIF(Table2_1[[#This Row],[Buyer Date of Birth]],Table2_1[[#This Row],[Transaction  Date]],"Y")</f>
        <v>18</v>
      </c>
      <c r="O770" s="33">
        <v>2590</v>
      </c>
      <c r="P770" s="33">
        <f>Table2_1[[#This Row],[Quantity Purchased]]*Table2_1[[#This Row],[UnitPrice]]*(1-Table2_1[[#This Row],[Discount]])</f>
        <v>4662</v>
      </c>
      <c r="Q770" s="33">
        <f>Table2_1[[#This Row],[Revenue]]-Table2_1[[#This Row],[COGS]]</f>
        <v>2072</v>
      </c>
      <c r="R770" s="39">
        <f>WEEKDAY(Table2_1[[#This Row],[Transaction  Date]])</f>
        <v>6</v>
      </c>
      <c r="S770" s="17" t="str">
        <f>IF(WEEKDAY(Table2_1[[#This Row],[Transaction  Date]],2)&lt;=5,"Weekday","Weekend")</f>
        <v>Weekday</v>
      </c>
      <c r="T770" s="37" t="str">
        <f>FLOOR(Table2_1[[#This Row],[Age]],15)&amp; "-"&amp; FLOOR(Table2_1[[#This Row],[Age]],15)+14</f>
        <v>15-29</v>
      </c>
    </row>
    <row r="771" spans="1:20" x14ac:dyDescent="0.3">
      <c r="A771" s="18">
        <v>45457</v>
      </c>
      <c r="B771" s="17" t="s">
        <v>1631</v>
      </c>
      <c r="C771" s="17" t="s">
        <v>78</v>
      </c>
      <c r="D771" s="18">
        <v>22265</v>
      </c>
      <c r="E771" s="16" t="s">
        <v>33</v>
      </c>
      <c r="F771" s="31">
        <v>63</v>
      </c>
      <c r="G771" s="17" t="s">
        <v>42</v>
      </c>
      <c r="H771" s="17" t="s">
        <v>48</v>
      </c>
      <c r="I771" s="17" t="s">
        <v>17</v>
      </c>
      <c r="J771" s="27">
        <v>0.1</v>
      </c>
      <c r="K771" s="17" t="s">
        <v>926</v>
      </c>
      <c r="L771" s="32">
        <v>10</v>
      </c>
      <c r="M771" s="32">
        <f>_xlfn.XLOOKUP(Table2_1[[#This Row],[Product Code]],Product_Code,Unit_Price,0)</f>
        <v>11</v>
      </c>
      <c r="N771" s="31">
        <f>DATEDIF(Table2_1[[#This Row],[Buyer Date of Birth]],Table2_1[[#This Row],[Transaction  Date]],"Y")</f>
        <v>63</v>
      </c>
      <c r="O771" s="33">
        <v>630</v>
      </c>
      <c r="P771" s="33">
        <f>Table2_1[[#This Row],[Quantity Purchased]]*Table2_1[[#This Row],[UnitPrice]]*(1-Table2_1[[#This Row],[Discount]])</f>
        <v>623.70000000000005</v>
      </c>
      <c r="Q771" s="33">
        <f>Table2_1[[#This Row],[Revenue]]-Table2_1[[#This Row],[COGS]]</f>
        <v>-6.2999999999999545</v>
      </c>
      <c r="R771" s="39">
        <f>WEEKDAY(Table2_1[[#This Row],[Transaction  Date]])</f>
        <v>6</v>
      </c>
      <c r="S771" s="17" t="str">
        <f>IF(WEEKDAY(Table2_1[[#This Row],[Transaction  Date]],2)&lt;=5,"Weekday","Weekend")</f>
        <v>Weekday</v>
      </c>
      <c r="T771" s="37" t="str">
        <f>FLOOR(Table2_1[[#This Row],[Age]],15)&amp; "-"&amp; FLOOR(Table2_1[[#This Row],[Age]],15)+14</f>
        <v>60-74</v>
      </c>
    </row>
    <row r="772" spans="1:20" x14ac:dyDescent="0.3">
      <c r="A772" s="18">
        <v>45457</v>
      </c>
      <c r="B772" s="17" t="s">
        <v>999</v>
      </c>
      <c r="C772" s="17" t="s">
        <v>26</v>
      </c>
      <c r="D772" s="18">
        <v>31686</v>
      </c>
      <c r="E772" s="16" t="s">
        <v>20</v>
      </c>
      <c r="F772" s="31">
        <v>157</v>
      </c>
      <c r="G772" s="17" t="s">
        <v>47</v>
      </c>
      <c r="H772" s="17" t="s">
        <v>48</v>
      </c>
      <c r="I772" s="17" t="s">
        <v>17</v>
      </c>
      <c r="J772" s="27">
        <v>0.1</v>
      </c>
      <c r="K772" s="17" t="s">
        <v>931</v>
      </c>
      <c r="L772" s="32">
        <v>7</v>
      </c>
      <c r="M772" s="32">
        <f>_xlfn.XLOOKUP(Table2_1[[#This Row],[Product Code]],Product_Code,Unit_Price,0)</f>
        <v>9</v>
      </c>
      <c r="N772" s="31">
        <f>DATEDIF(Table2_1[[#This Row],[Buyer Date of Birth]],Table2_1[[#This Row],[Transaction  Date]],"Y")</f>
        <v>37</v>
      </c>
      <c r="O772" s="33">
        <v>1099</v>
      </c>
      <c r="P772" s="33">
        <f>Table2_1[[#This Row],[Quantity Purchased]]*Table2_1[[#This Row],[UnitPrice]]*(1-Table2_1[[#This Row],[Discount]])</f>
        <v>1271.7</v>
      </c>
      <c r="Q772" s="33">
        <f>Table2_1[[#This Row],[Revenue]]-Table2_1[[#This Row],[COGS]]</f>
        <v>172.70000000000005</v>
      </c>
      <c r="R772" s="39">
        <f>WEEKDAY(Table2_1[[#This Row],[Transaction  Date]])</f>
        <v>6</v>
      </c>
      <c r="S772" s="17" t="str">
        <f>IF(WEEKDAY(Table2_1[[#This Row],[Transaction  Date]],2)&lt;=5,"Weekday","Weekend")</f>
        <v>Weekday</v>
      </c>
      <c r="T772" s="37" t="str">
        <f>FLOOR(Table2_1[[#This Row],[Age]],15)&amp; "-"&amp; FLOOR(Table2_1[[#This Row],[Age]],15)+14</f>
        <v>30-44</v>
      </c>
    </row>
    <row r="773" spans="1:20" x14ac:dyDescent="0.3">
      <c r="A773" s="18">
        <v>45458</v>
      </c>
      <c r="B773" s="17" t="s">
        <v>1632</v>
      </c>
      <c r="C773" s="17" t="s">
        <v>83</v>
      </c>
      <c r="D773" s="18">
        <v>17708</v>
      </c>
      <c r="E773" s="16" t="s">
        <v>68</v>
      </c>
      <c r="F773" s="31">
        <v>312</v>
      </c>
      <c r="G773" s="17" t="s">
        <v>15</v>
      </c>
      <c r="H773" s="17" t="s">
        <v>48</v>
      </c>
      <c r="I773" s="17" t="s">
        <v>17</v>
      </c>
      <c r="J773" s="27">
        <v>0.1</v>
      </c>
      <c r="K773" s="17" t="s">
        <v>929</v>
      </c>
      <c r="L773" s="32">
        <v>10</v>
      </c>
      <c r="M773" s="32">
        <f>_xlfn.XLOOKUP(Table2_1[[#This Row],[Product Code]],Product_Code,Unit_Price,0)</f>
        <v>14</v>
      </c>
      <c r="N773" s="31">
        <f>DATEDIF(Table2_1[[#This Row],[Buyer Date of Birth]],Table2_1[[#This Row],[Transaction  Date]],"Y")</f>
        <v>75</v>
      </c>
      <c r="O773" s="33">
        <v>3120</v>
      </c>
      <c r="P773" s="33">
        <f>Table2_1[[#This Row],[Quantity Purchased]]*Table2_1[[#This Row],[UnitPrice]]*(1-Table2_1[[#This Row],[Discount]])</f>
        <v>3931.2000000000003</v>
      </c>
      <c r="Q773" s="33">
        <f>Table2_1[[#This Row],[Revenue]]-Table2_1[[#This Row],[COGS]]</f>
        <v>811.20000000000027</v>
      </c>
      <c r="R773" s="39">
        <f>WEEKDAY(Table2_1[[#This Row],[Transaction  Date]])</f>
        <v>7</v>
      </c>
      <c r="S773" s="17" t="str">
        <f>IF(WEEKDAY(Table2_1[[#This Row],[Transaction  Date]],2)&lt;=5,"Weekday","Weekend")</f>
        <v>Weekend</v>
      </c>
      <c r="T773" s="37" t="str">
        <f>FLOOR(Table2_1[[#This Row],[Age]],15)&amp; "-"&amp; FLOOR(Table2_1[[#This Row],[Age]],15)+14</f>
        <v>75-89</v>
      </c>
    </row>
    <row r="774" spans="1:20" x14ac:dyDescent="0.3">
      <c r="A774" s="18">
        <v>45458</v>
      </c>
      <c r="B774" s="17" t="s">
        <v>1633</v>
      </c>
      <c r="C774" s="17" t="s">
        <v>38</v>
      </c>
      <c r="D774" s="18">
        <v>17924</v>
      </c>
      <c r="E774" s="16" t="s">
        <v>68</v>
      </c>
      <c r="F774" s="31">
        <v>137</v>
      </c>
      <c r="G774" s="17" t="s">
        <v>56</v>
      </c>
      <c r="H774" s="17" t="s">
        <v>28</v>
      </c>
      <c r="I774" s="17" t="s">
        <v>17</v>
      </c>
      <c r="J774" s="27">
        <v>0.1</v>
      </c>
      <c r="K774" s="17" t="s">
        <v>935</v>
      </c>
      <c r="L774" s="32">
        <v>18</v>
      </c>
      <c r="M774" s="32">
        <f>_xlfn.XLOOKUP(Table2_1[[#This Row],[Product Code]],Product_Code,Unit_Price,0)</f>
        <v>36</v>
      </c>
      <c r="N774" s="31">
        <f>DATEDIF(Table2_1[[#This Row],[Buyer Date of Birth]],Table2_1[[#This Row],[Transaction  Date]],"Y")</f>
        <v>75</v>
      </c>
      <c r="O774" s="33">
        <v>2466</v>
      </c>
      <c r="P774" s="33">
        <f>Table2_1[[#This Row],[Quantity Purchased]]*Table2_1[[#This Row],[UnitPrice]]*(1-Table2_1[[#This Row],[Discount]])</f>
        <v>4438.8</v>
      </c>
      <c r="Q774" s="33">
        <f>Table2_1[[#This Row],[Revenue]]-Table2_1[[#This Row],[COGS]]</f>
        <v>1972.8000000000002</v>
      </c>
      <c r="R774" s="39">
        <f>WEEKDAY(Table2_1[[#This Row],[Transaction  Date]])</f>
        <v>7</v>
      </c>
      <c r="S774" s="17" t="str">
        <f>IF(WEEKDAY(Table2_1[[#This Row],[Transaction  Date]],2)&lt;=5,"Weekday","Weekend")</f>
        <v>Weekend</v>
      </c>
      <c r="T774" s="37" t="str">
        <f>FLOOR(Table2_1[[#This Row],[Age]],15)&amp; "-"&amp; FLOOR(Table2_1[[#This Row],[Age]],15)+14</f>
        <v>75-89</v>
      </c>
    </row>
    <row r="775" spans="1:20" x14ac:dyDescent="0.3">
      <c r="A775" s="18">
        <v>45458</v>
      </c>
      <c r="B775" s="17" t="s">
        <v>1634</v>
      </c>
      <c r="C775" s="17" t="s">
        <v>78</v>
      </c>
      <c r="D775" s="18">
        <v>20370</v>
      </c>
      <c r="E775" s="16" t="s">
        <v>68</v>
      </c>
      <c r="F775" s="31">
        <v>307</v>
      </c>
      <c r="G775" s="17" t="s">
        <v>65</v>
      </c>
      <c r="H775" s="17" t="s">
        <v>48</v>
      </c>
      <c r="I775" s="17" t="s">
        <v>17</v>
      </c>
      <c r="J775" s="27">
        <v>0.1</v>
      </c>
      <c r="K775" s="17" t="s">
        <v>928</v>
      </c>
      <c r="L775" s="32">
        <v>3</v>
      </c>
      <c r="M775" s="32">
        <f>_xlfn.XLOOKUP(Table2_1[[#This Row],[Product Code]],Product_Code,Unit_Price,0)</f>
        <v>5</v>
      </c>
      <c r="N775" s="31">
        <f>DATEDIF(Table2_1[[#This Row],[Buyer Date of Birth]],Table2_1[[#This Row],[Transaction  Date]],"Y")</f>
        <v>68</v>
      </c>
      <c r="O775" s="33">
        <v>921</v>
      </c>
      <c r="P775" s="33">
        <f>Table2_1[[#This Row],[Quantity Purchased]]*Table2_1[[#This Row],[UnitPrice]]*(1-Table2_1[[#This Row],[Discount]])</f>
        <v>1381.5</v>
      </c>
      <c r="Q775" s="33">
        <f>Table2_1[[#This Row],[Revenue]]-Table2_1[[#This Row],[COGS]]</f>
        <v>460.5</v>
      </c>
      <c r="R775" s="39">
        <f>WEEKDAY(Table2_1[[#This Row],[Transaction  Date]])</f>
        <v>7</v>
      </c>
      <c r="S775" s="17" t="str">
        <f>IF(WEEKDAY(Table2_1[[#This Row],[Transaction  Date]],2)&lt;=5,"Weekday","Weekend")</f>
        <v>Weekend</v>
      </c>
      <c r="T775" s="37" t="str">
        <f>FLOOR(Table2_1[[#This Row],[Age]],15)&amp; "-"&amp; FLOOR(Table2_1[[#This Row],[Age]],15)+14</f>
        <v>60-74</v>
      </c>
    </row>
    <row r="776" spans="1:20" x14ac:dyDescent="0.3">
      <c r="A776" s="18">
        <v>45458</v>
      </c>
      <c r="B776" s="17" t="s">
        <v>1635</v>
      </c>
      <c r="C776" s="17" t="s">
        <v>71</v>
      </c>
      <c r="D776" s="18">
        <v>20155</v>
      </c>
      <c r="E776" s="16" t="s">
        <v>20</v>
      </c>
      <c r="F776" s="31">
        <v>202</v>
      </c>
      <c r="G776" s="17" t="s">
        <v>56</v>
      </c>
      <c r="H776" s="17" t="s">
        <v>48</v>
      </c>
      <c r="I776" s="17" t="s">
        <v>17</v>
      </c>
      <c r="J776" s="27">
        <v>0.1</v>
      </c>
      <c r="K776" s="17" t="s">
        <v>935</v>
      </c>
      <c r="L776" s="32">
        <v>18</v>
      </c>
      <c r="M776" s="32">
        <f>_xlfn.XLOOKUP(Table2_1[[#This Row],[Product Code]],Product_Code,Unit_Price,0)</f>
        <v>36</v>
      </c>
      <c r="N776" s="31">
        <f>DATEDIF(Table2_1[[#This Row],[Buyer Date of Birth]],Table2_1[[#This Row],[Transaction  Date]],"Y")</f>
        <v>69</v>
      </c>
      <c r="O776" s="33">
        <v>3636</v>
      </c>
      <c r="P776" s="33">
        <f>Table2_1[[#This Row],[Quantity Purchased]]*Table2_1[[#This Row],[UnitPrice]]*(1-Table2_1[[#This Row],[Discount]])</f>
        <v>6544.8</v>
      </c>
      <c r="Q776" s="33">
        <f>Table2_1[[#This Row],[Revenue]]-Table2_1[[#This Row],[COGS]]</f>
        <v>2908.8</v>
      </c>
      <c r="R776" s="39">
        <f>WEEKDAY(Table2_1[[#This Row],[Transaction  Date]])</f>
        <v>7</v>
      </c>
      <c r="S776" s="17" t="str">
        <f>IF(WEEKDAY(Table2_1[[#This Row],[Transaction  Date]],2)&lt;=5,"Weekday","Weekend")</f>
        <v>Weekend</v>
      </c>
      <c r="T776" s="37" t="str">
        <f>FLOOR(Table2_1[[#This Row],[Age]],15)&amp; "-"&amp; FLOOR(Table2_1[[#This Row],[Age]],15)+14</f>
        <v>60-74</v>
      </c>
    </row>
    <row r="777" spans="1:20" x14ac:dyDescent="0.3">
      <c r="A777" s="18">
        <v>45459</v>
      </c>
      <c r="B777" s="17" t="s">
        <v>1636</v>
      </c>
      <c r="C777" s="17" t="s">
        <v>32</v>
      </c>
      <c r="D777" s="18">
        <v>31867</v>
      </c>
      <c r="E777" s="16" t="s">
        <v>33</v>
      </c>
      <c r="F777" s="31">
        <v>373</v>
      </c>
      <c r="G777" s="17" t="s">
        <v>42</v>
      </c>
      <c r="H777" s="17" t="s">
        <v>48</v>
      </c>
      <c r="I777" s="17" t="s">
        <v>17</v>
      </c>
      <c r="J777" s="27">
        <v>0.1</v>
      </c>
      <c r="K777" s="17" t="s">
        <v>926</v>
      </c>
      <c r="L777" s="32">
        <v>10</v>
      </c>
      <c r="M777" s="32">
        <f>_xlfn.XLOOKUP(Table2_1[[#This Row],[Product Code]],Product_Code,Unit_Price,0)</f>
        <v>11</v>
      </c>
      <c r="N777" s="31">
        <f>DATEDIF(Table2_1[[#This Row],[Buyer Date of Birth]],Table2_1[[#This Row],[Transaction  Date]],"Y")</f>
        <v>37</v>
      </c>
      <c r="O777" s="33">
        <v>3730</v>
      </c>
      <c r="P777" s="33">
        <f>Table2_1[[#This Row],[Quantity Purchased]]*Table2_1[[#This Row],[UnitPrice]]*(1-Table2_1[[#This Row],[Discount]])</f>
        <v>3692.7000000000003</v>
      </c>
      <c r="Q777" s="33">
        <f>Table2_1[[#This Row],[Revenue]]-Table2_1[[#This Row],[COGS]]</f>
        <v>-37.299999999999727</v>
      </c>
      <c r="R777" s="39">
        <f>WEEKDAY(Table2_1[[#This Row],[Transaction  Date]])</f>
        <v>1</v>
      </c>
      <c r="S777" s="17" t="str">
        <f>IF(WEEKDAY(Table2_1[[#This Row],[Transaction  Date]],2)&lt;=5,"Weekday","Weekend")</f>
        <v>Weekend</v>
      </c>
      <c r="T777" s="37" t="str">
        <f>FLOOR(Table2_1[[#This Row],[Age]],15)&amp; "-"&amp; FLOOR(Table2_1[[#This Row],[Age]],15)+14</f>
        <v>30-44</v>
      </c>
    </row>
    <row r="778" spans="1:20" x14ac:dyDescent="0.3">
      <c r="A778" s="18">
        <v>45459</v>
      </c>
      <c r="B778" s="17" t="s">
        <v>162</v>
      </c>
      <c r="C778" s="17" t="s">
        <v>94</v>
      </c>
      <c r="D778" s="18">
        <v>30294</v>
      </c>
      <c r="E778" s="16" t="s">
        <v>68</v>
      </c>
      <c r="F778" s="31">
        <v>394</v>
      </c>
      <c r="G778" s="17" t="s">
        <v>56</v>
      </c>
      <c r="H778" s="17" t="s">
        <v>39</v>
      </c>
      <c r="I778" s="17" t="s">
        <v>17</v>
      </c>
      <c r="J778" s="27">
        <v>0.1</v>
      </c>
      <c r="K778" s="17" t="s">
        <v>935</v>
      </c>
      <c r="L778" s="32">
        <v>18</v>
      </c>
      <c r="M778" s="32">
        <f>_xlfn.XLOOKUP(Table2_1[[#This Row],[Product Code]],Product_Code,Unit_Price,0)</f>
        <v>36</v>
      </c>
      <c r="N778" s="31">
        <f>DATEDIF(Table2_1[[#This Row],[Buyer Date of Birth]],Table2_1[[#This Row],[Transaction  Date]],"Y")</f>
        <v>41</v>
      </c>
      <c r="O778" s="33">
        <v>7092</v>
      </c>
      <c r="P778" s="33">
        <f>Table2_1[[#This Row],[Quantity Purchased]]*Table2_1[[#This Row],[UnitPrice]]*(1-Table2_1[[#This Row],[Discount]])</f>
        <v>12765.6</v>
      </c>
      <c r="Q778" s="33">
        <f>Table2_1[[#This Row],[Revenue]]-Table2_1[[#This Row],[COGS]]</f>
        <v>5673.6</v>
      </c>
      <c r="R778" s="39">
        <f>WEEKDAY(Table2_1[[#This Row],[Transaction  Date]])</f>
        <v>1</v>
      </c>
      <c r="S778" s="17" t="str">
        <f>IF(WEEKDAY(Table2_1[[#This Row],[Transaction  Date]],2)&lt;=5,"Weekday","Weekend")</f>
        <v>Weekend</v>
      </c>
      <c r="T778" s="37" t="str">
        <f>FLOOR(Table2_1[[#This Row],[Age]],15)&amp; "-"&amp; FLOOR(Table2_1[[#This Row],[Age]],15)+14</f>
        <v>30-44</v>
      </c>
    </row>
    <row r="779" spans="1:20" x14ac:dyDescent="0.3">
      <c r="A779" s="18">
        <v>45459</v>
      </c>
      <c r="B779" s="17" t="s">
        <v>1637</v>
      </c>
      <c r="C779" s="17" t="s">
        <v>94</v>
      </c>
      <c r="D779" s="18">
        <v>20473</v>
      </c>
      <c r="E779" s="16" t="s">
        <v>20</v>
      </c>
      <c r="F779" s="31">
        <v>15</v>
      </c>
      <c r="G779" s="17" t="s">
        <v>47</v>
      </c>
      <c r="H779" s="17" t="s">
        <v>48</v>
      </c>
      <c r="I779" s="17" t="s">
        <v>23</v>
      </c>
      <c r="J779" s="27">
        <v>0.1</v>
      </c>
      <c r="K779" s="17" t="s">
        <v>931</v>
      </c>
      <c r="L779" s="32">
        <v>7</v>
      </c>
      <c r="M779" s="32">
        <f>_xlfn.XLOOKUP(Table2_1[[#This Row],[Product Code]],Product_Code,Unit_Price,0)</f>
        <v>9</v>
      </c>
      <c r="N779" s="31">
        <f>DATEDIF(Table2_1[[#This Row],[Buyer Date of Birth]],Table2_1[[#This Row],[Transaction  Date]],"Y")</f>
        <v>68</v>
      </c>
      <c r="O779" s="33">
        <v>105</v>
      </c>
      <c r="P779" s="33">
        <f>Table2_1[[#This Row],[Quantity Purchased]]*Table2_1[[#This Row],[UnitPrice]]*(1-Table2_1[[#This Row],[Discount]])</f>
        <v>121.5</v>
      </c>
      <c r="Q779" s="33">
        <f>Table2_1[[#This Row],[Revenue]]-Table2_1[[#This Row],[COGS]]</f>
        <v>16.5</v>
      </c>
      <c r="R779" s="39">
        <f>WEEKDAY(Table2_1[[#This Row],[Transaction  Date]])</f>
        <v>1</v>
      </c>
      <c r="S779" s="17" t="str">
        <f>IF(WEEKDAY(Table2_1[[#This Row],[Transaction  Date]],2)&lt;=5,"Weekday","Weekend")</f>
        <v>Weekend</v>
      </c>
      <c r="T779" s="37" t="str">
        <f>FLOOR(Table2_1[[#This Row],[Age]],15)&amp; "-"&amp; FLOOR(Table2_1[[#This Row],[Age]],15)+14</f>
        <v>60-74</v>
      </c>
    </row>
    <row r="780" spans="1:20" x14ac:dyDescent="0.3">
      <c r="A780" s="18">
        <v>45459</v>
      </c>
      <c r="B780" s="17" t="s">
        <v>1638</v>
      </c>
      <c r="C780" s="17" t="s">
        <v>13</v>
      </c>
      <c r="D780" s="18">
        <v>22078</v>
      </c>
      <c r="E780" s="16" t="s">
        <v>33</v>
      </c>
      <c r="F780" s="31">
        <v>261</v>
      </c>
      <c r="G780" s="17" t="s">
        <v>65</v>
      </c>
      <c r="H780" s="17" t="s">
        <v>48</v>
      </c>
      <c r="I780" s="17" t="s">
        <v>17</v>
      </c>
      <c r="J780" s="27">
        <v>0.1</v>
      </c>
      <c r="K780" s="17" t="s">
        <v>928</v>
      </c>
      <c r="L780" s="32">
        <v>3</v>
      </c>
      <c r="M780" s="32">
        <f>_xlfn.XLOOKUP(Table2_1[[#This Row],[Product Code]],Product_Code,Unit_Price,0)</f>
        <v>5</v>
      </c>
      <c r="N780" s="31">
        <f>DATEDIF(Table2_1[[#This Row],[Buyer Date of Birth]],Table2_1[[#This Row],[Transaction  Date]],"Y")</f>
        <v>64</v>
      </c>
      <c r="O780" s="33">
        <v>783</v>
      </c>
      <c r="P780" s="33">
        <f>Table2_1[[#This Row],[Quantity Purchased]]*Table2_1[[#This Row],[UnitPrice]]*(1-Table2_1[[#This Row],[Discount]])</f>
        <v>1174.5</v>
      </c>
      <c r="Q780" s="33">
        <f>Table2_1[[#This Row],[Revenue]]-Table2_1[[#This Row],[COGS]]</f>
        <v>391.5</v>
      </c>
      <c r="R780" s="39">
        <f>WEEKDAY(Table2_1[[#This Row],[Transaction  Date]])</f>
        <v>1</v>
      </c>
      <c r="S780" s="17" t="str">
        <f>IF(WEEKDAY(Table2_1[[#This Row],[Transaction  Date]],2)&lt;=5,"Weekday","Weekend")</f>
        <v>Weekend</v>
      </c>
      <c r="T780" s="37" t="str">
        <f>FLOOR(Table2_1[[#This Row],[Age]],15)&amp; "-"&amp; FLOOR(Table2_1[[#This Row],[Age]],15)+14</f>
        <v>60-74</v>
      </c>
    </row>
    <row r="781" spans="1:20" x14ac:dyDescent="0.3">
      <c r="A781" s="18">
        <v>45460</v>
      </c>
      <c r="B781" s="17" t="s">
        <v>1639</v>
      </c>
      <c r="C781" s="17" t="s">
        <v>38</v>
      </c>
      <c r="D781" s="18">
        <v>37923</v>
      </c>
      <c r="E781" s="16" t="s">
        <v>20</v>
      </c>
      <c r="F781" s="31">
        <v>113</v>
      </c>
      <c r="G781" s="17" t="s">
        <v>27</v>
      </c>
      <c r="H781" s="17" t="s">
        <v>43</v>
      </c>
      <c r="I781" s="17" t="s">
        <v>17</v>
      </c>
      <c r="J781" s="27">
        <v>0.1</v>
      </c>
      <c r="K781" s="17" t="s">
        <v>927</v>
      </c>
      <c r="L781" s="32">
        <v>18</v>
      </c>
      <c r="M781" s="32">
        <f>_xlfn.XLOOKUP(Table2_1[[#This Row],[Product Code]],Product_Code,Unit_Price,0)</f>
        <v>22</v>
      </c>
      <c r="N781" s="31">
        <f>DATEDIF(Table2_1[[#This Row],[Buyer Date of Birth]],Table2_1[[#This Row],[Transaction  Date]],"Y")</f>
        <v>20</v>
      </c>
      <c r="O781" s="33">
        <v>2034</v>
      </c>
      <c r="P781" s="33">
        <f>Table2_1[[#This Row],[Quantity Purchased]]*Table2_1[[#This Row],[UnitPrice]]*(1-Table2_1[[#This Row],[Discount]])</f>
        <v>2237.4</v>
      </c>
      <c r="Q781" s="33">
        <f>Table2_1[[#This Row],[Revenue]]-Table2_1[[#This Row],[COGS]]</f>
        <v>203.40000000000009</v>
      </c>
      <c r="R781" s="39">
        <f>WEEKDAY(Table2_1[[#This Row],[Transaction  Date]])</f>
        <v>2</v>
      </c>
      <c r="S781" s="17" t="str">
        <f>IF(WEEKDAY(Table2_1[[#This Row],[Transaction  Date]],2)&lt;=5,"Weekday","Weekend")</f>
        <v>Weekday</v>
      </c>
      <c r="T781" s="37" t="str">
        <f>FLOOR(Table2_1[[#This Row],[Age]],15)&amp; "-"&amp; FLOOR(Table2_1[[#This Row],[Age]],15)+14</f>
        <v>15-29</v>
      </c>
    </row>
    <row r="782" spans="1:20" x14ac:dyDescent="0.3">
      <c r="A782" s="18">
        <v>45460</v>
      </c>
      <c r="B782" s="17" t="s">
        <v>1640</v>
      </c>
      <c r="C782" s="17" t="s">
        <v>78</v>
      </c>
      <c r="D782" s="18">
        <v>37441</v>
      </c>
      <c r="E782" s="16" t="s">
        <v>33</v>
      </c>
      <c r="F782" s="31">
        <v>10</v>
      </c>
      <c r="G782" s="17" t="s">
        <v>27</v>
      </c>
      <c r="H782" s="17" t="s">
        <v>43</v>
      </c>
      <c r="I782" s="17" t="s">
        <v>17</v>
      </c>
      <c r="J782" s="27">
        <v>0.1</v>
      </c>
      <c r="K782" s="17" t="s">
        <v>927</v>
      </c>
      <c r="L782" s="32">
        <v>18</v>
      </c>
      <c r="M782" s="32">
        <f>_xlfn.XLOOKUP(Table2_1[[#This Row],[Product Code]],Product_Code,Unit_Price,0)</f>
        <v>22</v>
      </c>
      <c r="N782" s="31">
        <f>DATEDIF(Table2_1[[#This Row],[Buyer Date of Birth]],Table2_1[[#This Row],[Transaction  Date]],"Y")</f>
        <v>21</v>
      </c>
      <c r="O782" s="33">
        <v>180</v>
      </c>
      <c r="P782" s="33">
        <f>Table2_1[[#This Row],[Quantity Purchased]]*Table2_1[[#This Row],[UnitPrice]]*(1-Table2_1[[#This Row],[Discount]])</f>
        <v>198</v>
      </c>
      <c r="Q782" s="33">
        <f>Table2_1[[#This Row],[Revenue]]-Table2_1[[#This Row],[COGS]]</f>
        <v>18</v>
      </c>
      <c r="R782" s="39">
        <f>WEEKDAY(Table2_1[[#This Row],[Transaction  Date]])</f>
        <v>2</v>
      </c>
      <c r="S782" s="17" t="str">
        <f>IF(WEEKDAY(Table2_1[[#This Row],[Transaction  Date]],2)&lt;=5,"Weekday","Weekend")</f>
        <v>Weekday</v>
      </c>
      <c r="T782" s="37" t="str">
        <f>FLOOR(Table2_1[[#This Row],[Age]],15)&amp; "-"&amp; FLOOR(Table2_1[[#This Row],[Age]],15)+14</f>
        <v>15-29</v>
      </c>
    </row>
    <row r="783" spans="1:20" x14ac:dyDescent="0.3">
      <c r="A783" s="18">
        <v>45460</v>
      </c>
      <c r="B783" s="17" t="s">
        <v>1641</v>
      </c>
      <c r="C783" s="17" t="s">
        <v>26</v>
      </c>
      <c r="D783" s="18">
        <v>22462</v>
      </c>
      <c r="E783" s="16" t="s">
        <v>33</v>
      </c>
      <c r="F783" s="31">
        <v>83</v>
      </c>
      <c r="G783" s="17" t="s">
        <v>34</v>
      </c>
      <c r="H783" s="17" t="s">
        <v>52</v>
      </c>
      <c r="I783" s="17" t="s">
        <v>17</v>
      </c>
      <c r="J783" s="27">
        <v>0.1</v>
      </c>
      <c r="K783" s="17" t="s">
        <v>930</v>
      </c>
      <c r="L783" s="32">
        <v>14</v>
      </c>
      <c r="M783" s="32">
        <f>_xlfn.XLOOKUP(Table2_1[[#This Row],[Product Code]],Product_Code,Unit_Price,0)</f>
        <v>28</v>
      </c>
      <c r="N783" s="31">
        <f>DATEDIF(Table2_1[[#This Row],[Buyer Date of Birth]],Table2_1[[#This Row],[Transaction  Date]],"Y")</f>
        <v>62</v>
      </c>
      <c r="O783" s="33">
        <v>1162</v>
      </c>
      <c r="P783" s="33">
        <f>Table2_1[[#This Row],[Quantity Purchased]]*Table2_1[[#This Row],[UnitPrice]]*(1-Table2_1[[#This Row],[Discount]])</f>
        <v>2091.6</v>
      </c>
      <c r="Q783" s="33">
        <f>Table2_1[[#This Row],[Revenue]]-Table2_1[[#This Row],[COGS]]</f>
        <v>929.59999999999991</v>
      </c>
      <c r="R783" s="39">
        <f>WEEKDAY(Table2_1[[#This Row],[Transaction  Date]])</f>
        <v>2</v>
      </c>
      <c r="S783" s="17" t="str">
        <f>IF(WEEKDAY(Table2_1[[#This Row],[Transaction  Date]],2)&lt;=5,"Weekday","Weekend")</f>
        <v>Weekday</v>
      </c>
      <c r="T783" s="37" t="str">
        <f>FLOOR(Table2_1[[#This Row],[Age]],15)&amp; "-"&amp; FLOOR(Table2_1[[#This Row],[Age]],15)+14</f>
        <v>60-74</v>
      </c>
    </row>
    <row r="784" spans="1:20" x14ac:dyDescent="0.3">
      <c r="A784" s="18">
        <v>45460</v>
      </c>
      <c r="B784" s="17" t="s">
        <v>1642</v>
      </c>
      <c r="C784" s="17" t="s">
        <v>32</v>
      </c>
      <c r="D784" s="18">
        <v>20693</v>
      </c>
      <c r="E784" s="16" t="s">
        <v>20</v>
      </c>
      <c r="F784" s="31">
        <v>264</v>
      </c>
      <c r="G784" s="17" t="s">
        <v>64</v>
      </c>
      <c r="H784" s="17" t="s">
        <v>48</v>
      </c>
      <c r="I784" s="17" t="s">
        <v>17</v>
      </c>
      <c r="J784" s="27">
        <v>0.1</v>
      </c>
      <c r="K784" s="17" t="s">
        <v>933</v>
      </c>
      <c r="L784" s="32">
        <v>5</v>
      </c>
      <c r="M784" s="32">
        <f>_xlfn.XLOOKUP(Table2_1[[#This Row],[Product Code]],Product_Code,Unit_Price,0)</f>
        <v>7</v>
      </c>
      <c r="N784" s="31">
        <f>DATEDIF(Table2_1[[#This Row],[Buyer Date of Birth]],Table2_1[[#This Row],[Transaction  Date]],"Y")</f>
        <v>67</v>
      </c>
      <c r="O784" s="33">
        <v>1320</v>
      </c>
      <c r="P784" s="33">
        <f>Table2_1[[#This Row],[Quantity Purchased]]*Table2_1[[#This Row],[UnitPrice]]*(1-Table2_1[[#This Row],[Discount]])</f>
        <v>1663.2</v>
      </c>
      <c r="Q784" s="33">
        <f>Table2_1[[#This Row],[Revenue]]-Table2_1[[#This Row],[COGS]]</f>
        <v>343.20000000000005</v>
      </c>
      <c r="R784" s="39">
        <f>WEEKDAY(Table2_1[[#This Row],[Transaction  Date]])</f>
        <v>2</v>
      </c>
      <c r="S784" s="17" t="str">
        <f>IF(WEEKDAY(Table2_1[[#This Row],[Transaction  Date]],2)&lt;=5,"Weekday","Weekend")</f>
        <v>Weekday</v>
      </c>
      <c r="T784" s="37" t="str">
        <f>FLOOR(Table2_1[[#This Row],[Age]],15)&amp; "-"&amp; FLOOR(Table2_1[[#This Row],[Age]],15)+14</f>
        <v>60-74</v>
      </c>
    </row>
    <row r="785" spans="1:20" x14ac:dyDescent="0.3">
      <c r="A785" s="18">
        <v>45460</v>
      </c>
      <c r="B785" s="17" t="s">
        <v>1883</v>
      </c>
      <c r="C785" s="17" t="s">
        <v>71</v>
      </c>
      <c r="D785" s="18">
        <v>31250</v>
      </c>
      <c r="E785" s="16" t="s">
        <v>68</v>
      </c>
      <c r="F785" s="31">
        <v>108</v>
      </c>
      <c r="G785" s="17" t="s">
        <v>56</v>
      </c>
      <c r="H785" s="17" t="s">
        <v>43</v>
      </c>
      <c r="I785" s="17" t="s">
        <v>17</v>
      </c>
      <c r="J785" s="27">
        <v>0.1</v>
      </c>
      <c r="K785" s="17" t="s">
        <v>935</v>
      </c>
      <c r="L785" s="32">
        <v>18</v>
      </c>
      <c r="M785" s="32">
        <f>_xlfn.XLOOKUP(Table2_1[[#This Row],[Product Code]],Product_Code,Unit_Price,0)</f>
        <v>36</v>
      </c>
      <c r="N785" s="31">
        <f>DATEDIF(Table2_1[[#This Row],[Buyer Date of Birth]],Table2_1[[#This Row],[Transaction  Date]],"Y")</f>
        <v>38</v>
      </c>
      <c r="O785" s="33">
        <v>1944</v>
      </c>
      <c r="P785" s="33">
        <f>Table2_1[[#This Row],[Quantity Purchased]]*Table2_1[[#This Row],[UnitPrice]]*(1-Table2_1[[#This Row],[Discount]])</f>
        <v>3499.2000000000003</v>
      </c>
      <c r="Q785" s="33">
        <f>Table2_1[[#This Row],[Revenue]]-Table2_1[[#This Row],[COGS]]</f>
        <v>1555.2000000000003</v>
      </c>
      <c r="R785" s="39">
        <f>WEEKDAY(Table2_1[[#This Row],[Transaction  Date]])</f>
        <v>2</v>
      </c>
      <c r="S785" s="17" t="str">
        <f>IF(WEEKDAY(Table2_1[[#This Row],[Transaction  Date]],2)&lt;=5,"Weekday","Weekend")</f>
        <v>Weekday</v>
      </c>
      <c r="T785" s="37" t="str">
        <f>FLOOR(Table2_1[[#This Row],[Age]],15)&amp; "-"&amp; FLOOR(Table2_1[[#This Row],[Age]],15)+14</f>
        <v>30-44</v>
      </c>
    </row>
    <row r="786" spans="1:20" x14ac:dyDescent="0.3">
      <c r="A786" s="18">
        <v>45460</v>
      </c>
      <c r="B786" s="17" t="s">
        <v>1643</v>
      </c>
      <c r="C786" s="17" t="s">
        <v>26</v>
      </c>
      <c r="D786" s="18">
        <v>36925</v>
      </c>
      <c r="E786" s="16" t="s">
        <v>14</v>
      </c>
      <c r="F786" s="31">
        <v>60</v>
      </c>
      <c r="G786" s="17" t="s">
        <v>59</v>
      </c>
      <c r="H786" s="17" t="s">
        <v>52</v>
      </c>
      <c r="I786" s="17" t="s">
        <v>17</v>
      </c>
      <c r="J786" s="27">
        <v>0.1</v>
      </c>
      <c r="K786" s="17" t="s">
        <v>932</v>
      </c>
      <c r="L786" s="32">
        <v>19</v>
      </c>
      <c r="M786" s="32">
        <f>_xlfn.XLOOKUP(Table2_1[[#This Row],[Product Code]],Product_Code,Unit_Price,0)</f>
        <v>23</v>
      </c>
      <c r="N786" s="31">
        <f>DATEDIF(Table2_1[[#This Row],[Buyer Date of Birth]],Table2_1[[#This Row],[Transaction  Date]],"Y")</f>
        <v>23</v>
      </c>
      <c r="O786" s="33">
        <v>1140</v>
      </c>
      <c r="P786" s="33">
        <f>Table2_1[[#This Row],[Quantity Purchased]]*Table2_1[[#This Row],[UnitPrice]]*(1-Table2_1[[#This Row],[Discount]])</f>
        <v>1242</v>
      </c>
      <c r="Q786" s="33">
        <f>Table2_1[[#This Row],[Revenue]]-Table2_1[[#This Row],[COGS]]</f>
        <v>102</v>
      </c>
      <c r="R786" s="39">
        <f>WEEKDAY(Table2_1[[#This Row],[Transaction  Date]])</f>
        <v>2</v>
      </c>
      <c r="S786" s="17" t="str">
        <f>IF(WEEKDAY(Table2_1[[#This Row],[Transaction  Date]],2)&lt;=5,"Weekday","Weekend")</f>
        <v>Weekday</v>
      </c>
      <c r="T786" s="37" t="str">
        <f>FLOOR(Table2_1[[#This Row],[Age]],15)&amp; "-"&amp; FLOOR(Table2_1[[#This Row],[Age]],15)+14</f>
        <v>15-29</v>
      </c>
    </row>
    <row r="787" spans="1:20" x14ac:dyDescent="0.3">
      <c r="A787" s="18">
        <v>45460</v>
      </c>
      <c r="B787" s="17" t="s">
        <v>1644</v>
      </c>
      <c r="C787" s="17" t="s">
        <v>32</v>
      </c>
      <c r="D787" s="18">
        <v>17232</v>
      </c>
      <c r="E787" s="16" t="s">
        <v>14</v>
      </c>
      <c r="F787" s="31">
        <v>344</v>
      </c>
      <c r="G787" s="17" t="s">
        <v>27</v>
      </c>
      <c r="H787" s="17" t="s">
        <v>35</v>
      </c>
      <c r="I787" s="17" t="s">
        <v>17</v>
      </c>
      <c r="J787" s="27">
        <v>0.1</v>
      </c>
      <c r="K787" s="17" t="s">
        <v>927</v>
      </c>
      <c r="L787" s="32">
        <v>18</v>
      </c>
      <c r="M787" s="32">
        <f>_xlfn.XLOOKUP(Table2_1[[#This Row],[Product Code]],Product_Code,Unit_Price,0)</f>
        <v>22</v>
      </c>
      <c r="N787" s="31">
        <f>DATEDIF(Table2_1[[#This Row],[Buyer Date of Birth]],Table2_1[[#This Row],[Transaction  Date]],"Y")</f>
        <v>77</v>
      </c>
      <c r="O787" s="33">
        <v>6192</v>
      </c>
      <c r="P787" s="33">
        <f>Table2_1[[#This Row],[Quantity Purchased]]*Table2_1[[#This Row],[UnitPrice]]*(1-Table2_1[[#This Row],[Discount]])</f>
        <v>6811.2</v>
      </c>
      <c r="Q787" s="33">
        <f>Table2_1[[#This Row],[Revenue]]-Table2_1[[#This Row],[COGS]]</f>
        <v>619.19999999999982</v>
      </c>
      <c r="R787" s="39">
        <f>WEEKDAY(Table2_1[[#This Row],[Transaction  Date]])</f>
        <v>2</v>
      </c>
      <c r="S787" s="17" t="str">
        <f>IF(WEEKDAY(Table2_1[[#This Row],[Transaction  Date]],2)&lt;=5,"Weekday","Weekend")</f>
        <v>Weekday</v>
      </c>
      <c r="T787" s="37" t="str">
        <f>FLOOR(Table2_1[[#This Row],[Age]],15)&amp; "-"&amp; FLOOR(Table2_1[[#This Row],[Age]],15)+14</f>
        <v>75-89</v>
      </c>
    </row>
    <row r="788" spans="1:20" x14ac:dyDescent="0.3">
      <c r="A788" s="18">
        <v>45460</v>
      </c>
      <c r="B788" s="17" t="s">
        <v>1645</v>
      </c>
      <c r="C788" s="17" t="s">
        <v>78</v>
      </c>
      <c r="D788" s="18">
        <v>27057</v>
      </c>
      <c r="E788" s="16" t="s">
        <v>14</v>
      </c>
      <c r="F788" s="31">
        <v>345</v>
      </c>
      <c r="G788" s="17" t="s">
        <v>59</v>
      </c>
      <c r="H788" s="17" t="s">
        <v>32</v>
      </c>
      <c r="I788" s="17" t="s">
        <v>17</v>
      </c>
      <c r="J788" s="27">
        <v>0.1</v>
      </c>
      <c r="K788" s="17" t="s">
        <v>932</v>
      </c>
      <c r="L788" s="32">
        <v>19</v>
      </c>
      <c r="M788" s="32">
        <f>_xlfn.XLOOKUP(Table2_1[[#This Row],[Product Code]],Product_Code,Unit_Price,0)</f>
        <v>23</v>
      </c>
      <c r="N788" s="31">
        <f>DATEDIF(Table2_1[[#This Row],[Buyer Date of Birth]],Table2_1[[#This Row],[Transaction  Date]],"Y")</f>
        <v>50</v>
      </c>
      <c r="O788" s="33">
        <v>6555</v>
      </c>
      <c r="P788" s="33">
        <f>Table2_1[[#This Row],[Quantity Purchased]]*Table2_1[[#This Row],[UnitPrice]]*(1-Table2_1[[#This Row],[Discount]])</f>
        <v>7141.5</v>
      </c>
      <c r="Q788" s="33">
        <f>Table2_1[[#This Row],[Revenue]]-Table2_1[[#This Row],[COGS]]</f>
        <v>586.5</v>
      </c>
      <c r="R788" s="39">
        <f>WEEKDAY(Table2_1[[#This Row],[Transaction  Date]])</f>
        <v>2</v>
      </c>
      <c r="S788" s="17" t="str">
        <f>IF(WEEKDAY(Table2_1[[#This Row],[Transaction  Date]],2)&lt;=5,"Weekday","Weekend")</f>
        <v>Weekday</v>
      </c>
      <c r="T788" s="37" t="str">
        <f>FLOOR(Table2_1[[#This Row],[Age]],15)&amp; "-"&amp; FLOOR(Table2_1[[#This Row],[Age]],15)+14</f>
        <v>45-59</v>
      </c>
    </row>
    <row r="789" spans="1:20" x14ac:dyDescent="0.3">
      <c r="A789" s="18">
        <v>45461</v>
      </c>
      <c r="B789" s="17" t="s">
        <v>1646</v>
      </c>
      <c r="C789" s="17" t="s">
        <v>51</v>
      </c>
      <c r="D789" s="18">
        <v>25872</v>
      </c>
      <c r="E789" s="16" t="s">
        <v>33</v>
      </c>
      <c r="F789" s="31">
        <v>494</v>
      </c>
      <c r="G789" s="17" t="s">
        <v>42</v>
      </c>
      <c r="H789" s="17" t="s">
        <v>35</v>
      </c>
      <c r="I789" s="17" t="s">
        <v>17</v>
      </c>
      <c r="J789" s="27">
        <v>0.1</v>
      </c>
      <c r="K789" s="17" t="s">
        <v>926</v>
      </c>
      <c r="L789" s="32">
        <v>10</v>
      </c>
      <c r="M789" s="32">
        <f>_xlfn.XLOOKUP(Table2_1[[#This Row],[Product Code]],Product_Code,Unit_Price,0)</f>
        <v>11</v>
      </c>
      <c r="N789" s="31">
        <f>DATEDIF(Table2_1[[#This Row],[Buyer Date of Birth]],Table2_1[[#This Row],[Transaction  Date]],"Y")</f>
        <v>53</v>
      </c>
      <c r="O789" s="33">
        <v>4940</v>
      </c>
      <c r="P789" s="33">
        <f>Table2_1[[#This Row],[Quantity Purchased]]*Table2_1[[#This Row],[UnitPrice]]*(1-Table2_1[[#This Row],[Discount]])</f>
        <v>4890.6000000000004</v>
      </c>
      <c r="Q789" s="33">
        <f>Table2_1[[#This Row],[Revenue]]-Table2_1[[#This Row],[COGS]]</f>
        <v>-49.399999999999636</v>
      </c>
      <c r="R789" s="39">
        <f>WEEKDAY(Table2_1[[#This Row],[Transaction  Date]])</f>
        <v>3</v>
      </c>
      <c r="S789" s="17" t="str">
        <f>IF(WEEKDAY(Table2_1[[#This Row],[Transaction  Date]],2)&lt;=5,"Weekday","Weekend")</f>
        <v>Weekday</v>
      </c>
      <c r="T789" s="37" t="str">
        <f>FLOOR(Table2_1[[#This Row],[Age]],15)&amp; "-"&amp; FLOOR(Table2_1[[#This Row],[Age]],15)+14</f>
        <v>45-59</v>
      </c>
    </row>
    <row r="790" spans="1:20" x14ac:dyDescent="0.3">
      <c r="A790" s="18">
        <v>45461</v>
      </c>
      <c r="B790" s="17" t="s">
        <v>1647</v>
      </c>
      <c r="C790" s="17" t="s">
        <v>94</v>
      </c>
      <c r="D790" s="18">
        <v>33774</v>
      </c>
      <c r="E790" s="16" t="s">
        <v>20</v>
      </c>
      <c r="F790" s="31">
        <v>484</v>
      </c>
      <c r="G790" s="17" t="s">
        <v>47</v>
      </c>
      <c r="H790" s="17" t="s">
        <v>48</v>
      </c>
      <c r="I790" s="17" t="s">
        <v>17</v>
      </c>
      <c r="J790" s="27">
        <v>0.1</v>
      </c>
      <c r="K790" s="17" t="s">
        <v>931</v>
      </c>
      <c r="L790" s="32">
        <v>7</v>
      </c>
      <c r="M790" s="32">
        <f>_xlfn.XLOOKUP(Table2_1[[#This Row],[Product Code]],Product_Code,Unit_Price,0)</f>
        <v>9</v>
      </c>
      <c r="N790" s="31">
        <f>DATEDIF(Table2_1[[#This Row],[Buyer Date of Birth]],Table2_1[[#This Row],[Transaction  Date]],"Y")</f>
        <v>31</v>
      </c>
      <c r="O790" s="33">
        <v>3388</v>
      </c>
      <c r="P790" s="33">
        <f>Table2_1[[#This Row],[Quantity Purchased]]*Table2_1[[#This Row],[UnitPrice]]*(1-Table2_1[[#This Row],[Discount]])</f>
        <v>3920.4</v>
      </c>
      <c r="Q790" s="33">
        <f>Table2_1[[#This Row],[Revenue]]-Table2_1[[#This Row],[COGS]]</f>
        <v>532.40000000000009</v>
      </c>
      <c r="R790" s="39">
        <f>WEEKDAY(Table2_1[[#This Row],[Transaction  Date]])</f>
        <v>3</v>
      </c>
      <c r="S790" s="17" t="str">
        <f>IF(WEEKDAY(Table2_1[[#This Row],[Transaction  Date]],2)&lt;=5,"Weekday","Weekend")</f>
        <v>Weekday</v>
      </c>
      <c r="T790" s="37" t="str">
        <f>FLOOR(Table2_1[[#This Row],[Age]],15)&amp; "-"&amp; FLOOR(Table2_1[[#This Row],[Age]],15)+14</f>
        <v>30-44</v>
      </c>
    </row>
    <row r="791" spans="1:20" x14ac:dyDescent="0.3">
      <c r="A791" s="18">
        <v>45461</v>
      </c>
      <c r="B791" s="17" t="s">
        <v>1648</v>
      </c>
      <c r="C791" s="17" t="s">
        <v>71</v>
      </c>
      <c r="D791" s="18">
        <v>38438</v>
      </c>
      <c r="E791" s="16" t="s">
        <v>20</v>
      </c>
      <c r="F791" s="31">
        <v>248</v>
      </c>
      <c r="G791" s="17" t="s">
        <v>59</v>
      </c>
      <c r="H791" s="17" t="s">
        <v>52</v>
      </c>
      <c r="I791" s="17" t="s">
        <v>17</v>
      </c>
      <c r="J791" s="27">
        <v>0.1</v>
      </c>
      <c r="K791" s="17" t="s">
        <v>932</v>
      </c>
      <c r="L791" s="32">
        <v>19</v>
      </c>
      <c r="M791" s="32">
        <f>_xlfn.XLOOKUP(Table2_1[[#This Row],[Product Code]],Product_Code,Unit_Price,0)</f>
        <v>23</v>
      </c>
      <c r="N791" s="31">
        <f>DATEDIF(Table2_1[[#This Row],[Buyer Date of Birth]],Table2_1[[#This Row],[Transaction  Date]],"Y")</f>
        <v>19</v>
      </c>
      <c r="O791" s="33">
        <v>4712</v>
      </c>
      <c r="P791" s="33">
        <f>Table2_1[[#This Row],[Quantity Purchased]]*Table2_1[[#This Row],[UnitPrice]]*(1-Table2_1[[#This Row],[Discount]])</f>
        <v>5133.6000000000004</v>
      </c>
      <c r="Q791" s="33">
        <f>Table2_1[[#This Row],[Revenue]]-Table2_1[[#This Row],[COGS]]</f>
        <v>421.60000000000036</v>
      </c>
      <c r="R791" s="39">
        <f>WEEKDAY(Table2_1[[#This Row],[Transaction  Date]])</f>
        <v>3</v>
      </c>
      <c r="S791" s="17" t="str">
        <f>IF(WEEKDAY(Table2_1[[#This Row],[Transaction  Date]],2)&lt;=5,"Weekday","Weekend")</f>
        <v>Weekday</v>
      </c>
      <c r="T791" s="37" t="str">
        <f>FLOOR(Table2_1[[#This Row],[Age]],15)&amp; "-"&amp; FLOOR(Table2_1[[#This Row],[Age]],15)+14</f>
        <v>15-29</v>
      </c>
    </row>
    <row r="792" spans="1:20" x14ac:dyDescent="0.3">
      <c r="A792" s="18">
        <v>45461</v>
      </c>
      <c r="B792" s="17" t="s">
        <v>1649</v>
      </c>
      <c r="C792" s="17" t="s">
        <v>51</v>
      </c>
      <c r="D792" s="18">
        <v>34009</v>
      </c>
      <c r="E792" s="16" t="s">
        <v>68</v>
      </c>
      <c r="F792" s="31">
        <v>357</v>
      </c>
      <c r="G792" s="17" t="s">
        <v>42</v>
      </c>
      <c r="H792" s="17" t="s">
        <v>52</v>
      </c>
      <c r="I792" s="17" t="s">
        <v>17</v>
      </c>
      <c r="J792" s="27">
        <v>0.1</v>
      </c>
      <c r="K792" s="17" t="s">
        <v>926</v>
      </c>
      <c r="L792" s="32">
        <v>10</v>
      </c>
      <c r="M792" s="32">
        <f>_xlfn.XLOOKUP(Table2_1[[#This Row],[Product Code]],Product_Code,Unit_Price,0)</f>
        <v>11</v>
      </c>
      <c r="N792" s="31">
        <f>DATEDIF(Table2_1[[#This Row],[Buyer Date of Birth]],Table2_1[[#This Row],[Transaction  Date]],"Y")</f>
        <v>31</v>
      </c>
      <c r="O792" s="33">
        <v>3570</v>
      </c>
      <c r="P792" s="33">
        <f>Table2_1[[#This Row],[Quantity Purchased]]*Table2_1[[#This Row],[UnitPrice]]*(1-Table2_1[[#This Row],[Discount]])</f>
        <v>3534.3</v>
      </c>
      <c r="Q792" s="33">
        <f>Table2_1[[#This Row],[Revenue]]-Table2_1[[#This Row],[COGS]]</f>
        <v>-35.699999999999818</v>
      </c>
      <c r="R792" s="39">
        <f>WEEKDAY(Table2_1[[#This Row],[Transaction  Date]])</f>
        <v>3</v>
      </c>
      <c r="S792" s="17" t="str">
        <f>IF(WEEKDAY(Table2_1[[#This Row],[Transaction  Date]],2)&lt;=5,"Weekday","Weekend")</f>
        <v>Weekday</v>
      </c>
      <c r="T792" s="37" t="str">
        <f>FLOOR(Table2_1[[#This Row],[Age]],15)&amp; "-"&amp; FLOOR(Table2_1[[#This Row],[Age]],15)+14</f>
        <v>30-44</v>
      </c>
    </row>
    <row r="793" spans="1:20" x14ac:dyDescent="0.3">
      <c r="A793" s="18">
        <v>45461</v>
      </c>
      <c r="B793" s="17" t="s">
        <v>1650</v>
      </c>
      <c r="C793" s="17" t="s">
        <v>78</v>
      </c>
      <c r="D793" s="18">
        <v>29139</v>
      </c>
      <c r="E793" s="16" t="s">
        <v>14</v>
      </c>
      <c r="F793" s="31">
        <v>471</v>
      </c>
      <c r="G793" s="17" t="s">
        <v>47</v>
      </c>
      <c r="H793" s="17" t="s">
        <v>35</v>
      </c>
      <c r="I793" s="17" t="s">
        <v>17</v>
      </c>
      <c r="J793" s="27">
        <v>0.1</v>
      </c>
      <c r="K793" s="17" t="s">
        <v>931</v>
      </c>
      <c r="L793" s="32">
        <v>7</v>
      </c>
      <c r="M793" s="32">
        <f>_xlfn.XLOOKUP(Table2_1[[#This Row],[Product Code]],Product_Code,Unit_Price,0)</f>
        <v>9</v>
      </c>
      <c r="N793" s="31">
        <f>DATEDIF(Table2_1[[#This Row],[Buyer Date of Birth]],Table2_1[[#This Row],[Transaction  Date]],"Y")</f>
        <v>44</v>
      </c>
      <c r="O793" s="33">
        <v>3297</v>
      </c>
      <c r="P793" s="33">
        <f>Table2_1[[#This Row],[Quantity Purchased]]*Table2_1[[#This Row],[UnitPrice]]*(1-Table2_1[[#This Row],[Discount]])</f>
        <v>3815.1</v>
      </c>
      <c r="Q793" s="33">
        <f>Table2_1[[#This Row],[Revenue]]-Table2_1[[#This Row],[COGS]]</f>
        <v>518.09999999999991</v>
      </c>
      <c r="R793" s="39">
        <f>WEEKDAY(Table2_1[[#This Row],[Transaction  Date]])</f>
        <v>3</v>
      </c>
      <c r="S793" s="17" t="str">
        <f>IF(WEEKDAY(Table2_1[[#This Row],[Transaction  Date]],2)&lt;=5,"Weekday","Weekend")</f>
        <v>Weekday</v>
      </c>
      <c r="T793" s="37" t="str">
        <f>FLOOR(Table2_1[[#This Row],[Age]],15)&amp; "-"&amp; FLOOR(Table2_1[[#This Row],[Age]],15)+14</f>
        <v>30-44</v>
      </c>
    </row>
    <row r="794" spans="1:20" x14ac:dyDescent="0.3">
      <c r="A794" s="18">
        <v>45461</v>
      </c>
      <c r="B794" s="17" t="s">
        <v>996</v>
      </c>
      <c r="C794" s="17" t="s">
        <v>26</v>
      </c>
      <c r="D794" s="18">
        <v>34879</v>
      </c>
      <c r="E794" s="16" t="s">
        <v>68</v>
      </c>
      <c r="F794" s="31">
        <v>323</v>
      </c>
      <c r="G794" s="17" t="s">
        <v>15</v>
      </c>
      <c r="H794" s="17" t="s">
        <v>48</v>
      </c>
      <c r="I794" s="17" t="s">
        <v>17</v>
      </c>
      <c r="J794" s="27">
        <v>0.1</v>
      </c>
      <c r="K794" s="17" t="s">
        <v>929</v>
      </c>
      <c r="L794" s="32">
        <v>10</v>
      </c>
      <c r="M794" s="32">
        <f>_xlfn.XLOOKUP(Table2_1[[#This Row],[Product Code]],Product_Code,Unit_Price,0)</f>
        <v>14</v>
      </c>
      <c r="N794" s="31">
        <f>DATEDIF(Table2_1[[#This Row],[Buyer Date of Birth]],Table2_1[[#This Row],[Transaction  Date]],"Y")</f>
        <v>28</v>
      </c>
      <c r="O794" s="33">
        <v>3230</v>
      </c>
      <c r="P794" s="33">
        <f>Table2_1[[#This Row],[Quantity Purchased]]*Table2_1[[#This Row],[UnitPrice]]*(1-Table2_1[[#This Row],[Discount]])</f>
        <v>4069.8</v>
      </c>
      <c r="Q794" s="33">
        <f>Table2_1[[#This Row],[Revenue]]-Table2_1[[#This Row],[COGS]]</f>
        <v>839.80000000000018</v>
      </c>
      <c r="R794" s="39">
        <f>WEEKDAY(Table2_1[[#This Row],[Transaction  Date]])</f>
        <v>3</v>
      </c>
      <c r="S794" s="17" t="str">
        <f>IF(WEEKDAY(Table2_1[[#This Row],[Transaction  Date]],2)&lt;=5,"Weekday","Weekend")</f>
        <v>Weekday</v>
      </c>
      <c r="T794" s="37" t="str">
        <f>FLOOR(Table2_1[[#This Row],[Age]],15)&amp; "-"&amp; FLOOR(Table2_1[[#This Row],[Age]],15)+14</f>
        <v>15-29</v>
      </c>
    </row>
    <row r="795" spans="1:20" x14ac:dyDescent="0.3">
      <c r="A795" s="18">
        <v>45461</v>
      </c>
      <c r="B795" s="17" t="s">
        <v>1651</v>
      </c>
      <c r="C795" s="17" t="s">
        <v>51</v>
      </c>
      <c r="D795" s="18">
        <v>23954</v>
      </c>
      <c r="E795" s="16" t="s">
        <v>20</v>
      </c>
      <c r="F795" s="31">
        <v>493</v>
      </c>
      <c r="G795" s="17" t="s">
        <v>65</v>
      </c>
      <c r="H795" s="17" t="s">
        <v>52</v>
      </c>
      <c r="I795" s="17" t="s">
        <v>17</v>
      </c>
      <c r="J795" s="27">
        <v>0.1</v>
      </c>
      <c r="K795" s="17" t="s">
        <v>928</v>
      </c>
      <c r="L795" s="32">
        <v>3</v>
      </c>
      <c r="M795" s="32">
        <f>_xlfn.XLOOKUP(Table2_1[[#This Row],[Product Code]],Product_Code,Unit_Price,0)</f>
        <v>5</v>
      </c>
      <c r="N795" s="31">
        <f>DATEDIF(Table2_1[[#This Row],[Buyer Date of Birth]],Table2_1[[#This Row],[Transaction  Date]],"Y")</f>
        <v>58</v>
      </c>
      <c r="O795" s="33">
        <v>1479</v>
      </c>
      <c r="P795" s="33">
        <f>Table2_1[[#This Row],[Quantity Purchased]]*Table2_1[[#This Row],[UnitPrice]]*(1-Table2_1[[#This Row],[Discount]])</f>
        <v>2218.5</v>
      </c>
      <c r="Q795" s="33">
        <f>Table2_1[[#This Row],[Revenue]]-Table2_1[[#This Row],[COGS]]</f>
        <v>739.5</v>
      </c>
      <c r="R795" s="39">
        <f>WEEKDAY(Table2_1[[#This Row],[Transaction  Date]])</f>
        <v>3</v>
      </c>
      <c r="S795" s="17" t="str">
        <f>IF(WEEKDAY(Table2_1[[#This Row],[Transaction  Date]],2)&lt;=5,"Weekday","Weekend")</f>
        <v>Weekday</v>
      </c>
      <c r="T795" s="37" t="str">
        <f>FLOOR(Table2_1[[#This Row],[Age]],15)&amp; "-"&amp; FLOOR(Table2_1[[#This Row],[Age]],15)+14</f>
        <v>45-59</v>
      </c>
    </row>
    <row r="796" spans="1:20" x14ac:dyDescent="0.3">
      <c r="A796" s="18">
        <v>45462</v>
      </c>
      <c r="B796" s="17" t="s">
        <v>1652</v>
      </c>
      <c r="C796" s="17" t="s">
        <v>55</v>
      </c>
      <c r="D796" s="18">
        <v>19098</v>
      </c>
      <c r="E796" s="16" t="s">
        <v>68</v>
      </c>
      <c r="F796" s="31">
        <v>370</v>
      </c>
      <c r="G796" s="17" t="s">
        <v>27</v>
      </c>
      <c r="H796" s="17" t="s">
        <v>52</v>
      </c>
      <c r="I796" s="17" t="s">
        <v>29</v>
      </c>
      <c r="J796" s="27">
        <v>0.1</v>
      </c>
      <c r="K796" s="17" t="s">
        <v>927</v>
      </c>
      <c r="L796" s="32">
        <v>18</v>
      </c>
      <c r="M796" s="32">
        <f>_xlfn.XLOOKUP(Table2_1[[#This Row],[Product Code]],Product_Code,Unit_Price,0)</f>
        <v>22</v>
      </c>
      <c r="N796" s="31">
        <f>DATEDIF(Table2_1[[#This Row],[Buyer Date of Birth]],Table2_1[[#This Row],[Transaction  Date]],"Y")</f>
        <v>72</v>
      </c>
      <c r="O796" s="33">
        <v>6660</v>
      </c>
      <c r="P796" s="33">
        <f>Table2_1[[#This Row],[Quantity Purchased]]*Table2_1[[#This Row],[UnitPrice]]*(1-Table2_1[[#This Row],[Discount]])</f>
        <v>7326</v>
      </c>
      <c r="Q796" s="33">
        <f>Table2_1[[#This Row],[Revenue]]-Table2_1[[#This Row],[COGS]]</f>
        <v>666</v>
      </c>
      <c r="R796" s="39">
        <f>WEEKDAY(Table2_1[[#This Row],[Transaction  Date]])</f>
        <v>4</v>
      </c>
      <c r="S796" s="17" t="str">
        <f>IF(WEEKDAY(Table2_1[[#This Row],[Transaction  Date]],2)&lt;=5,"Weekday","Weekend")</f>
        <v>Weekday</v>
      </c>
      <c r="T796" s="37" t="str">
        <f>FLOOR(Table2_1[[#This Row],[Age]],15)&amp; "-"&amp; FLOOR(Table2_1[[#This Row],[Age]],15)+14</f>
        <v>60-74</v>
      </c>
    </row>
    <row r="797" spans="1:20" x14ac:dyDescent="0.3">
      <c r="A797" s="18">
        <v>45462</v>
      </c>
      <c r="B797" s="17" t="s">
        <v>1653</v>
      </c>
      <c r="C797" s="17" t="s">
        <v>55</v>
      </c>
      <c r="D797" s="18">
        <v>25439</v>
      </c>
      <c r="E797" s="16" t="s">
        <v>68</v>
      </c>
      <c r="F797" s="31">
        <v>170</v>
      </c>
      <c r="G797" s="17" t="s">
        <v>27</v>
      </c>
      <c r="H797" s="17" t="s">
        <v>43</v>
      </c>
      <c r="I797" s="17" t="s">
        <v>29</v>
      </c>
      <c r="J797" s="27">
        <v>0.1</v>
      </c>
      <c r="K797" s="17" t="s">
        <v>927</v>
      </c>
      <c r="L797" s="32">
        <v>18</v>
      </c>
      <c r="M797" s="32">
        <f>_xlfn.XLOOKUP(Table2_1[[#This Row],[Product Code]],Product_Code,Unit_Price,0)</f>
        <v>22</v>
      </c>
      <c r="N797" s="31">
        <f>DATEDIF(Table2_1[[#This Row],[Buyer Date of Birth]],Table2_1[[#This Row],[Transaction  Date]],"Y")</f>
        <v>54</v>
      </c>
      <c r="O797" s="33">
        <v>3060</v>
      </c>
      <c r="P797" s="33">
        <f>Table2_1[[#This Row],[Quantity Purchased]]*Table2_1[[#This Row],[UnitPrice]]*(1-Table2_1[[#This Row],[Discount]])</f>
        <v>3366</v>
      </c>
      <c r="Q797" s="33">
        <f>Table2_1[[#This Row],[Revenue]]-Table2_1[[#This Row],[COGS]]</f>
        <v>306</v>
      </c>
      <c r="R797" s="39">
        <f>WEEKDAY(Table2_1[[#This Row],[Transaction  Date]])</f>
        <v>4</v>
      </c>
      <c r="S797" s="17" t="str">
        <f>IF(WEEKDAY(Table2_1[[#This Row],[Transaction  Date]],2)&lt;=5,"Weekday","Weekend")</f>
        <v>Weekday</v>
      </c>
      <c r="T797" s="37" t="str">
        <f>FLOOR(Table2_1[[#This Row],[Age]],15)&amp; "-"&amp; FLOOR(Table2_1[[#This Row],[Age]],15)+14</f>
        <v>45-59</v>
      </c>
    </row>
    <row r="798" spans="1:20" x14ac:dyDescent="0.3">
      <c r="A798" s="18">
        <v>45462</v>
      </c>
      <c r="B798" s="17" t="s">
        <v>1654</v>
      </c>
      <c r="C798" s="17" t="s">
        <v>94</v>
      </c>
      <c r="D798" s="18">
        <v>22070</v>
      </c>
      <c r="E798" s="16" t="s">
        <v>20</v>
      </c>
      <c r="F798" s="31">
        <v>134</v>
      </c>
      <c r="G798" s="17" t="s">
        <v>65</v>
      </c>
      <c r="H798" s="17" t="s">
        <v>52</v>
      </c>
      <c r="I798" s="17" t="s">
        <v>17</v>
      </c>
      <c r="J798" s="27">
        <v>0.1</v>
      </c>
      <c r="K798" s="17" t="s">
        <v>928</v>
      </c>
      <c r="L798" s="32">
        <v>3</v>
      </c>
      <c r="M798" s="32">
        <f>_xlfn.XLOOKUP(Table2_1[[#This Row],[Product Code]],Product_Code,Unit_Price,0)</f>
        <v>5</v>
      </c>
      <c r="N798" s="31">
        <f>DATEDIF(Table2_1[[#This Row],[Buyer Date of Birth]],Table2_1[[#This Row],[Transaction  Date]],"Y")</f>
        <v>64</v>
      </c>
      <c r="O798" s="33">
        <v>402</v>
      </c>
      <c r="P798" s="33">
        <f>Table2_1[[#This Row],[Quantity Purchased]]*Table2_1[[#This Row],[UnitPrice]]*(1-Table2_1[[#This Row],[Discount]])</f>
        <v>603</v>
      </c>
      <c r="Q798" s="33">
        <f>Table2_1[[#This Row],[Revenue]]-Table2_1[[#This Row],[COGS]]</f>
        <v>201</v>
      </c>
      <c r="R798" s="39">
        <f>WEEKDAY(Table2_1[[#This Row],[Transaction  Date]])</f>
        <v>4</v>
      </c>
      <c r="S798" s="17" t="str">
        <f>IF(WEEKDAY(Table2_1[[#This Row],[Transaction  Date]],2)&lt;=5,"Weekday","Weekend")</f>
        <v>Weekday</v>
      </c>
      <c r="T798" s="37" t="str">
        <f>FLOOR(Table2_1[[#This Row],[Age]],15)&amp; "-"&amp; FLOOR(Table2_1[[#This Row],[Age]],15)+14</f>
        <v>60-74</v>
      </c>
    </row>
    <row r="799" spans="1:20" x14ac:dyDescent="0.3">
      <c r="A799" s="18">
        <v>45463</v>
      </c>
      <c r="B799" s="17" t="s">
        <v>1655</v>
      </c>
      <c r="C799" s="17" t="s">
        <v>46</v>
      </c>
      <c r="D799" s="18">
        <v>18724</v>
      </c>
      <c r="E799" s="16" t="s">
        <v>68</v>
      </c>
      <c r="F799" s="31">
        <v>233</v>
      </c>
      <c r="G799" s="17" t="s">
        <v>65</v>
      </c>
      <c r="H799" s="17" t="s">
        <v>48</v>
      </c>
      <c r="I799" s="17" t="s">
        <v>17</v>
      </c>
      <c r="J799" s="27">
        <v>0.1</v>
      </c>
      <c r="K799" s="17" t="s">
        <v>928</v>
      </c>
      <c r="L799" s="32">
        <v>3</v>
      </c>
      <c r="M799" s="32">
        <f>_xlfn.XLOOKUP(Table2_1[[#This Row],[Product Code]],Product_Code,Unit_Price,0)</f>
        <v>5</v>
      </c>
      <c r="N799" s="31">
        <f>DATEDIF(Table2_1[[#This Row],[Buyer Date of Birth]],Table2_1[[#This Row],[Transaction  Date]],"Y")</f>
        <v>73</v>
      </c>
      <c r="O799" s="33">
        <v>699</v>
      </c>
      <c r="P799" s="33">
        <f>Table2_1[[#This Row],[Quantity Purchased]]*Table2_1[[#This Row],[UnitPrice]]*(1-Table2_1[[#This Row],[Discount]])</f>
        <v>1048.5</v>
      </c>
      <c r="Q799" s="33">
        <f>Table2_1[[#This Row],[Revenue]]-Table2_1[[#This Row],[COGS]]</f>
        <v>349.5</v>
      </c>
      <c r="R799" s="39">
        <f>WEEKDAY(Table2_1[[#This Row],[Transaction  Date]])</f>
        <v>5</v>
      </c>
      <c r="S799" s="17" t="str">
        <f>IF(WEEKDAY(Table2_1[[#This Row],[Transaction  Date]],2)&lt;=5,"Weekday","Weekend")</f>
        <v>Weekday</v>
      </c>
      <c r="T799" s="37" t="str">
        <f>FLOOR(Table2_1[[#This Row],[Age]],15)&amp; "-"&amp; FLOOR(Table2_1[[#This Row],[Age]],15)+14</f>
        <v>60-74</v>
      </c>
    </row>
    <row r="800" spans="1:20" x14ac:dyDescent="0.3">
      <c r="A800" s="18">
        <v>45464</v>
      </c>
      <c r="B800" s="17" t="s">
        <v>1656</v>
      </c>
      <c r="C800" s="17" t="s">
        <v>78</v>
      </c>
      <c r="D800" s="18">
        <v>33457</v>
      </c>
      <c r="E800" s="16" t="s">
        <v>68</v>
      </c>
      <c r="F800" s="31">
        <v>267</v>
      </c>
      <c r="G800" s="17" t="s">
        <v>15</v>
      </c>
      <c r="H800" s="17" t="s">
        <v>43</v>
      </c>
      <c r="I800" s="17" t="s">
        <v>29</v>
      </c>
      <c r="J800" s="27">
        <v>0.1</v>
      </c>
      <c r="K800" s="17" t="s">
        <v>929</v>
      </c>
      <c r="L800" s="32">
        <v>10</v>
      </c>
      <c r="M800" s="32">
        <f>_xlfn.XLOOKUP(Table2_1[[#This Row],[Product Code]],Product_Code,Unit_Price,0)</f>
        <v>14</v>
      </c>
      <c r="N800" s="31">
        <f>DATEDIF(Table2_1[[#This Row],[Buyer Date of Birth]],Table2_1[[#This Row],[Transaction  Date]],"Y")</f>
        <v>32</v>
      </c>
      <c r="O800" s="33">
        <v>2670</v>
      </c>
      <c r="P800" s="33">
        <f>Table2_1[[#This Row],[Quantity Purchased]]*Table2_1[[#This Row],[UnitPrice]]*(1-Table2_1[[#This Row],[Discount]])</f>
        <v>3364.2000000000003</v>
      </c>
      <c r="Q800" s="33">
        <f>Table2_1[[#This Row],[Revenue]]-Table2_1[[#This Row],[COGS]]</f>
        <v>694.20000000000027</v>
      </c>
      <c r="R800" s="39">
        <f>WEEKDAY(Table2_1[[#This Row],[Transaction  Date]])</f>
        <v>6</v>
      </c>
      <c r="S800" s="17" t="str">
        <f>IF(WEEKDAY(Table2_1[[#This Row],[Transaction  Date]],2)&lt;=5,"Weekday","Weekend")</f>
        <v>Weekday</v>
      </c>
      <c r="T800" s="37" t="str">
        <f>FLOOR(Table2_1[[#This Row],[Age]],15)&amp; "-"&amp; FLOOR(Table2_1[[#This Row],[Age]],15)+14</f>
        <v>30-44</v>
      </c>
    </row>
    <row r="801" spans="1:20" x14ac:dyDescent="0.3">
      <c r="A801" s="18">
        <v>45464</v>
      </c>
      <c r="B801" s="17" t="s">
        <v>1657</v>
      </c>
      <c r="C801" s="17" t="s">
        <v>13</v>
      </c>
      <c r="D801" s="18">
        <v>28447</v>
      </c>
      <c r="E801" s="16" t="s">
        <v>68</v>
      </c>
      <c r="F801" s="31">
        <v>329</v>
      </c>
      <c r="G801" s="17" t="s">
        <v>65</v>
      </c>
      <c r="H801" s="17" t="s">
        <v>48</v>
      </c>
      <c r="I801" s="17" t="s">
        <v>29</v>
      </c>
      <c r="J801" s="27">
        <v>0.1</v>
      </c>
      <c r="K801" s="17" t="s">
        <v>928</v>
      </c>
      <c r="L801" s="32">
        <v>3</v>
      </c>
      <c r="M801" s="32">
        <f>_xlfn.XLOOKUP(Table2_1[[#This Row],[Product Code]],Product_Code,Unit_Price,0)</f>
        <v>5</v>
      </c>
      <c r="N801" s="31">
        <f>DATEDIF(Table2_1[[#This Row],[Buyer Date of Birth]],Table2_1[[#This Row],[Transaction  Date]],"Y")</f>
        <v>46</v>
      </c>
      <c r="O801" s="33">
        <v>987</v>
      </c>
      <c r="P801" s="33">
        <f>Table2_1[[#This Row],[Quantity Purchased]]*Table2_1[[#This Row],[UnitPrice]]*(1-Table2_1[[#This Row],[Discount]])</f>
        <v>1480.5</v>
      </c>
      <c r="Q801" s="33">
        <f>Table2_1[[#This Row],[Revenue]]-Table2_1[[#This Row],[COGS]]</f>
        <v>493.5</v>
      </c>
      <c r="R801" s="39">
        <f>WEEKDAY(Table2_1[[#This Row],[Transaction  Date]])</f>
        <v>6</v>
      </c>
      <c r="S801" s="17" t="str">
        <f>IF(WEEKDAY(Table2_1[[#This Row],[Transaction  Date]],2)&lt;=5,"Weekday","Weekend")</f>
        <v>Weekday</v>
      </c>
      <c r="T801" s="37" t="str">
        <f>FLOOR(Table2_1[[#This Row],[Age]],15)&amp; "-"&amp; FLOOR(Table2_1[[#This Row],[Age]],15)+14</f>
        <v>45-59</v>
      </c>
    </row>
    <row r="802" spans="1:20" x14ac:dyDescent="0.3">
      <c r="A802" s="18">
        <v>45464</v>
      </c>
      <c r="B802" s="17" t="s">
        <v>1658</v>
      </c>
      <c r="C802" s="17" t="s">
        <v>71</v>
      </c>
      <c r="D802" s="18">
        <v>20081</v>
      </c>
      <c r="E802" s="16" t="s">
        <v>68</v>
      </c>
      <c r="F802" s="31">
        <v>360</v>
      </c>
      <c r="G802" s="17" t="s">
        <v>34</v>
      </c>
      <c r="H802" s="17" t="s">
        <v>28</v>
      </c>
      <c r="I802" s="17" t="s">
        <v>17</v>
      </c>
      <c r="J802" s="27">
        <v>0.1</v>
      </c>
      <c r="K802" s="17" t="s">
        <v>930</v>
      </c>
      <c r="L802" s="32">
        <v>14</v>
      </c>
      <c r="M802" s="32">
        <f>_xlfn.XLOOKUP(Table2_1[[#This Row],[Product Code]],Product_Code,Unit_Price,0)</f>
        <v>28</v>
      </c>
      <c r="N802" s="31">
        <f>DATEDIF(Table2_1[[#This Row],[Buyer Date of Birth]],Table2_1[[#This Row],[Transaction  Date]],"Y")</f>
        <v>69</v>
      </c>
      <c r="O802" s="33">
        <v>5040</v>
      </c>
      <c r="P802" s="33">
        <f>Table2_1[[#This Row],[Quantity Purchased]]*Table2_1[[#This Row],[UnitPrice]]*(1-Table2_1[[#This Row],[Discount]])</f>
        <v>9072</v>
      </c>
      <c r="Q802" s="33">
        <f>Table2_1[[#This Row],[Revenue]]-Table2_1[[#This Row],[COGS]]</f>
        <v>4032</v>
      </c>
      <c r="R802" s="39">
        <f>WEEKDAY(Table2_1[[#This Row],[Transaction  Date]])</f>
        <v>6</v>
      </c>
      <c r="S802" s="17" t="str">
        <f>IF(WEEKDAY(Table2_1[[#This Row],[Transaction  Date]],2)&lt;=5,"Weekday","Weekend")</f>
        <v>Weekday</v>
      </c>
      <c r="T802" s="37" t="str">
        <f>FLOOR(Table2_1[[#This Row],[Age]],15)&amp; "-"&amp; FLOOR(Table2_1[[#This Row],[Age]],15)+14</f>
        <v>60-74</v>
      </c>
    </row>
    <row r="803" spans="1:20" x14ac:dyDescent="0.3">
      <c r="A803" s="18">
        <v>45464</v>
      </c>
      <c r="B803" s="17" t="s">
        <v>1659</v>
      </c>
      <c r="C803" s="17" t="s">
        <v>13</v>
      </c>
      <c r="D803" s="18">
        <v>24991</v>
      </c>
      <c r="E803" s="16" t="s">
        <v>14</v>
      </c>
      <c r="F803" s="31">
        <v>442</v>
      </c>
      <c r="G803" s="17" t="s">
        <v>42</v>
      </c>
      <c r="H803" s="17" t="s">
        <v>35</v>
      </c>
      <c r="I803" s="17" t="s">
        <v>17</v>
      </c>
      <c r="J803" s="27">
        <v>0.1</v>
      </c>
      <c r="K803" s="17" t="s">
        <v>926</v>
      </c>
      <c r="L803" s="32">
        <v>10</v>
      </c>
      <c r="M803" s="32">
        <f>_xlfn.XLOOKUP(Table2_1[[#This Row],[Product Code]],Product_Code,Unit_Price,0)</f>
        <v>11</v>
      </c>
      <c r="N803" s="31">
        <f>DATEDIF(Table2_1[[#This Row],[Buyer Date of Birth]],Table2_1[[#This Row],[Transaction  Date]],"Y")</f>
        <v>56</v>
      </c>
      <c r="O803" s="33">
        <v>4420</v>
      </c>
      <c r="P803" s="33">
        <f>Table2_1[[#This Row],[Quantity Purchased]]*Table2_1[[#This Row],[UnitPrice]]*(1-Table2_1[[#This Row],[Discount]])</f>
        <v>4375.8</v>
      </c>
      <c r="Q803" s="33">
        <f>Table2_1[[#This Row],[Revenue]]-Table2_1[[#This Row],[COGS]]</f>
        <v>-44.199999999999818</v>
      </c>
      <c r="R803" s="39">
        <f>WEEKDAY(Table2_1[[#This Row],[Transaction  Date]])</f>
        <v>6</v>
      </c>
      <c r="S803" s="17" t="str">
        <f>IF(WEEKDAY(Table2_1[[#This Row],[Transaction  Date]],2)&lt;=5,"Weekday","Weekend")</f>
        <v>Weekday</v>
      </c>
      <c r="T803" s="37" t="str">
        <f>FLOOR(Table2_1[[#This Row],[Age]],15)&amp; "-"&amp; FLOOR(Table2_1[[#This Row],[Age]],15)+14</f>
        <v>45-59</v>
      </c>
    </row>
    <row r="804" spans="1:20" x14ac:dyDescent="0.3">
      <c r="A804" s="18">
        <v>45464</v>
      </c>
      <c r="B804" s="17" t="s">
        <v>1660</v>
      </c>
      <c r="C804" s="17" t="s">
        <v>46</v>
      </c>
      <c r="D804" s="18">
        <v>20692</v>
      </c>
      <c r="E804" s="16" t="s">
        <v>14</v>
      </c>
      <c r="F804" s="31">
        <v>50</v>
      </c>
      <c r="G804" s="17" t="s">
        <v>27</v>
      </c>
      <c r="H804" s="17" t="s">
        <v>39</v>
      </c>
      <c r="I804" s="17" t="s">
        <v>17</v>
      </c>
      <c r="J804" s="27">
        <v>0.1</v>
      </c>
      <c r="K804" s="17" t="s">
        <v>927</v>
      </c>
      <c r="L804" s="32">
        <v>18</v>
      </c>
      <c r="M804" s="32">
        <f>_xlfn.XLOOKUP(Table2_1[[#This Row],[Product Code]],Product_Code,Unit_Price,0)</f>
        <v>22</v>
      </c>
      <c r="N804" s="31">
        <f>DATEDIF(Table2_1[[#This Row],[Buyer Date of Birth]],Table2_1[[#This Row],[Transaction  Date]],"Y")</f>
        <v>67</v>
      </c>
      <c r="O804" s="33">
        <v>900</v>
      </c>
      <c r="P804" s="33">
        <f>Table2_1[[#This Row],[Quantity Purchased]]*Table2_1[[#This Row],[UnitPrice]]*(1-Table2_1[[#This Row],[Discount]])</f>
        <v>990</v>
      </c>
      <c r="Q804" s="33">
        <f>Table2_1[[#This Row],[Revenue]]-Table2_1[[#This Row],[COGS]]</f>
        <v>90</v>
      </c>
      <c r="R804" s="39">
        <f>WEEKDAY(Table2_1[[#This Row],[Transaction  Date]])</f>
        <v>6</v>
      </c>
      <c r="S804" s="17" t="str">
        <f>IF(WEEKDAY(Table2_1[[#This Row],[Transaction  Date]],2)&lt;=5,"Weekday","Weekend")</f>
        <v>Weekday</v>
      </c>
      <c r="T804" s="37" t="str">
        <f>FLOOR(Table2_1[[#This Row],[Age]],15)&amp; "-"&amp; FLOOR(Table2_1[[#This Row],[Age]],15)+14</f>
        <v>60-74</v>
      </c>
    </row>
    <row r="805" spans="1:20" x14ac:dyDescent="0.3">
      <c r="A805" s="18">
        <v>45464</v>
      </c>
      <c r="B805" s="17" t="s">
        <v>1661</v>
      </c>
      <c r="C805" s="17" t="s">
        <v>71</v>
      </c>
      <c r="D805" s="18">
        <v>19694</v>
      </c>
      <c r="E805" s="16" t="s">
        <v>33</v>
      </c>
      <c r="F805" s="31">
        <v>53</v>
      </c>
      <c r="G805" s="17" t="s">
        <v>47</v>
      </c>
      <c r="H805" s="17" t="s">
        <v>48</v>
      </c>
      <c r="I805" s="17" t="s">
        <v>17</v>
      </c>
      <c r="J805" s="27">
        <v>0.1</v>
      </c>
      <c r="K805" s="17" t="s">
        <v>931</v>
      </c>
      <c r="L805" s="32">
        <v>7</v>
      </c>
      <c r="M805" s="32">
        <f>_xlfn.XLOOKUP(Table2_1[[#This Row],[Product Code]],Product_Code,Unit_Price,0)</f>
        <v>9</v>
      </c>
      <c r="N805" s="31">
        <f>DATEDIF(Table2_1[[#This Row],[Buyer Date of Birth]],Table2_1[[#This Row],[Transaction  Date]],"Y")</f>
        <v>70</v>
      </c>
      <c r="O805" s="33">
        <v>371</v>
      </c>
      <c r="P805" s="33">
        <f>Table2_1[[#This Row],[Quantity Purchased]]*Table2_1[[#This Row],[UnitPrice]]*(1-Table2_1[[#This Row],[Discount]])</f>
        <v>429.3</v>
      </c>
      <c r="Q805" s="33">
        <f>Table2_1[[#This Row],[Revenue]]-Table2_1[[#This Row],[COGS]]</f>
        <v>58.300000000000011</v>
      </c>
      <c r="R805" s="39">
        <f>WEEKDAY(Table2_1[[#This Row],[Transaction  Date]])</f>
        <v>6</v>
      </c>
      <c r="S805" s="17" t="str">
        <f>IF(WEEKDAY(Table2_1[[#This Row],[Transaction  Date]],2)&lt;=5,"Weekday","Weekend")</f>
        <v>Weekday</v>
      </c>
      <c r="T805" s="37" t="str">
        <f>FLOOR(Table2_1[[#This Row],[Age]],15)&amp; "-"&amp; FLOOR(Table2_1[[#This Row],[Age]],15)+14</f>
        <v>60-74</v>
      </c>
    </row>
    <row r="806" spans="1:20" x14ac:dyDescent="0.3">
      <c r="A806" s="18">
        <v>45464</v>
      </c>
      <c r="B806" s="17" t="s">
        <v>1662</v>
      </c>
      <c r="C806" s="17" t="s">
        <v>94</v>
      </c>
      <c r="D806" s="18">
        <v>17726</v>
      </c>
      <c r="E806" s="16" t="s">
        <v>14</v>
      </c>
      <c r="F806" s="31">
        <v>307</v>
      </c>
      <c r="G806" s="17" t="s">
        <v>15</v>
      </c>
      <c r="H806" s="17" t="s">
        <v>48</v>
      </c>
      <c r="I806" s="17" t="s">
        <v>17</v>
      </c>
      <c r="J806" s="27">
        <v>0.1</v>
      </c>
      <c r="K806" s="17" t="s">
        <v>929</v>
      </c>
      <c r="L806" s="32">
        <v>10</v>
      </c>
      <c r="M806" s="32">
        <f>_xlfn.XLOOKUP(Table2_1[[#This Row],[Product Code]],Product_Code,Unit_Price,0)</f>
        <v>14</v>
      </c>
      <c r="N806" s="31">
        <f>DATEDIF(Table2_1[[#This Row],[Buyer Date of Birth]],Table2_1[[#This Row],[Transaction  Date]],"Y")</f>
        <v>75</v>
      </c>
      <c r="O806" s="33">
        <v>3070</v>
      </c>
      <c r="P806" s="33">
        <f>Table2_1[[#This Row],[Quantity Purchased]]*Table2_1[[#This Row],[UnitPrice]]*(1-Table2_1[[#This Row],[Discount]])</f>
        <v>3868.2000000000003</v>
      </c>
      <c r="Q806" s="33">
        <f>Table2_1[[#This Row],[Revenue]]-Table2_1[[#This Row],[COGS]]</f>
        <v>798.20000000000027</v>
      </c>
      <c r="R806" s="39">
        <f>WEEKDAY(Table2_1[[#This Row],[Transaction  Date]])</f>
        <v>6</v>
      </c>
      <c r="S806" s="17" t="str">
        <f>IF(WEEKDAY(Table2_1[[#This Row],[Transaction  Date]],2)&lt;=5,"Weekday","Weekend")</f>
        <v>Weekday</v>
      </c>
      <c r="T806" s="37" t="str">
        <f>FLOOR(Table2_1[[#This Row],[Age]],15)&amp; "-"&amp; FLOOR(Table2_1[[#This Row],[Age]],15)+14</f>
        <v>75-89</v>
      </c>
    </row>
    <row r="807" spans="1:20" x14ac:dyDescent="0.3">
      <c r="A807" s="18">
        <v>45464</v>
      </c>
      <c r="B807" s="17" t="s">
        <v>1884</v>
      </c>
      <c r="C807" s="17" t="s">
        <v>71</v>
      </c>
      <c r="D807" s="18">
        <v>25459</v>
      </c>
      <c r="E807" s="16" t="s">
        <v>33</v>
      </c>
      <c r="F807" s="31">
        <v>387</v>
      </c>
      <c r="G807" s="17" t="s">
        <v>34</v>
      </c>
      <c r="H807" s="17" t="s">
        <v>52</v>
      </c>
      <c r="I807" s="17" t="s">
        <v>17</v>
      </c>
      <c r="J807" s="27">
        <v>0.1</v>
      </c>
      <c r="K807" s="17" t="s">
        <v>930</v>
      </c>
      <c r="L807" s="32">
        <v>14</v>
      </c>
      <c r="M807" s="32">
        <f>_xlfn.XLOOKUP(Table2_1[[#This Row],[Product Code]],Product_Code,Unit_Price,0)</f>
        <v>28</v>
      </c>
      <c r="N807" s="31">
        <f>DATEDIF(Table2_1[[#This Row],[Buyer Date of Birth]],Table2_1[[#This Row],[Transaction  Date]],"Y")</f>
        <v>54</v>
      </c>
      <c r="O807" s="33">
        <v>5418</v>
      </c>
      <c r="P807" s="33">
        <f>Table2_1[[#This Row],[Quantity Purchased]]*Table2_1[[#This Row],[UnitPrice]]*(1-Table2_1[[#This Row],[Discount]])</f>
        <v>9752.4</v>
      </c>
      <c r="Q807" s="33">
        <f>Table2_1[[#This Row],[Revenue]]-Table2_1[[#This Row],[COGS]]</f>
        <v>4334.3999999999996</v>
      </c>
      <c r="R807" s="39">
        <f>WEEKDAY(Table2_1[[#This Row],[Transaction  Date]])</f>
        <v>6</v>
      </c>
      <c r="S807" s="17" t="str">
        <f>IF(WEEKDAY(Table2_1[[#This Row],[Transaction  Date]],2)&lt;=5,"Weekday","Weekend")</f>
        <v>Weekday</v>
      </c>
      <c r="T807" s="37" t="str">
        <f>FLOOR(Table2_1[[#This Row],[Age]],15)&amp; "-"&amp; FLOOR(Table2_1[[#This Row],[Age]],15)+14</f>
        <v>45-59</v>
      </c>
    </row>
    <row r="808" spans="1:20" x14ac:dyDescent="0.3">
      <c r="A808" s="18">
        <v>45465</v>
      </c>
      <c r="B808" s="17" t="s">
        <v>1027</v>
      </c>
      <c r="C808" s="17" t="s">
        <v>38</v>
      </c>
      <c r="D808" s="18">
        <v>24448</v>
      </c>
      <c r="E808" s="16" t="s">
        <v>14</v>
      </c>
      <c r="F808" s="31">
        <v>201</v>
      </c>
      <c r="G808" s="17" t="s">
        <v>47</v>
      </c>
      <c r="H808" s="17" t="s">
        <v>48</v>
      </c>
      <c r="I808" s="17" t="s">
        <v>29</v>
      </c>
      <c r="J808" s="27">
        <v>0.1</v>
      </c>
      <c r="K808" s="17" t="s">
        <v>931</v>
      </c>
      <c r="L808" s="32">
        <v>7</v>
      </c>
      <c r="M808" s="32">
        <f>_xlfn.XLOOKUP(Table2_1[[#This Row],[Product Code]],Product_Code,Unit_Price,0)</f>
        <v>9</v>
      </c>
      <c r="N808" s="31">
        <f>DATEDIF(Table2_1[[#This Row],[Buyer Date of Birth]],Table2_1[[#This Row],[Transaction  Date]],"Y")</f>
        <v>57</v>
      </c>
      <c r="O808" s="33">
        <v>1407</v>
      </c>
      <c r="P808" s="33">
        <f>Table2_1[[#This Row],[Quantity Purchased]]*Table2_1[[#This Row],[UnitPrice]]*(1-Table2_1[[#This Row],[Discount]])</f>
        <v>1628.1000000000001</v>
      </c>
      <c r="Q808" s="33">
        <f>Table2_1[[#This Row],[Revenue]]-Table2_1[[#This Row],[COGS]]</f>
        <v>221.10000000000014</v>
      </c>
      <c r="R808" s="39">
        <f>WEEKDAY(Table2_1[[#This Row],[Transaction  Date]])</f>
        <v>7</v>
      </c>
      <c r="S808" s="17" t="str">
        <f>IF(WEEKDAY(Table2_1[[#This Row],[Transaction  Date]],2)&lt;=5,"Weekday","Weekend")</f>
        <v>Weekend</v>
      </c>
      <c r="T808" s="37" t="str">
        <f>FLOOR(Table2_1[[#This Row],[Age]],15)&amp; "-"&amp; FLOOR(Table2_1[[#This Row],[Age]],15)+14</f>
        <v>45-59</v>
      </c>
    </row>
    <row r="809" spans="1:20" x14ac:dyDescent="0.3">
      <c r="A809" s="18">
        <v>45465</v>
      </c>
      <c r="B809" s="17" t="s">
        <v>1663</v>
      </c>
      <c r="C809" s="17" t="s">
        <v>55</v>
      </c>
      <c r="D809" s="18">
        <v>32490</v>
      </c>
      <c r="E809" s="16" t="s">
        <v>33</v>
      </c>
      <c r="F809" s="31">
        <v>109</v>
      </c>
      <c r="G809" s="17" t="s">
        <v>34</v>
      </c>
      <c r="H809" s="17" t="s">
        <v>52</v>
      </c>
      <c r="I809" s="17" t="s">
        <v>17</v>
      </c>
      <c r="J809" s="27">
        <v>0.1</v>
      </c>
      <c r="K809" s="17" t="s">
        <v>930</v>
      </c>
      <c r="L809" s="32">
        <v>14</v>
      </c>
      <c r="M809" s="32">
        <f>_xlfn.XLOOKUP(Table2_1[[#This Row],[Product Code]],Product_Code,Unit_Price,0)</f>
        <v>28</v>
      </c>
      <c r="N809" s="31">
        <f>DATEDIF(Table2_1[[#This Row],[Buyer Date of Birth]],Table2_1[[#This Row],[Transaction  Date]],"Y")</f>
        <v>35</v>
      </c>
      <c r="O809" s="33">
        <v>1526</v>
      </c>
      <c r="P809" s="33">
        <f>Table2_1[[#This Row],[Quantity Purchased]]*Table2_1[[#This Row],[UnitPrice]]*(1-Table2_1[[#This Row],[Discount]])</f>
        <v>2746.8</v>
      </c>
      <c r="Q809" s="33">
        <f>Table2_1[[#This Row],[Revenue]]-Table2_1[[#This Row],[COGS]]</f>
        <v>1220.8000000000002</v>
      </c>
      <c r="R809" s="39">
        <f>WEEKDAY(Table2_1[[#This Row],[Transaction  Date]])</f>
        <v>7</v>
      </c>
      <c r="S809" s="17" t="str">
        <f>IF(WEEKDAY(Table2_1[[#This Row],[Transaction  Date]],2)&lt;=5,"Weekday","Weekend")</f>
        <v>Weekend</v>
      </c>
      <c r="T809" s="37" t="str">
        <f>FLOOR(Table2_1[[#This Row],[Age]],15)&amp; "-"&amp; FLOOR(Table2_1[[#This Row],[Age]],15)+14</f>
        <v>30-44</v>
      </c>
    </row>
    <row r="810" spans="1:20" x14ac:dyDescent="0.3">
      <c r="A810" s="18">
        <v>45465</v>
      </c>
      <c r="B810" s="17" t="s">
        <v>1664</v>
      </c>
      <c r="C810" s="17" t="s">
        <v>71</v>
      </c>
      <c r="D810" s="18">
        <v>23144</v>
      </c>
      <c r="E810" s="16" t="s">
        <v>14</v>
      </c>
      <c r="F810" s="31">
        <v>110</v>
      </c>
      <c r="G810" s="17" t="s">
        <v>64</v>
      </c>
      <c r="H810" s="17" t="s">
        <v>52</v>
      </c>
      <c r="I810" s="17" t="s">
        <v>29</v>
      </c>
      <c r="J810" s="27">
        <v>0.1</v>
      </c>
      <c r="K810" s="17" t="s">
        <v>933</v>
      </c>
      <c r="L810" s="32">
        <v>5</v>
      </c>
      <c r="M810" s="32">
        <f>_xlfn.XLOOKUP(Table2_1[[#This Row],[Product Code]],Product_Code,Unit_Price,0)</f>
        <v>7</v>
      </c>
      <c r="N810" s="31">
        <f>DATEDIF(Table2_1[[#This Row],[Buyer Date of Birth]],Table2_1[[#This Row],[Transaction  Date]],"Y")</f>
        <v>61</v>
      </c>
      <c r="O810" s="33">
        <v>550</v>
      </c>
      <c r="P810" s="33">
        <f>Table2_1[[#This Row],[Quantity Purchased]]*Table2_1[[#This Row],[UnitPrice]]*(1-Table2_1[[#This Row],[Discount]])</f>
        <v>693</v>
      </c>
      <c r="Q810" s="33">
        <f>Table2_1[[#This Row],[Revenue]]-Table2_1[[#This Row],[COGS]]</f>
        <v>143</v>
      </c>
      <c r="R810" s="39">
        <f>WEEKDAY(Table2_1[[#This Row],[Transaction  Date]])</f>
        <v>7</v>
      </c>
      <c r="S810" s="17" t="str">
        <f>IF(WEEKDAY(Table2_1[[#This Row],[Transaction  Date]],2)&lt;=5,"Weekday","Weekend")</f>
        <v>Weekend</v>
      </c>
      <c r="T810" s="37" t="str">
        <f>FLOOR(Table2_1[[#This Row],[Age]],15)&amp; "-"&amp; FLOOR(Table2_1[[#This Row],[Age]],15)+14</f>
        <v>60-74</v>
      </c>
    </row>
    <row r="811" spans="1:20" x14ac:dyDescent="0.3">
      <c r="A811" s="18">
        <v>45465</v>
      </c>
      <c r="B811" s="17" t="s">
        <v>1665</v>
      </c>
      <c r="C811" s="17" t="s">
        <v>51</v>
      </c>
      <c r="D811" s="18">
        <v>16861</v>
      </c>
      <c r="E811" s="16" t="s">
        <v>33</v>
      </c>
      <c r="F811" s="31">
        <v>298</v>
      </c>
      <c r="G811" s="17" t="s">
        <v>59</v>
      </c>
      <c r="H811" s="17" t="s">
        <v>48</v>
      </c>
      <c r="I811" s="17" t="s">
        <v>23</v>
      </c>
      <c r="J811" s="27">
        <v>0.1</v>
      </c>
      <c r="K811" s="17" t="s">
        <v>932</v>
      </c>
      <c r="L811" s="32">
        <v>19</v>
      </c>
      <c r="M811" s="32">
        <f>_xlfn.XLOOKUP(Table2_1[[#This Row],[Product Code]],Product_Code,Unit_Price,0)</f>
        <v>23</v>
      </c>
      <c r="N811" s="31">
        <f>DATEDIF(Table2_1[[#This Row],[Buyer Date of Birth]],Table2_1[[#This Row],[Transaction  Date]],"Y")</f>
        <v>78</v>
      </c>
      <c r="O811" s="33">
        <v>5662</v>
      </c>
      <c r="P811" s="33">
        <f>Table2_1[[#This Row],[Quantity Purchased]]*Table2_1[[#This Row],[UnitPrice]]*(1-Table2_1[[#This Row],[Discount]])</f>
        <v>6168.6</v>
      </c>
      <c r="Q811" s="33">
        <f>Table2_1[[#This Row],[Revenue]]-Table2_1[[#This Row],[COGS]]</f>
        <v>506.60000000000036</v>
      </c>
      <c r="R811" s="39">
        <f>WEEKDAY(Table2_1[[#This Row],[Transaction  Date]])</f>
        <v>7</v>
      </c>
      <c r="S811" s="17" t="str">
        <f>IF(WEEKDAY(Table2_1[[#This Row],[Transaction  Date]],2)&lt;=5,"Weekday","Weekend")</f>
        <v>Weekend</v>
      </c>
      <c r="T811" s="37" t="str">
        <f>FLOOR(Table2_1[[#This Row],[Age]],15)&amp; "-"&amp; FLOOR(Table2_1[[#This Row],[Age]],15)+14</f>
        <v>75-89</v>
      </c>
    </row>
    <row r="812" spans="1:20" x14ac:dyDescent="0.3">
      <c r="A812" s="18">
        <v>45465</v>
      </c>
      <c r="B812" s="17" t="s">
        <v>1885</v>
      </c>
      <c r="C812" s="17" t="s">
        <v>51</v>
      </c>
      <c r="D812" s="18">
        <v>19545</v>
      </c>
      <c r="E812" s="16" t="s">
        <v>33</v>
      </c>
      <c r="F812" s="31">
        <v>120</v>
      </c>
      <c r="G812" s="17" t="s">
        <v>34</v>
      </c>
      <c r="H812" s="17" t="s">
        <v>52</v>
      </c>
      <c r="I812" s="17" t="s">
        <v>17</v>
      </c>
      <c r="J812" s="27">
        <v>0.1</v>
      </c>
      <c r="K812" s="17" t="s">
        <v>930</v>
      </c>
      <c r="L812" s="32">
        <v>14</v>
      </c>
      <c r="M812" s="32">
        <f>_xlfn.XLOOKUP(Table2_1[[#This Row],[Product Code]],Product_Code,Unit_Price,0)</f>
        <v>28</v>
      </c>
      <c r="N812" s="31">
        <f>DATEDIF(Table2_1[[#This Row],[Buyer Date of Birth]],Table2_1[[#This Row],[Transaction  Date]],"Y")</f>
        <v>70</v>
      </c>
      <c r="O812" s="33">
        <v>1680</v>
      </c>
      <c r="P812" s="33">
        <f>Table2_1[[#This Row],[Quantity Purchased]]*Table2_1[[#This Row],[UnitPrice]]*(1-Table2_1[[#This Row],[Discount]])</f>
        <v>3024</v>
      </c>
      <c r="Q812" s="33">
        <f>Table2_1[[#This Row],[Revenue]]-Table2_1[[#This Row],[COGS]]</f>
        <v>1344</v>
      </c>
      <c r="R812" s="39">
        <f>WEEKDAY(Table2_1[[#This Row],[Transaction  Date]])</f>
        <v>7</v>
      </c>
      <c r="S812" s="17" t="str">
        <f>IF(WEEKDAY(Table2_1[[#This Row],[Transaction  Date]],2)&lt;=5,"Weekday","Weekend")</f>
        <v>Weekend</v>
      </c>
      <c r="T812" s="37" t="str">
        <f>FLOOR(Table2_1[[#This Row],[Age]],15)&amp; "-"&amp; FLOOR(Table2_1[[#This Row],[Age]],15)+14</f>
        <v>60-74</v>
      </c>
    </row>
    <row r="813" spans="1:20" x14ac:dyDescent="0.3">
      <c r="A813" s="18">
        <v>45465</v>
      </c>
      <c r="B813" s="17" t="s">
        <v>1666</v>
      </c>
      <c r="C813" s="17" t="s">
        <v>94</v>
      </c>
      <c r="D813" s="18">
        <v>33760</v>
      </c>
      <c r="E813" s="16" t="s">
        <v>68</v>
      </c>
      <c r="F813" s="31">
        <v>372</v>
      </c>
      <c r="G813" s="17" t="s">
        <v>34</v>
      </c>
      <c r="H813" s="17" t="s">
        <v>43</v>
      </c>
      <c r="I813" s="17" t="s">
        <v>17</v>
      </c>
      <c r="J813" s="27">
        <v>0.1</v>
      </c>
      <c r="K813" s="17" t="s">
        <v>930</v>
      </c>
      <c r="L813" s="32">
        <v>14</v>
      </c>
      <c r="M813" s="32">
        <f>_xlfn.XLOOKUP(Table2_1[[#This Row],[Product Code]],Product_Code,Unit_Price,0)</f>
        <v>28</v>
      </c>
      <c r="N813" s="31">
        <f>DATEDIF(Table2_1[[#This Row],[Buyer Date of Birth]],Table2_1[[#This Row],[Transaction  Date]],"Y")</f>
        <v>32</v>
      </c>
      <c r="O813" s="33">
        <v>5208</v>
      </c>
      <c r="P813" s="33">
        <f>Table2_1[[#This Row],[Quantity Purchased]]*Table2_1[[#This Row],[UnitPrice]]*(1-Table2_1[[#This Row],[Discount]])</f>
        <v>9374.4</v>
      </c>
      <c r="Q813" s="33">
        <f>Table2_1[[#This Row],[Revenue]]-Table2_1[[#This Row],[COGS]]</f>
        <v>4166.3999999999996</v>
      </c>
      <c r="R813" s="39">
        <f>WEEKDAY(Table2_1[[#This Row],[Transaction  Date]])</f>
        <v>7</v>
      </c>
      <c r="S813" s="17" t="str">
        <f>IF(WEEKDAY(Table2_1[[#This Row],[Transaction  Date]],2)&lt;=5,"Weekday","Weekend")</f>
        <v>Weekend</v>
      </c>
      <c r="T813" s="37" t="str">
        <f>FLOOR(Table2_1[[#This Row],[Age]],15)&amp; "-"&amp; FLOOR(Table2_1[[#This Row],[Age]],15)+14</f>
        <v>30-44</v>
      </c>
    </row>
    <row r="814" spans="1:20" x14ac:dyDescent="0.3">
      <c r="A814" s="18">
        <v>45466</v>
      </c>
      <c r="B814" s="17" t="s">
        <v>940</v>
      </c>
      <c r="C814" s="17" t="s">
        <v>13</v>
      </c>
      <c r="D814" s="18">
        <v>21892</v>
      </c>
      <c r="E814" s="16" t="s">
        <v>20</v>
      </c>
      <c r="F814" s="31">
        <v>384</v>
      </c>
      <c r="G814" s="17" t="s">
        <v>27</v>
      </c>
      <c r="H814" s="17" t="s">
        <v>43</v>
      </c>
      <c r="I814" s="17" t="s">
        <v>29</v>
      </c>
      <c r="J814" s="27">
        <v>0.1</v>
      </c>
      <c r="K814" s="17" t="s">
        <v>927</v>
      </c>
      <c r="L814" s="32">
        <v>18</v>
      </c>
      <c r="M814" s="32">
        <f>_xlfn.XLOOKUP(Table2_1[[#This Row],[Product Code]],Product_Code,Unit_Price,0)</f>
        <v>22</v>
      </c>
      <c r="N814" s="31">
        <f>DATEDIF(Table2_1[[#This Row],[Buyer Date of Birth]],Table2_1[[#This Row],[Transaction  Date]],"Y")</f>
        <v>64</v>
      </c>
      <c r="O814" s="33">
        <v>6912</v>
      </c>
      <c r="P814" s="33">
        <f>Table2_1[[#This Row],[Quantity Purchased]]*Table2_1[[#This Row],[UnitPrice]]*(1-Table2_1[[#This Row],[Discount]])</f>
        <v>7603.2</v>
      </c>
      <c r="Q814" s="33">
        <f>Table2_1[[#This Row],[Revenue]]-Table2_1[[#This Row],[COGS]]</f>
        <v>691.19999999999982</v>
      </c>
      <c r="R814" s="39">
        <f>WEEKDAY(Table2_1[[#This Row],[Transaction  Date]])</f>
        <v>1</v>
      </c>
      <c r="S814" s="17" t="str">
        <f>IF(WEEKDAY(Table2_1[[#This Row],[Transaction  Date]],2)&lt;=5,"Weekday","Weekend")</f>
        <v>Weekend</v>
      </c>
      <c r="T814" s="37" t="str">
        <f>FLOOR(Table2_1[[#This Row],[Age]],15)&amp; "-"&amp; FLOOR(Table2_1[[#This Row],[Age]],15)+14</f>
        <v>60-74</v>
      </c>
    </row>
    <row r="815" spans="1:20" x14ac:dyDescent="0.3">
      <c r="A815" s="18">
        <v>45466</v>
      </c>
      <c r="B815" s="17" t="s">
        <v>1886</v>
      </c>
      <c r="C815" s="17" t="s">
        <v>32</v>
      </c>
      <c r="D815" s="18">
        <v>28208</v>
      </c>
      <c r="E815" s="16" t="s">
        <v>33</v>
      </c>
      <c r="F815" s="31">
        <v>399</v>
      </c>
      <c r="G815" s="17" t="s">
        <v>21</v>
      </c>
      <c r="H815" s="17" t="s">
        <v>52</v>
      </c>
      <c r="I815" s="17" t="s">
        <v>29</v>
      </c>
      <c r="J815" s="27">
        <v>0.1</v>
      </c>
      <c r="K815" s="17" t="s">
        <v>934</v>
      </c>
      <c r="L815" s="32">
        <v>10</v>
      </c>
      <c r="M815" s="32">
        <f>_xlfn.XLOOKUP(Table2_1[[#This Row],[Product Code]],Product_Code,Unit_Price,0)</f>
        <v>45</v>
      </c>
      <c r="N815" s="31">
        <f>DATEDIF(Table2_1[[#This Row],[Buyer Date of Birth]],Table2_1[[#This Row],[Transaction  Date]],"Y")</f>
        <v>47</v>
      </c>
      <c r="O815" s="33">
        <v>3990</v>
      </c>
      <c r="P815" s="33">
        <f>Table2_1[[#This Row],[Quantity Purchased]]*Table2_1[[#This Row],[UnitPrice]]*(1-Table2_1[[#This Row],[Discount]])</f>
        <v>16159.5</v>
      </c>
      <c r="Q815" s="33">
        <f>Table2_1[[#This Row],[Revenue]]-Table2_1[[#This Row],[COGS]]</f>
        <v>12169.5</v>
      </c>
      <c r="R815" s="39">
        <f>WEEKDAY(Table2_1[[#This Row],[Transaction  Date]])</f>
        <v>1</v>
      </c>
      <c r="S815" s="17" t="str">
        <f>IF(WEEKDAY(Table2_1[[#This Row],[Transaction  Date]],2)&lt;=5,"Weekday","Weekend")</f>
        <v>Weekend</v>
      </c>
      <c r="T815" s="37" t="str">
        <f>FLOOR(Table2_1[[#This Row],[Age]],15)&amp; "-"&amp; FLOOR(Table2_1[[#This Row],[Age]],15)+14</f>
        <v>45-59</v>
      </c>
    </row>
    <row r="816" spans="1:20" x14ac:dyDescent="0.3">
      <c r="A816" s="18">
        <v>45466</v>
      </c>
      <c r="B816" s="17" t="s">
        <v>1667</v>
      </c>
      <c r="C816" s="17" t="s">
        <v>71</v>
      </c>
      <c r="D816" s="18">
        <v>33498</v>
      </c>
      <c r="E816" s="16" t="s">
        <v>20</v>
      </c>
      <c r="F816" s="31">
        <v>287</v>
      </c>
      <c r="G816" s="17" t="s">
        <v>34</v>
      </c>
      <c r="H816" s="17" t="s">
        <v>35</v>
      </c>
      <c r="I816" s="17" t="s">
        <v>17</v>
      </c>
      <c r="J816" s="27">
        <v>0.1</v>
      </c>
      <c r="K816" s="17" t="s">
        <v>930</v>
      </c>
      <c r="L816" s="32">
        <v>14</v>
      </c>
      <c r="M816" s="32">
        <f>_xlfn.XLOOKUP(Table2_1[[#This Row],[Product Code]],Product_Code,Unit_Price,0)</f>
        <v>28</v>
      </c>
      <c r="N816" s="31">
        <f>DATEDIF(Table2_1[[#This Row],[Buyer Date of Birth]],Table2_1[[#This Row],[Transaction  Date]],"Y")</f>
        <v>32</v>
      </c>
      <c r="O816" s="33">
        <v>4018</v>
      </c>
      <c r="P816" s="33">
        <f>Table2_1[[#This Row],[Quantity Purchased]]*Table2_1[[#This Row],[UnitPrice]]*(1-Table2_1[[#This Row],[Discount]])</f>
        <v>7232.4000000000005</v>
      </c>
      <c r="Q816" s="33">
        <f>Table2_1[[#This Row],[Revenue]]-Table2_1[[#This Row],[COGS]]</f>
        <v>3214.4000000000005</v>
      </c>
      <c r="R816" s="39">
        <f>WEEKDAY(Table2_1[[#This Row],[Transaction  Date]])</f>
        <v>1</v>
      </c>
      <c r="S816" s="17" t="str">
        <f>IF(WEEKDAY(Table2_1[[#This Row],[Transaction  Date]],2)&lt;=5,"Weekday","Weekend")</f>
        <v>Weekend</v>
      </c>
      <c r="T816" s="37" t="str">
        <f>FLOOR(Table2_1[[#This Row],[Age]],15)&amp; "-"&amp; FLOOR(Table2_1[[#This Row],[Age]],15)+14</f>
        <v>30-44</v>
      </c>
    </row>
    <row r="817" spans="1:20" x14ac:dyDescent="0.3">
      <c r="A817" s="18">
        <v>45466</v>
      </c>
      <c r="B817" s="17" t="s">
        <v>1668</v>
      </c>
      <c r="C817" s="17" t="s">
        <v>94</v>
      </c>
      <c r="D817" s="18">
        <v>37342</v>
      </c>
      <c r="E817" s="16" t="s">
        <v>68</v>
      </c>
      <c r="F817" s="31">
        <v>114</v>
      </c>
      <c r="G817" s="17" t="s">
        <v>65</v>
      </c>
      <c r="H817" s="17" t="s">
        <v>43</v>
      </c>
      <c r="I817" s="17" t="s">
        <v>17</v>
      </c>
      <c r="J817" s="27">
        <v>0.1</v>
      </c>
      <c r="K817" s="17" t="s">
        <v>928</v>
      </c>
      <c r="L817" s="32">
        <v>3</v>
      </c>
      <c r="M817" s="32">
        <f>_xlfn.XLOOKUP(Table2_1[[#This Row],[Product Code]],Product_Code,Unit_Price,0)</f>
        <v>5</v>
      </c>
      <c r="N817" s="31">
        <f>DATEDIF(Table2_1[[#This Row],[Buyer Date of Birth]],Table2_1[[#This Row],[Transaction  Date]],"Y")</f>
        <v>22</v>
      </c>
      <c r="O817" s="33">
        <v>342</v>
      </c>
      <c r="P817" s="33">
        <f>Table2_1[[#This Row],[Quantity Purchased]]*Table2_1[[#This Row],[UnitPrice]]*(1-Table2_1[[#This Row],[Discount]])</f>
        <v>513</v>
      </c>
      <c r="Q817" s="33">
        <f>Table2_1[[#This Row],[Revenue]]-Table2_1[[#This Row],[COGS]]</f>
        <v>171</v>
      </c>
      <c r="R817" s="39">
        <f>WEEKDAY(Table2_1[[#This Row],[Transaction  Date]])</f>
        <v>1</v>
      </c>
      <c r="S817" s="17" t="str">
        <f>IF(WEEKDAY(Table2_1[[#This Row],[Transaction  Date]],2)&lt;=5,"Weekday","Weekend")</f>
        <v>Weekend</v>
      </c>
      <c r="T817" s="37" t="str">
        <f>FLOOR(Table2_1[[#This Row],[Age]],15)&amp; "-"&amp; FLOOR(Table2_1[[#This Row],[Age]],15)+14</f>
        <v>15-29</v>
      </c>
    </row>
    <row r="818" spans="1:20" x14ac:dyDescent="0.3">
      <c r="A818" s="18">
        <v>45466</v>
      </c>
      <c r="B818" s="17" t="s">
        <v>1669</v>
      </c>
      <c r="C818" s="17" t="s">
        <v>71</v>
      </c>
      <c r="D818" s="18">
        <v>17523</v>
      </c>
      <c r="E818" s="16" t="s">
        <v>20</v>
      </c>
      <c r="F818" s="31">
        <v>303</v>
      </c>
      <c r="G818" s="17" t="s">
        <v>21</v>
      </c>
      <c r="H818" s="17" t="s">
        <v>39</v>
      </c>
      <c r="I818" s="17" t="s">
        <v>17</v>
      </c>
      <c r="J818" s="27">
        <v>0.1</v>
      </c>
      <c r="K818" s="17" t="s">
        <v>934</v>
      </c>
      <c r="L818" s="32">
        <v>10</v>
      </c>
      <c r="M818" s="32">
        <f>_xlfn.XLOOKUP(Table2_1[[#This Row],[Product Code]],Product_Code,Unit_Price,0)</f>
        <v>45</v>
      </c>
      <c r="N818" s="31">
        <f>DATEDIF(Table2_1[[#This Row],[Buyer Date of Birth]],Table2_1[[#This Row],[Transaction  Date]],"Y")</f>
        <v>76</v>
      </c>
      <c r="O818" s="33">
        <v>3030</v>
      </c>
      <c r="P818" s="33">
        <f>Table2_1[[#This Row],[Quantity Purchased]]*Table2_1[[#This Row],[UnitPrice]]*(1-Table2_1[[#This Row],[Discount]])</f>
        <v>12271.5</v>
      </c>
      <c r="Q818" s="33">
        <f>Table2_1[[#This Row],[Revenue]]-Table2_1[[#This Row],[COGS]]</f>
        <v>9241.5</v>
      </c>
      <c r="R818" s="39">
        <f>WEEKDAY(Table2_1[[#This Row],[Transaction  Date]])</f>
        <v>1</v>
      </c>
      <c r="S818" s="17" t="str">
        <f>IF(WEEKDAY(Table2_1[[#This Row],[Transaction  Date]],2)&lt;=5,"Weekday","Weekend")</f>
        <v>Weekend</v>
      </c>
      <c r="T818" s="37" t="str">
        <f>FLOOR(Table2_1[[#This Row],[Age]],15)&amp; "-"&amp; FLOOR(Table2_1[[#This Row],[Age]],15)+14</f>
        <v>75-89</v>
      </c>
    </row>
    <row r="819" spans="1:20" x14ac:dyDescent="0.3">
      <c r="A819" s="18">
        <v>45467</v>
      </c>
      <c r="B819" s="17" t="s">
        <v>1670</v>
      </c>
      <c r="C819" s="17" t="s">
        <v>78</v>
      </c>
      <c r="D819" s="18">
        <v>26964</v>
      </c>
      <c r="E819" s="16" t="s">
        <v>20</v>
      </c>
      <c r="F819" s="31">
        <v>234</v>
      </c>
      <c r="G819" s="17" t="s">
        <v>56</v>
      </c>
      <c r="H819" s="17" t="s">
        <v>28</v>
      </c>
      <c r="I819" s="17" t="s">
        <v>17</v>
      </c>
      <c r="J819" s="27">
        <v>0.1</v>
      </c>
      <c r="K819" s="17" t="s">
        <v>935</v>
      </c>
      <c r="L819" s="32">
        <v>18</v>
      </c>
      <c r="M819" s="32">
        <f>_xlfn.XLOOKUP(Table2_1[[#This Row],[Product Code]],Product_Code,Unit_Price,0)</f>
        <v>36</v>
      </c>
      <c r="N819" s="31">
        <f>DATEDIF(Table2_1[[#This Row],[Buyer Date of Birth]],Table2_1[[#This Row],[Transaction  Date]],"Y")</f>
        <v>50</v>
      </c>
      <c r="O819" s="33">
        <v>4212</v>
      </c>
      <c r="P819" s="33">
        <f>Table2_1[[#This Row],[Quantity Purchased]]*Table2_1[[#This Row],[UnitPrice]]*(1-Table2_1[[#This Row],[Discount]])</f>
        <v>7581.6</v>
      </c>
      <c r="Q819" s="33">
        <f>Table2_1[[#This Row],[Revenue]]-Table2_1[[#This Row],[COGS]]</f>
        <v>3369.6000000000004</v>
      </c>
      <c r="R819" s="39">
        <f>WEEKDAY(Table2_1[[#This Row],[Transaction  Date]])</f>
        <v>2</v>
      </c>
      <c r="S819" s="17" t="str">
        <f>IF(WEEKDAY(Table2_1[[#This Row],[Transaction  Date]],2)&lt;=5,"Weekday","Weekend")</f>
        <v>Weekday</v>
      </c>
      <c r="T819" s="37" t="str">
        <f>FLOOR(Table2_1[[#This Row],[Age]],15)&amp; "-"&amp; FLOOR(Table2_1[[#This Row],[Age]],15)+14</f>
        <v>45-59</v>
      </c>
    </row>
    <row r="820" spans="1:20" x14ac:dyDescent="0.3">
      <c r="A820" s="18">
        <v>45467</v>
      </c>
      <c r="B820" s="17" t="s">
        <v>1671</v>
      </c>
      <c r="C820" s="17" t="s">
        <v>13</v>
      </c>
      <c r="D820" s="18">
        <v>26356</v>
      </c>
      <c r="E820" s="16" t="s">
        <v>33</v>
      </c>
      <c r="F820" s="31">
        <v>19</v>
      </c>
      <c r="G820" s="17" t="s">
        <v>15</v>
      </c>
      <c r="H820" s="17" t="s">
        <v>28</v>
      </c>
      <c r="I820" s="17" t="s">
        <v>17</v>
      </c>
      <c r="J820" s="27">
        <v>0.1</v>
      </c>
      <c r="K820" s="17" t="s">
        <v>929</v>
      </c>
      <c r="L820" s="32">
        <v>10</v>
      </c>
      <c r="M820" s="32">
        <f>_xlfn.XLOOKUP(Table2_1[[#This Row],[Product Code]],Product_Code,Unit_Price,0)</f>
        <v>14</v>
      </c>
      <c r="N820" s="31">
        <f>DATEDIF(Table2_1[[#This Row],[Buyer Date of Birth]],Table2_1[[#This Row],[Transaction  Date]],"Y")</f>
        <v>52</v>
      </c>
      <c r="O820" s="33">
        <v>190</v>
      </c>
      <c r="P820" s="33">
        <f>Table2_1[[#This Row],[Quantity Purchased]]*Table2_1[[#This Row],[UnitPrice]]*(1-Table2_1[[#This Row],[Discount]])</f>
        <v>239.4</v>
      </c>
      <c r="Q820" s="33">
        <f>Table2_1[[#This Row],[Revenue]]-Table2_1[[#This Row],[COGS]]</f>
        <v>49.400000000000006</v>
      </c>
      <c r="R820" s="39">
        <f>WEEKDAY(Table2_1[[#This Row],[Transaction  Date]])</f>
        <v>2</v>
      </c>
      <c r="S820" s="17" t="str">
        <f>IF(WEEKDAY(Table2_1[[#This Row],[Transaction  Date]],2)&lt;=5,"Weekday","Weekend")</f>
        <v>Weekday</v>
      </c>
      <c r="T820" s="37" t="str">
        <f>FLOOR(Table2_1[[#This Row],[Age]],15)&amp; "-"&amp; FLOOR(Table2_1[[#This Row],[Age]],15)+14</f>
        <v>45-59</v>
      </c>
    </row>
    <row r="821" spans="1:20" x14ac:dyDescent="0.3">
      <c r="A821" s="18">
        <v>45467</v>
      </c>
      <c r="B821" s="17" t="s">
        <v>996</v>
      </c>
      <c r="C821" s="17" t="s">
        <v>32</v>
      </c>
      <c r="D821" s="18">
        <v>28195</v>
      </c>
      <c r="E821" s="16" t="s">
        <v>68</v>
      </c>
      <c r="F821" s="31">
        <v>409</v>
      </c>
      <c r="G821" s="17" t="s">
        <v>65</v>
      </c>
      <c r="H821" s="17" t="s">
        <v>35</v>
      </c>
      <c r="I821" s="17" t="s">
        <v>17</v>
      </c>
      <c r="J821" s="27">
        <v>0.1</v>
      </c>
      <c r="K821" s="17" t="s">
        <v>928</v>
      </c>
      <c r="L821" s="32">
        <v>3</v>
      </c>
      <c r="M821" s="32">
        <f>_xlfn.XLOOKUP(Table2_1[[#This Row],[Product Code]],Product_Code,Unit_Price,0)</f>
        <v>5</v>
      </c>
      <c r="N821" s="31">
        <f>DATEDIF(Table2_1[[#This Row],[Buyer Date of Birth]],Table2_1[[#This Row],[Transaction  Date]],"Y")</f>
        <v>47</v>
      </c>
      <c r="O821" s="33">
        <v>1227</v>
      </c>
      <c r="P821" s="33">
        <f>Table2_1[[#This Row],[Quantity Purchased]]*Table2_1[[#This Row],[UnitPrice]]*(1-Table2_1[[#This Row],[Discount]])</f>
        <v>1840.5</v>
      </c>
      <c r="Q821" s="33">
        <f>Table2_1[[#This Row],[Revenue]]-Table2_1[[#This Row],[COGS]]</f>
        <v>613.5</v>
      </c>
      <c r="R821" s="39">
        <f>WEEKDAY(Table2_1[[#This Row],[Transaction  Date]])</f>
        <v>2</v>
      </c>
      <c r="S821" s="17" t="str">
        <f>IF(WEEKDAY(Table2_1[[#This Row],[Transaction  Date]],2)&lt;=5,"Weekday","Weekend")</f>
        <v>Weekday</v>
      </c>
      <c r="T821" s="37" t="str">
        <f>FLOOR(Table2_1[[#This Row],[Age]],15)&amp; "-"&amp; FLOOR(Table2_1[[#This Row],[Age]],15)+14</f>
        <v>45-59</v>
      </c>
    </row>
    <row r="822" spans="1:20" x14ac:dyDescent="0.3">
      <c r="A822" s="18">
        <v>45468</v>
      </c>
      <c r="B822" s="17" t="s">
        <v>1887</v>
      </c>
      <c r="C822" s="17" t="s">
        <v>46</v>
      </c>
      <c r="D822" s="18">
        <v>24659</v>
      </c>
      <c r="E822" s="16" t="s">
        <v>33</v>
      </c>
      <c r="F822" s="31">
        <v>427</v>
      </c>
      <c r="G822" s="17" t="s">
        <v>59</v>
      </c>
      <c r="H822" s="17" t="s">
        <v>35</v>
      </c>
      <c r="I822" s="17" t="s">
        <v>17</v>
      </c>
      <c r="J822" s="27">
        <v>0.1</v>
      </c>
      <c r="K822" s="17" t="s">
        <v>932</v>
      </c>
      <c r="L822" s="32">
        <v>19</v>
      </c>
      <c r="M822" s="32">
        <f>_xlfn.XLOOKUP(Table2_1[[#This Row],[Product Code]],Product_Code,Unit_Price,0)</f>
        <v>23</v>
      </c>
      <c r="N822" s="31">
        <f>DATEDIF(Table2_1[[#This Row],[Buyer Date of Birth]],Table2_1[[#This Row],[Transaction  Date]],"Y")</f>
        <v>56</v>
      </c>
      <c r="O822" s="33">
        <v>8113</v>
      </c>
      <c r="P822" s="33">
        <f>Table2_1[[#This Row],[Quantity Purchased]]*Table2_1[[#This Row],[UnitPrice]]*(1-Table2_1[[#This Row],[Discount]])</f>
        <v>8838.9</v>
      </c>
      <c r="Q822" s="33">
        <f>Table2_1[[#This Row],[Revenue]]-Table2_1[[#This Row],[COGS]]</f>
        <v>725.89999999999964</v>
      </c>
      <c r="R822" s="39">
        <f>WEEKDAY(Table2_1[[#This Row],[Transaction  Date]])</f>
        <v>3</v>
      </c>
      <c r="S822" s="17" t="str">
        <f>IF(WEEKDAY(Table2_1[[#This Row],[Transaction  Date]],2)&lt;=5,"Weekday","Weekend")</f>
        <v>Weekday</v>
      </c>
      <c r="T822" s="37" t="str">
        <f>FLOOR(Table2_1[[#This Row],[Age]],15)&amp; "-"&amp; FLOOR(Table2_1[[#This Row],[Age]],15)+14</f>
        <v>45-59</v>
      </c>
    </row>
    <row r="823" spans="1:20" x14ac:dyDescent="0.3">
      <c r="A823" s="18">
        <v>45468</v>
      </c>
      <c r="B823" s="17" t="s">
        <v>1672</v>
      </c>
      <c r="C823" s="17" t="s">
        <v>46</v>
      </c>
      <c r="D823" s="18">
        <v>25147</v>
      </c>
      <c r="E823" s="16" t="s">
        <v>33</v>
      </c>
      <c r="F823" s="31">
        <v>117</v>
      </c>
      <c r="G823" s="17" t="s">
        <v>15</v>
      </c>
      <c r="H823" s="17" t="s">
        <v>52</v>
      </c>
      <c r="I823" s="17" t="s">
        <v>17</v>
      </c>
      <c r="J823" s="27">
        <v>0.1</v>
      </c>
      <c r="K823" s="17" t="s">
        <v>929</v>
      </c>
      <c r="L823" s="32">
        <v>10</v>
      </c>
      <c r="M823" s="32">
        <f>_xlfn.XLOOKUP(Table2_1[[#This Row],[Product Code]],Product_Code,Unit_Price,0)</f>
        <v>14</v>
      </c>
      <c r="N823" s="31">
        <f>DATEDIF(Table2_1[[#This Row],[Buyer Date of Birth]],Table2_1[[#This Row],[Transaction  Date]],"Y")</f>
        <v>55</v>
      </c>
      <c r="O823" s="33">
        <v>1170</v>
      </c>
      <c r="P823" s="33">
        <f>Table2_1[[#This Row],[Quantity Purchased]]*Table2_1[[#This Row],[UnitPrice]]*(1-Table2_1[[#This Row],[Discount]])</f>
        <v>1474.2</v>
      </c>
      <c r="Q823" s="33">
        <f>Table2_1[[#This Row],[Revenue]]-Table2_1[[#This Row],[COGS]]</f>
        <v>304.20000000000005</v>
      </c>
      <c r="R823" s="39">
        <f>WEEKDAY(Table2_1[[#This Row],[Transaction  Date]])</f>
        <v>3</v>
      </c>
      <c r="S823" s="17" t="str">
        <f>IF(WEEKDAY(Table2_1[[#This Row],[Transaction  Date]],2)&lt;=5,"Weekday","Weekend")</f>
        <v>Weekday</v>
      </c>
      <c r="T823" s="37" t="str">
        <f>FLOOR(Table2_1[[#This Row],[Age]],15)&amp; "-"&amp; FLOOR(Table2_1[[#This Row],[Age]],15)+14</f>
        <v>45-59</v>
      </c>
    </row>
    <row r="824" spans="1:20" x14ac:dyDescent="0.3">
      <c r="A824" s="18">
        <v>45469</v>
      </c>
      <c r="B824" s="17" t="s">
        <v>1673</v>
      </c>
      <c r="C824" s="17" t="s">
        <v>51</v>
      </c>
      <c r="D824" s="18">
        <v>26492</v>
      </c>
      <c r="E824" s="16" t="s">
        <v>68</v>
      </c>
      <c r="F824" s="31">
        <v>276</v>
      </c>
      <c r="G824" s="17" t="s">
        <v>27</v>
      </c>
      <c r="H824" s="17" t="s">
        <v>52</v>
      </c>
      <c r="I824" s="17" t="s">
        <v>17</v>
      </c>
      <c r="J824" s="27">
        <v>0.1</v>
      </c>
      <c r="K824" s="17" t="s">
        <v>927</v>
      </c>
      <c r="L824" s="32">
        <v>18</v>
      </c>
      <c r="M824" s="32">
        <f>_xlfn.XLOOKUP(Table2_1[[#This Row],[Product Code]],Product_Code,Unit_Price,0)</f>
        <v>22</v>
      </c>
      <c r="N824" s="31">
        <f>DATEDIF(Table2_1[[#This Row],[Buyer Date of Birth]],Table2_1[[#This Row],[Transaction  Date]],"Y")</f>
        <v>51</v>
      </c>
      <c r="O824" s="33">
        <v>4968</v>
      </c>
      <c r="P824" s="33">
        <f>Table2_1[[#This Row],[Quantity Purchased]]*Table2_1[[#This Row],[UnitPrice]]*(1-Table2_1[[#This Row],[Discount]])</f>
        <v>5464.8</v>
      </c>
      <c r="Q824" s="33">
        <f>Table2_1[[#This Row],[Revenue]]-Table2_1[[#This Row],[COGS]]</f>
        <v>496.80000000000018</v>
      </c>
      <c r="R824" s="39">
        <f>WEEKDAY(Table2_1[[#This Row],[Transaction  Date]])</f>
        <v>4</v>
      </c>
      <c r="S824" s="17" t="str">
        <f>IF(WEEKDAY(Table2_1[[#This Row],[Transaction  Date]],2)&lt;=5,"Weekday","Weekend")</f>
        <v>Weekday</v>
      </c>
      <c r="T824" s="37" t="str">
        <f>FLOOR(Table2_1[[#This Row],[Age]],15)&amp; "-"&amp; FLOOR(Table2_1[[#This Row],[Age]],15)+14</f>
        <v>45-59</v>
      </c>
    </row>
    <row r="825" spans="1:20" x14ac:dyDescent="0.3">
      <c r="A825" s="18">
        <v>45469</v>
      </c>
      <c r="B825" s="17" t="s">
        <v>1674</v>
      </c>
      <c r="C825" s="17" t="s">
        <v>13</v>
      </c>
      <c r="D825" s="18">
        <v>32680</v>
      </c>
      <c r="E825" s="16" t="s">
        <v>33</v>
      </c>
      <c r="F825" s="31">
        <v>190</v>
      </c>
      <c r="G825" s="17" t="s">
        <v>21</v>
      </c>
      <c r="H825" s="17" t="s">
        <v>52</v>
      </c>
      <c r="I825" s="17" t="s">
        <v>17</v>
      </c>
      <c r="J825" s="27">
        <v>0.1</v>
      </c>
      <c r="K825" s="17" t="s">
        <v>934</v>
      </c>
      <c r="L825" s="32">
        <v>10</v>
      </c>
      <c r="M825" s="32">
        <f>_xlfn.XLOOKUP(Table2_1[[#This Row],[Product Code]],Product_Code,Unit_Price,0)</f>
        <v>45</v>
      </c>
      <c r="N825" s="31">
        <f>DATEDIF(Table2_1[[#This Row],[Buyer Date of Birth]],Table2_1[[#This Row],[Transaction  Date]],"Y")</f>
        <v>35</v>
      </c>
      <c r="O825" s="33">
        <v>1900</v>
      </c>
      <c r="P825" s="33">
        <f>Table2_1[[#This Row],[Quantity Purchased]]*Table2_1[[#This Row],[UnitPrice]]*(1-Table2_1[[#This Row],[Discount]])</f>
        <v>7695</v>
      </c>
      <c r="Q825" s="33">
        <f>Table2_1[[#This Row],[Revenue]]-Table2_1[[#This Row],[COGS]]</f>
        <v>5795</v>
      </c>
      <c r="R825" s="39">
        <f>WEEKDAY(Table2_1[[#This Row],[Transaction  Date]])</f>
        <v>4</v>
      </c>
      <c r="S825" s="17" t="str">
        <f>IF(WEEKDAY(Table2_1[[#This Row],[Transaction  Date]],2)&lt;=5,"Weekday","Weekend")</f>
        <v>Weekday</v>
      </c>
      <c r="T825" s="37" t="str">
        <f>FLOOR(Table2_1[[#This Row],[Age]],15)&amp; "-"&amp; FLOOR(Table2_1[[#This Row],[Age]],15)+14</f>
        <v>30-44</v>
      </c>
    </row>
    <row r="826" spans="1:20" x14ac:dyDescent="0.3">
      <c r="A826" s="18">
        <v>45469</v>
      </c>
      <c r="B826" s="17" t="s">
        <v>1675</v>
      </c>
      <c r="C826" s="17" t="s">
        <v>32</v>
      </c>
      <c r="D826" s="18">
        <v>24463</v>
      </c>
      <c r="E826" s="16" t="s">
        <v>68</v>
      </c>
      <c r="F826" s="31">
        <v>129</v>
      </c>
      <c r="G826" s="17" t="s">
        <v>59</v>
      </c>
      <c r="H826" s="17" t="s">
        <v>52</v>
      </c>
      <c r="I826" s="17" t="s">
        <v>17</v>
      </c>
      <c r="J826" s="27">
        <v>0.1</v>
      </c>
      <c r="K826" s="17" t="s">
        <v>932</v>
      </c>
      <c r="L826" s="32">
        <v>19</v>
      </c>
      <c r="M826" s="32">
        <f>_xlfn.XLOOKUP(Table2_1[[#This Row],[Product Code]],Product_Code,Unit_Price,0)</f>
        <v>23</v>
      </c>
      <c r="N826" s="31">
        <f>DATEDIF(Table2_1[[#This Row],[Buyer Date of Birth]],Table2_1[[#This Row],[Transaction  Date]],"Y")</f>
        <v>57</v>
      </c>
      <c r="O826" s="33">
        <v>2451</v>
      </c>
      <c r="P826" s="33">
        <f>Table2_1[[#This Row],[Quantity Purchased]]*Table2_1[[#This Row],[UnitPrice]]*(1-Table2_1[[#This Row],[Discount]])</f>
        <v>2670.3</v>
      </c>
      <c r="Q826" s="33">
        <f>Table2_1[[#This Row],[Revenue]]-Table2_1[[#This Row],[COGS]]</f>
        <v>219.30000000000018</v>
      </c>
      <c r="R826" s="39">
        <f>WEEKDAY(Table2_1[[#This Row],[Transaction  Date]])</f>
        <v>4</v>
      </c>
      <c r="S826" s="17" t="str">
        <f>IF(WEEKDAY(Table2_1[[#This Row],[Transaction  Date]],2)&lt;=5,"Weekday","Weekend")</f>
        <v>Weekday</v>
      </c>
      <c r="T826" s="37" t="str">
        <f>FLOOR(Table2_1[[#This Row],[Age]],15)&amp; "-"&amp; FLOOR(Table2_1[[#This Row],[Age]],15)+14</f>
        <v>45-59</v>
      </c>
    </row>
    <row r="827" spans="1:20" x14ac:dyDescent="0.3">
      <c r="A827" s="18">
        <v>45470</v>
      </c>
      <c r="B827" s="17" t="s">
        <v>1676</v>
      </c>
      <c r="C827" s="17" t="s">
        <v>71</v>
      </c>
      <c r="D827" s="18">
        <v>37757</v>
      </c>
      <c r="E827" s="16" t="s">
        <v>33</v>
      </c>
      <c r="F827" s="31">
        <v>49</v>
      </c>
      <c r="G827" s="17" t="s">
        <v>59</v>
      </c>
      <c r="H827" s="17" t="s">
        <v>52</v>
      </c>
      <c r="I827" s="17" t="s">
        <v>17</v>
      </c>
      <c r="J827" s="27">
        <v>0.1</v>
      </c>
      <c r="K827" s="17" t="s">
        <v>932</v>
      </c>
      <c r="L827" s="32">
        <v>19</v>
      </c>
      <c r="M827" s="32">
        <f>_xlfn.XLOOKUP(Table2_1[[#This Row],[Product Code]],Product_Code,Unit_Price,0)</f>
        <v>23</v>
      </c>
      <c r="N827" s="31">
        <f>DATEDIF(Table2_1[[#This Row],[Buyer Date of Birth]],Table2_1[[#This Row],[Transaction  Date]],"Y")</f>
        <v>21</v>
      </c>
      <c r="O827" s="33">
        <v>931</v>
      </c>
      <c r="P827" s="33">
        <f>Table2_1[[#This Row],[Quantity Purchased]]*Table2_1[[#This Row],[UnitPrice]]*(1-Table2_1[[#This Row],[Discount]])</f>
        <v>1014.3000000000001</v>
      </c>
      <c r="Q827" s="33">
        <f>Table2_1[[#This Row],[Revenue]]-Table2_1[[#This Row],[COGS]]</f>
        <v>83.300000000000068</v>
      </c>
      <c r="R827" s="39">
        <f>WEEKDAY(Table2_1[[#This Row],[Transaction  Date]])</f>
        <v>5</v>
      </c>
      <c r="S827" s="17" t="str">
        <f>IF(WEEKDAY(Table2_1[[#This Row],[Transaction  Date]],2)&lt;=5,"Weekday","Weekend")</f>
        <v>Weekday</v>
      </c>
      <c r="T827" s="37" t="str">
        <f>FLOOR(Table2_1[[#This Row],[Age]],15)&amp; "-"&amp; FLOOR(Table2_1[[#This Row],[Age]],15)+14</f>
        <v>15-29</v>
      </c>
    </row>
    <row r="828" spans="1:20" x14ac:dyDescent="0.3">
      <c r="A828" s="18">
        <v>45470</v>
      </c>
      <c r="B828" s="17" t="s">
        <v>1677</v>
      </c>
      <c r="C828" s="17" t="s">
        <v>78</v>
      </c>
      <c r="D828" s="18">
        <v>20050</v>
      </c>
      <c r="E828" s="16" t="s">
        <v>33</v>
      </c>
      <c r="F828" s="31">
        <v>496</v>
      </c>
      <c r="G828" s="17" t="s">
        <v>21</v>
      </c>
      <c r="H828" s="17" t="s">
        <v>48</v>
      </c>
      <c r="I828" s="17" t="s">
        <v>17</v>
      </c>
      <c r="J828" s="27">
        <v>0.1</v>
      </c>
      <c r="K828" s="17" t="s">
        <v>934</v>
      </c>
      <c r="L828" s="32">
        <v>10</v>
      </c>
      <c r="M828" s="32">
        <f>_xlfn.XLOOKUP(Table2_1[[#This Row],[Product Code]],Product_Code,Unit_Price,0)</f>
        <v>45</v>
      </c>
      <c r="N828" s="31">
        <f>DATEDIF(Table2_1[[#This Row],[Buyer Date of Birth]],Table2_1[[#This Row],[Transaction  Date]],"Y")</f>
        <v>69</v>
      </c>
      <c r="O828" s="33">
        <v>4960</v>
      </c>
      <c r="P828" s="33">
        <f>Table2_1[[#This Row],[Quantity Purchased]]*Table2_1[[#This Row],[UnitPrice]]*(1-Table2_1[[#This Row],[Discount]])</f>
        <v>20088</v>
      </c>
      <c r="Q828" s="33">
        <f>Table2_1[[#This Row],[Revenue]]-Table2_1[[#This Row],[COGS]]</f>
        <v>15128</v>
      </c>
      <c r="R828" s="39">
        <f>WEEKDAY(Table2_1[[#This Row],[Transaction  Date]])</f>
        <v>5</v>
      </c>
      <c r="S828" s="17" t="str">
        <f>IF(WEEKDAY(Table2_1[[#This Row],[Transaction  Date]],2)&lt;=5,"Weekday","Weekend")</f>
        <v>Weekday</v>
      </c>
      <c r="T828" s="37" t="str">
        <f>FLOOR(Table2_1[[#This Row],[Age]],15)&amp; "-"&amp; FLOOR(Table2_1[[#This Row],[Age]],15)+14</f>
        <v>60-74</v>
      </c>
    </row>
    <row r="829" spans="1:20" x14ac:dyDescent="0.3">
      <c r="A829" s="18">
        <v>45471</v>
      </c>
      <c r="B829" s="17" t="s">
        <v>1678</v>
      </c>
      <c r="C829" s="17" t="s">
        <v>94</v>
      </c>
      <c r="D829" s="18">
        <v>17996</v>
      </c>
      <c r="E829" s="16" t="s">
        <v>33</v>
      </c>
      <c r="F829" s="31">
        <v>161</v>
      </c>
      <c r="G829" s="17" t="s">
        <v>21</v>
      </c>
      <c r="H829" s="17" t="s">
        <v>52</v>
      </c>
      <c r="I829" s="17" t="s">
        <v>17</v>
      </c>
      <c r="J829" s="27">
        <v>0.1</v>
      </c>
      <c r="K829" s="17" t="s">
        <v>934</v>
      </c>
      <c r="L829" s="32">
        <v>10</v>
      </c>
      <c r="M829" s="32">
        <f>_xlfn.XLOOKUP(Table2_1[[#This Row],[Product Code]],Product_Code,Unit_Price,0)</f>
        <v>45</v>
      </c>
      <c r="N829" s="31">
        <f>DATEDIF(Table2_1[[#This Row],[Buyer Date of Birth]],Table2_1[[#This Row],[Transaction  Date]],"Y")</f>
        <v>75</v>
      </c>
      <c r="O829" s="33">
        <v>1610</v>
      </c>
      <c r="P829" s="33">
        <f>Table2_1[[#This Row],[Quantity Purchased]]*Table2_1[[#This Row],[UnitPrice]]*(1-Table2_1[[#This Row],[Discount]])</f>
        <v>6520.5</v>
      </c>
      <c r="Q829" s="33">
        <f>Table2_1[[#This Row],[Revenue]]-Table2_1[[#This Row],[COGS]]</f>
        <v>4910.5</v>
      </c>
      <c r="R829" s="39">
        <f>WEEKDAY(Table2_1[[#This Row],[Transaction  Date]])</f>
        <v>6</v>
      </c>
      <c r="S829" s="17" t="str">
        <f>IF(WEEKDAY(Table2_1[[#This Row],[Transaction  Date]],2)&lt;=5,"Weekday","Weekend")</f>
        <v>Weekday</v>
      </c>
      <c r="T829" s="37" t="str">
        <f>FLOOR(Table2_1[[#This Row],[Age]],15)&amp; "-"&amp; FLOOR(Table2_1[[#This Row],[Age]],15)+14</f>
        <v>75-89</v>
      </c>
    </row>
    <row r="830" spans="1:20" x14ac:dyDescent="0.3">
      <c r="A830" s="18">
        <v>45471</v>
      </c>
      <c r="B830" s="17" t="s">
        <v>1679</v>
      </c>
      <c r="C830" s="17" t="s">
        <v>94</v>
      </c>
      <c r="D830" s="18" t="s">
        <v>32</v>
      </c>
      <c r="E830" s="16" t="s">
        <v>33</v>
      </c>
      <c r="F830" s="31">
        <v>193</v>
      </c>
      <c r="G830" s="17" t="s">
        <v>34</v>
      </c>
      <c r="H830" s="17" t="s">
        <v>39</v>
      </c>
      <c r="I830" s="17" t="s">
        <v>17</v>
      </c>
      <c r="J830" s="27">
        <v>0.1</v>
      </c>
      <c r="K830" s="17" t="s">
        <v>930</v>
      </c>
      <c r="L830" s="32">
        <v>14</v>
      </c>
      <c r="M830" s="32">
        <f>_xlfn.XLOOKUP(Table2_1[[#This Row],[Product Code]],Product_Code,Unit_Price,0)</f>
        <v>28</v>
      </c>
      <c r="N830" s="31" t="e">
        <f>DATEDIF(Table2_1[[#This Row],[Buyer Date of Birth]],Table2_1[[#This Row],[Transaction  Date]],"Y")</f>
        <v>#VALUE!</v>
      </c>
      <c r="O830" s="33">
        <v>2702</v>
      </c>
      <c r="P830" s="33">
        <f>Table2_1[[#This Row],[Quantity Purchased]]*Table2_1[[#This Row],[UnitPrice]]*(1-Table2_1[[#This Row],[Discount]])</f>
        <v>4863.6000000000004</v>
      </c>
      <c r="Q830" s="33">
        <f>Table2_1[[#This Row],[Revenue]]-Table2_1[[#This Row],[COGS]]</f>
        <v>2161.6000000000004</v>
      </c>
      <c r="R830" s="39">
        <f>WEEKDAY(Table2_1[[#This Row],[Transaction  Date]])</f>
        <v>6</v>
      </c>
      <c r="S830" s="17" t="str">
        <f>IF(WEEKDAY(Table2_1[[#This Row],[Transaction  Date]],2)&lt;=5,"Weekday","Weekend")</f>
        <v>Weekday</v>
      </c>
      <c r="T830" s="37" t="e">
        <f>FLOOR(Table2_1[[#This Row],[Age]],15)&amp; "-"&amp; FLOOR(Table2_1[[#This Row],[Age]],15)+14</f>
        <v>#VALUE!</v>
      </c>
    </row>
    <row r="831" spans="1:20" x14ac:dyDescent="0.3">
      <c r="A831" s="18">
        <v>45471</v>
      </c>
      <c r="B831" s="17" t="s">
        <v>1680</v>
      </c>
      <c r="C831" s="17" t="s">
        <v>13</v>
      </c>
      <c r="D831" s="18">
        <v>37960</v>
      </c>
      <c r="E831" s="16" t="s">
        <v>68</v>
      </c>
      <c r="F831" s="31">
        <v>260</v>
      </c>
      <c r="G831" s="17" t="s">
        <v>64</v>
      </c>
      <c r="H831" s="17" t="s">
        <v>52</v>
      </c>
      <c r="I831" s="17" t="s">
        <v>17</v>
      </c>
      <c r="J831" s="27">
        <v>0.1</v>
      </c>
      <c r="K831" s="17" t="s">
        <v>933</v>
      </c>
      <c r="L831" s="32">
        <v>5</v>
      </c>
      <c r="M831" s="32">
        <f>_xlfn.XLOOKUP(Table2_1[[#This Row],[Product Code]],Product_Code,Unit_Price,0)</f>
        <v>7</v>
      </c>
      <c r="N831" s="31">
        <f>DATEDIF(Table2_1[[#This Row],[Buyer Date of Birth]],Table2_1[[#This Row],[Transaction  Date]],"Y")</f>
        <v>20</v>
      </c>
      <c r="O831" s="33">
        <v>1300</v>
      </c>
      <c r="P831" s="33">
        <f>Table2_1[[#This Row],[Quantity Purchased]]*Table2_1[[#This Row],[UnitPrice]]*(1-Table2_1[[#This Row],[Discount]])</f>
        <v>1638</v>
      </c>
      <c r="Q831" s="33">
        <f>Table2_1[[#This Row],[Revenue]]-Table2_1[[#This Row],[COGS]]</f>
        <v>338</v>
      </c>
      <c r="R831" s="39">
        <f>WEEKDAY(Table2_1[[#This Row],[Transaction  Date]])</f>
        <v>6</v>
      </c>
      <c r="S831" s="17" t="str">
        <f>IF(WEEKDAY(Table2_1[[#This Row],[Transaction  Date]],2)&lt;=5,"Weekday","Weekend")</f>
        <v>Weekday</v>
      </c>
      <c r="T831" s="37" t="str">
        <f>FLOOR(Table2_1[[#This Row],[Age]],15)&amp; "-"&amp; FLOOR(Table2_1[[#This Row],[Age]],15)+14</f>
        <v>15-29</v>
      </c>
    </row>
    <row r="832" spans="1:20" x14ac:dyDescent="0.3">
      <c r="A832" s="18">
        <v>45471</v>
      </c>
      <c r="B832" s="17" t="s">
        <v>1681</v>
      </c>
      <c r="C832" s="17" t="s">
        <v>32</v>
      </c>
      <c r="D832" s="18">
        <v>26625</v>
      </c>
      <c r="E832" s="16" t="s">
        <v>14</v>
      </c>
      <c r="F832" s="31">
        <v>82</v>
      </c>
      <c r="G832" s="17" t="s">
        <v>15</v>
      </c>
      <c r="H832" s="17" t="s">
        <v>48</v>
      </c>
      <c r="I832" s="17" t="s">
        <v>17</v>
      </c>
      <c r="J832" s="27">
        <v>0.1</v>
      </c>
      <c r="K832" s="17" t="s">
        <v>929</v>
      </c>
      <c r="L832" s="32">
        <v>10</v>
      </c>
      <c r="M832" s="32">
        <f>_xlfn.XLOOKUP(Table2_1[[#This Row],[Product Code]],Product_Code,Unit_Price,0)</f>
        <v>14</v>
      </c>
      <c r="N832" s="31">
        <f>DATEDIF(Table2_1[[#This Row],[Buyer Date of Birth]],Table2_1[[#This Row],[Transaction  Date]],"Y")</f>
        <v>51</v>
      </c>
      <c r="O832" s="33">
        <v>820</v>
      </c>
      <c r="P832" s="33">
        <f>Table2_1[[#This Row],[Quantity Purchased]]*Table2_1[[#This Row],[UnitPrice]]*(1-Table2_1[[#This Row],[Discount]])</f>
        <v>1033.2</v>
      </c>
      <c r="Q832" s="33">
        <f>Table2_1[[#This Row],[Revenue]]-Table2_1[[#This Row],[COGS]]</f>
        <v>213.20000000000005</v>
      </c>
      <c r="R832" s="39">
        <f>WEEKDAY(Table2_1[[#This Row],[Transaction  Date]])</f>
        <v>6</v>
      </c>
      <c r="S832" s="17" t="str">
        <f>IF(WEEKDAY(Table2_1[[#This Row],[Transaction  Date]],2)&lt;=5,"Weekday","Weekend")</f>
        <v>Weekday</v>
      </c>
      <c r="T832" s="37" t="str">
        <f>FLOOR(Table2_1[[#This Row],[Age]],15)&amp; "-"&amp; FLOOR(Table2_1[[#This Row],[Age]],15)+14</f>
        <v>45-59</v>
      </c>
    </row>
    <row r="833" spans="1:20" x14ac:dyDescent="0.3">
      <c r="A833" s="18">
        <v>45471</v>
      </c>
      <c r="B833" s="17" t="s">
        <v>1682</v>
      </c>
      <c r="C833" s="17" t="s">
        <v>71</v>
      </c>
      <c r="D833" s="18">
        <v>32140</v>
      </c>
      <c r="E833" s="16" t="s">
        <v>33</v>
      </c>
      <c r="F833" s="31">
        <v>399</v>
      </c>
      <c r="G833" s="17" t="s">
        <v>42</v>
      </c>
      <c r="H833" s="17" t="s">
        <v>39</v>
      </c>
      <c r="I833" s="17" t="s">
        <v>17</v>
      </c>
      <c r="J833" s="27">
        <v>0.1</v>
      </c>
      <c r="K833" s="17" t="s">
        <v>926</v>
      </c>
      <c r="L833" s="32">
        <v>10</v>
      </c>
      <c r="M833" s="32">
        <f>_xlfn.XLOOKUP(Table2_1[[#This Row],[Product Code]],Product_Code,Unit_Price,0)</f>
        <v>11</v>
      </c>
      <c r="N833" s="31">
        <f>DATEDIF(Table2_1[[#This Row],[Buyer Date of Birth]],Table2_1[[#This Row],[Transaction  Date]],"Y")</f>
        <v>36</v>
      </c>
      <c r="O833" s="33">
        <v>3990</v>
      </c>
      <c r="P833" s="33">
        <f>Table2_1[[#This Row],[Quantity Purchased]]*Table2_1[[#This Row],[UnitPrice]]*(1-Table2_1[[#This Row],[Discount]])</f>
        <v>3950.1</v>
      </c>
      <c r="Q833" s="33">
        <f>Table2_1[[#This Row],[Revenue]]-Table2_1[[#This Row],[COGS]]</f>
        <v>-39.900000000000091</v>
      </c>
      <c r="R833" s="39">
        <f>WEEKDAY(Table2_1[[#This Row],[Transaction  Date]])</f>
        <v>6</v>
      </c>
      <c r="S833" s="17" t="str">
        <f>IF(WEEKDAY(Table2_1[[#This Row],[Transaction  Date]],2)&lt;=5,"Weekday","Weekend")</f>
        <v>Weekday</v>
      </c>
      <c r="T833" s="37" t="str">
        <f>FLOOR(Table2_1[[#This Row],[Age]],15)&amp; "-"&amp; FLOOR(Table2_1[[#This Row],[Age]],15)+14</f>
        <v>30-44</v>
      </c>
    </row>
    <row r="834" spans="1:20" x14ac:dyDescent="0.3">
      <c r="A834" s="18">
        <v>45472</v>
      </c>
      <c r="B834" s="17" t="s">
        <v>1683</v>
      </c>
      <c r="C834" s="17" t="s">
        <v>55</v>
      </c>
      <c r="D834" s="18">
        <v>32874</v>
      </c>
      <c r="E834" s="16" t="s">
        <v>33</v>
      </c>
      <c r="F834" s="31">
        <v>165</v>
      </c>
      <c r="G834" s="17" t="s">
        <v>21</v>
      </c>
      <c r="H834" s="17" t="s">
        <v>43</v>
      </c>
      <c r="I834" s="17" t="s">
        <v>17</v>
      </c>
      <c r="J834" s="27">
        <v>0.1</v>
      </c>
      <c r="K834" s="17" t="s">
        <v>934</v>
      </c>
      <c r="L834" s="32">
        <v>10</v>
      </c>
      <c r="M834" s="32">
        <f>_xlfn.XLOOKUP(Table2_1[[#This Row],[Product Code]],Product_Code,Unit_Price,0)</f>
        <v>45</v>
      </c>
      <c r="N834" s="31">
        <f>DATEDIF(Table2_1[[#This Row],[Buyer Date of Birth]],Table2_1[[#This Row],[Transaction  Date]],"Y")</f>
        <v>34</v>
      </c>
      <c r="O834" s="33">
        <v>1650</v>
      </c>
      <c r="P834" s="33">
        <f>Table2_1[[#This Row],[Quantity Purchased]]*Table2_1[[#This Row],[UnitPrice]]*(1-Table2_1[[#This Row],[Discount]])</f>
        <v>6682.5</v>
      </c>
      <c r="Q834" s="33">
        <f>Table2_1[[#This Row],[Revenue]]-Table2_1[[#This Row],[COGS]]</f>
        <v>5032.5</v>
      </c>
      <c r="R834" s="39">
        <f>WEEKDAY(Table2_1[[#This Row],[Transaction  Date]])</f>
        <v>7</v>
      </c>
      <c r="S834" s="17" t="str">
        <f>IF(WEEKDAY(Table2_1[[#This Row],[Transaction  Date]],2)&lt;=5,"Weekday","Weekend")</f>
        <v>Weekend</v>
      </c>
      <c r="T834" s="37" t="str">
        <f>FLOOR(Table2_1[[#This Row],[Age]],15)&amp; "-"&amp; FLOOR(Table2_1[[#This Row],[Age]],15)+14</f>
        <v>30-44</v>
      </c>
    </row>
    <row r="835" spans="1:20" x14ac:dyDescent="0.3">
      <c r="A835" s="18">
        <v>45472</v>
      </c>
      <c r="B835" s="17" t="s">
        <v>1684</v>
      </c>
      <c r="C835" s="17" t="s">
        <v>51</v>
      </c>
      <c r="D835" s="18">
        <v>24653</v>
      </c>
      <c r="E835" s="16" t="s">
        <v>20</v>
      </c>
      <c r="F835" s="31">
        <v>285</v>
      </c>
      <c r="G835" s="17" t="s">
        <v>56</v>
      </c>
      <c r="H835" s="17" t="s">
        <v>52</v>
      </c>
      <c r="I835" s="17" t="s">
        <v>17</v>
      </c>
      <c r="J835" s="27">
        <v>0.1</v>
      </c>
      <c r="K835" s="17" t="s">
        <v>935</v>
      </c>
      <c r="L835" s="32">
        <v>18</v>
      </c>
      <c r="M835" s="32">
        <f>_xlfn.XLOOKUP(Table2_1[[#This Row],[Product Code]],Product_Code,Unit_Price,0)</f>
        <v>36</v>
      </c>
      <c r="N835" s="31">
        <f>DATEDIF(Table2_1[[#This Row],[Buyer Date of Birth]],Table2_1[[#This Row],[Transaction  Date]],"Y")</f>
        <v>56</v>
      </c>
      <c r="O835" s="33">
        <v>5130</v>
      </c>
      <c r="P835" s="33">
        <f>Table2_1[[#This Row],[Quantity Purchased]]*Table2_1[[#This Row],[UnitPrice]]*(1-Table2_1[[#This Row],[Discount]])</f>
        <v>9234</v>
      </c>
      <c r="Q835" s="33">
        <f>Table2_1[[#This Row],[Revenue]]-Table2_1[[#This Row],[COGS]]</f>
        <v>4104</v>
      </c>
      <c r="R835" s="39">
        <f>WEEKDAY(Table2_1[[#This Row],[Transaction  Date]])</f>
        <v>7</v>
      </c>
      <c r="S835" s="17" t="str">
        <f>IF(WEEKDAY(Table2_1[[#This Row],[Transaction  Date]],2)&lt;=5,"Weekday","Weekend")</f>
        <v>Weekend</v>
      </c>
      <c r="T835" s="37" t="str">
        <f>FLOOR(Table2_1[[#This Row],[Age]],15)&amp; "-"&amp; FLOOR(Table2_1[[#This Row],[Age]],15)+14</f>
        <v>45-59</v>
      </c>
    </row>
    <row r="836" spans="1:20" x14ac:dyDescent="0.3">
      <c r="A836" s="18">
        <v>45472</v>
      </c>
      <c r="B836" s="17" t="s">
        <v>1685</v>
      </c>
      <c r="C836" s="17" t="s">
        <v>78</v>
      </c>
      <c r="D836" s="18">
        <v>18189</v>
      </c>
      <c r="E836" s="16" t="s">
        <v>33</v>
      </c>
      <c r="F836" s="31">
        <v>80</v>
      </c>
      <c r="G836" s="17" t="s">
        <v>47</v>
      </c>
      <c r="H836" s="17" t="s">
        <v>28</v>
      </c>
      <c r="I836" s="17" t="s">
        <v>17</v>
      </c>
      <c r="J836" s="27">
        <v>0.1</v>
      </c>
      <c r="K836" s="17" t="s">
        <v>931</v>
      </c>
      <c r="L836" s="32">
        <v>7</v>
      </c>
      <c r="M836" s="32">
        <f>_xlfn.XLOOKUP(Table2_1[[#This Row],[Product Code]],Product_Code,Unit_Price,0)</f>
        <v>9</v>
      </c>
      <c r="N836" s="31">
        <f>DATEDIF(Table2_1[[#This Row],[Buyer Date of Birth]],Table2_1[[#This Row],[Transaction  Date]],"Y")</f>
        <v>74</v>
      </c>
      <c r="O836" s="33">
        <v>560</v>
      </c>
      <c r="P836" s="33">
        <f>Table2_1[[#This Row],[Quantity Purchased]]*Table2_1[[#This Row],[UnitPrice]]*(1-Table2_1[[#This Row],[Discount]])</f>
        <v>648</v>
      </c>
      <c r="Q836" s="33">
        <f>Table2_1[[#This Row],[Revenue]]-Table2_1[[#This Row],[COGS]]</f>
        <v>88</v>
      </c>
      <c r="R836" s="39">
        <f>WEEKDAY(Table2_1[[#This Row],[Transaction  Date]])</f>
        <v>7</v>
      </c>
      <c r="S836" s="17" t="str">
        <f>IF(WEEKDAY(Table2_1[[#This Row],[Transaction  Date]],2)&lt;=5,"Weekday","Weekend")</f>
        <v>Weekend</v>
      </c>
      <c r="T836" s="37" t="str">
        <f>FLOOR(Table2_1[[#This Row],[Age]],15)&amp; "-"&amp; FLOOR(Table2_1[[#This Row],[Age]],15)+14</f>
        <v>60-74</v>
      </c>
    </row>
    <row r="837" spans="1:20" x14ac:dyDescent="0.3">
      <c r="A837" s="18">
        <v>45472</v>
      </c>
      <c r="B837" s="17" t="s">
        <v>1686</v>
      </c>
      <c r="C837" s="17" t="s">
        <v>55</v>
      </c>
      <c r="D837" s="18">
        <v>17019</v>
      </c>
      <c r="E837" s="16" t="s">
        <v>68</v>
      </c>
      <c r="F837" s="31">
        <v>453</v>
      </c>
      <c r="G837" s="17" t="s">
        <v>34</v>
      </c>
      <c r="H837" s="17" t="s">
        <v>52</v>
      </c>
      <c r="I837" s="17" t="s">
        <v>23</v>
      </c>
      <c r="J837" s="27">
        <v>0.1</v>
      </c>
      <c r="K837" s="17" t="s">
        <v>930</v>
      </c>
      <c r="L837" s="32">
        <v>14</v>
      </c>
      <c r="M837" s="32">
        <f>_xlfn.XLOOKUP(Table2_1[[#This Row],[Product Code]],Product_Code,Unit_Price,0)</f>
        <v>28</v>
      </c>
      <c r="N837" s="31">
        <f>DATEDIF(Table2_1[[#This Row],[Buyer Date of Birth]],Table2_1[[#This Row],[Transaction  Date]],"Y")</f>
        <v>77</v>
      </c>
      <c r="O837" s="33">
        <v>6342</v>
      </c>
      <c r="P837" s="33">
        <f>Table2_1[[#This Row],[Quantity Purchased]]*Table2_1[[#This Row],[UnitPrice]]*(1-Table2_1[[#This Row],[Discount]])</f>
        <v>11415.6</v>
      </c>
      <c r="Q837" s="33">
        <f>Table2_1[[#This Row],[Revenue]]-Table2_1[[#This Row],[COGS]]</f>
        <v>5073.6000000000004</v>
      </c>
      <c r="R837" s="39">
        <f>WEEKDAY(Table2_1[[#This Row],[Transaction  Date]])</f>
        <v>7</v>
      </c>
      <c r="S837" s="17" t="str">
        <f>IF(WEEKDAY(Table2_1[[#This Row],[Transaction  Date]],2)&lt;=5,"Weekday","Weekend")</f>
        <v>Weekend</v>
      </c>
      <c r="T837" s="37" t="str">
        <f>FLOOR(Table2_1[[#This Row],[Age]],15)&amp; "-"&amp; FLOOR(Table2_1[[#This Row],[Age]],15)+14</f>
        <v>75-89</v>
      </c>
    </row>
    <row r="838" spans="1:20" x14ac:dyDescent="0.3">
      <c r="A838" s="18">
        <v>45472</v>
      </c>
      <c r="B838" s="17" t="s">
        <v>1687</v>
      </c>
      <c r="C838" s="17" t="s">
        <v>32</v>
      </c>
      <c r="D838" s="18">
        <v>19367</v>
      </c>
      <c r="E838" s="16" t="s">
        <v>20</v>
      </c>
      <c r="F838" s="31">
        <v>316</v>
      </c>
      <c r="G838" s="17" t="s">
        <v>59</v>
      </c>
      <c r="H838" s="17" t="s">
        <v>48</v>
      </c>
      <c r="I838" s="17" t="s">
        <v>17</v>
      </c>
      <c r="J838" s="27">
        <v>0.1</v>
      </c>
      <c r="K838" s="17" t="s">
        <v>932</v>
      </c>
      <c r="L838" s="32">
        <v>19</v>
      </c>
      <c r="M838" s="32">
        <f>_xlfn.XLOOKUP(Table2_1[[#This Row],[Product Code]],Product_Code,Unit_Price,0)</f>
        <v>23</v>
      </c>
      <c r="N838" s="31">
        <f>DATEDIF(Table2_1[[#This Row],[Buyer Date of Birth]],Table2_1[[#This Row],[Transaction  Date]],"Y")</f>
        <v>71</v>
      </c>
      <c r="O838" s="33">
        <v>6004</v>
      </c>
      <c r="P838" s="33">
        <f>Table2_1[[#This Row],[Quantity Purchased]]*Table2_1[[#This Row],[UnitPrice]]*(1-Table2_1[[#This Row],[Discount]])</f>
        <v>6541.2</v>
      </c>
      <c r="Q838" s="33">
        <f>Table2_1[[#This Row],[Revenue]]-Table2_1[[#This Row],[COGS]]</f>
        <v>537.19999999999982</v>
      </c>
      <c r="R838" s="39">
        <f>WEEKDAY(Table2_1[[#This Row],[Transaction  Date]])</f>
        <v>7</v>
      </c>
      <c r="S838" s="17" t="str">
        <f>IF(WEEKDAY(Table2_1[[#This Row],[Transaction  Date]],2)&lt;=5,"Weekday","Weekend")</f>
        <v>Weekend</v>
      </c>
      <c r="T838" s="37" t="str">
        <f>FLOOR(Table2_1[[#This Row],[Age]],15)&amp; "-"&amp; FLOOR(Table2_1[[#This Row],[Age]],15)+14</f>
        <v>60-74</v>
      </c>
    </row>
    <row r="839" spans="1:20" x14ac:dyDescent="0.3">
      <c r="A839" s="18">
        <v>45472</v>
      </c>
      <c r="B839" s="17" t="s">
        <v>1688</v>
      </c>
      <c r="C839" s="17" t="s">
        <v>51</v>
      </c>
      <c r="D839" s="18">
        <v>28043</v>
      </c>
      <c r="E839" s="16" t="s">
        <v>68</v>
      </c>
      <c r="F839" s="31">
        <v>114</v>
      </c>
      <c r="G839" s="17" t="s">
        <v>47</v>
      </c>
      <c r="H839" s="17" t="s">
        <v>48</v>
      </c>
      <c r="I839" s="17" t="s">
        <v>17</v>
      </c>
      <c r="J839" s="27">
        <v>0.1</v>
      </c>
      <c r="K839" s="17" t="s">
        <v>931</v>
      </c>
      <c r="L839" s="32">
        <v>7</v>
      </c>
      <c r="M839" s="32">
        <f>_xlfn.XLOOKUP(Table2_1[[#This Row],[Product Code]],Product_Code,Unit_Price,0)</f>
        <v>9</v>
      </c>
      <c r="N839" s="31">
        <f>DATEDIF(Table2_1[[#This Row],[Buyer Date of Birth]],Table2_1[[#This Row],[Transaction  Date]],"Y")</f>
        <v>47</v>
      </c>
      <c r="O839" s="33">
        <v>798</v>
      </c>
      <c r="P839" s="33">
        <f>Table2_1[[#This Row],[Quantity Purchased]]*Table2_1[[#This Row],[UnitPrice]]*(1-Table2_1[[#This Row],[Discount]])</f>
        <v>923.4</v>
      </c>
      <c r="Q839" s="33">
        <f>Table2_1[[#This Row],[Revenue]]-Table2_1[[#This Row],[COGS]]</f>
        <v>125.39999999999998</v>
      </c>
      <c r="R839" s="39">
        <f>WEEKDAY(Table2_1[[#This Row],[Transaction  Date]])</f>
        <v>7</v>
      </c>
      <c r="S839" s="17" t="str">
        <f>IF(WEEKDAY(Table2_1[[#This Row],[Transaction  Date]],2)&lt;=5,"Weekday","Weekend")</f>
        <v>Weekend</v>
      </c>
      <c r="T839" s="37" t="str">
        <f>FLOOR(Table2_1[[#This Row],[Age]],15)&amp; "-"&amp; FLOOR(Table2_1[[#This Row],[Age]],15)+14</f>
        <v>45-59</v>
      </c>
    </row>
    <row r="840" spans="1:20" x14ac:dyDescent="0.3">
      <c r="A840" s="18">
        <v>45473</v>
      </c>
      <c r="B840" s="17" t="s">
        <v>1027</v>
      </c>
      <c r="C840" s="17" t="s">
        <v>38</v>
      </c>
      <c r="D840" s="18">
        <v>27423</v>
      </c>
      <c r="E840" s="16" t="s">
        <v>20</v>
      </c>
      <c r="F840" s="31">
        <v>383</v>
      </c>
      <c r="G840" s="17" t="s">
        <v>15</v>
      </c>
      <c r="H840" s="17" t="s">
        <v>28</v>
      </c>
      <c r="I840" s="17" t="s">
        <v>23</v>
      </c>
      <c r="J840" s="27">
        <v>0.1</v>
      </c>
      <c r="K840" s="17" t="s">
        <v>929</v>
      </c>
      <c r="L840" s="32">
        <v>10</v>
      </c>
      <c r="M840" s="32">
        <f>_xlfn.XLOOKUP(Table2_1[[#This Row],[Product Code]],Product_Code,Unit_Price,0)</f>
        <v>14</v>
      </c>
      <c r="N840" s="31">
        <f>DATEDIF(Table2_1[[#This Row],[Buyer Date of Birth]],Table2_1[[#This Row],[Transaction  Date]],"Y")</f>
        <v>49</v>
      </c>
      <c r="O840" s="33">
        <v>3830</v>
      </c>
      <c r="P840" s="33">
        <f>Table2_1[[#This Row],[Quantity Purchased]]*Table2_1[[#This Row],[UnitPrice]]*(1-Table2_1[[#This Row],[Discount]])</f>
        <v>4825.8</v>
      </c>
      <c r="Q840" s="33">
        <f>Table2_1[[#This Row],[Revenue]]-Table2_1[[#This Row],[COGS]]</f>
        <v>995.80000000000018</v>
      </c>
      <c r="R840" s="39">
        <f>WEEKDAY(Table2_1[[#This Row],[Transaction  Date]])</f>
        <v>1</v>
      </c>
      <c r="S840" s="17" t="str">
        <f>IF(WEEKDAY(Table2_1[[#This Row],[Transaction  Date]],2)&lt;=5,"Weekday","Weekend")</f>
        <v>Weekend</v>
      </c>
      <c r="T840" s="37" t="str">
        <f>FLOOR(Table2_1[[#This Row],[Age]],15)&amp; "-"&amp; FLOOR(Table2_1[[#This Row],[Age]],15)+14</f>
        <v>45-59</v>
      </c>
    </row>
    <row r="841" spans="1:20" x14ac:dyDescent="0.3">
      <c r="A841" s="18">
        <v>45473</v>
      </c>
      <c r="B841" s="17" t="s">
        <v>996</v>
      </c>
      <c r="C841" s="17" t="s">
        <v>26</v>
      </c>
      <c r="D841" s="18">
        <v>19804</v>
      </c>
      <c r="E841" s="16" t="s">
        <v>20</v>
      </c>
      <c r="F841" s="31">
        <v>40</v>
      </c>
      <c r="G841" s="17" t="s">
        <v>64</v>
      </c>
      <c r="H841" s="17" t="s">
        <v>52</v>
      </c>
      <c r="I841" s="17" t="s">
        <v>29</v>
      </c>
      <c r="J841" s="27">
        <v>0.1</v>
      </c>
      <c r="K841" s="17" t="s">
        <v>933</v>
      </c>
      <c r="L841" s="32">
        <v>5</v>
      </c>
      <c r="M841" s="32">
        <f>_xlfn.XLOOKUP(Table2_1[[#This Row],[Product Code]],Product_Code,Unit_Price,0)</f>
        <v>7</v>
      </c>
      <c r="N841" s="31">
        <f>DATEDIF(Table2_1[[#This Row],[Buyer Date of Birth]],Table2_1[[#This Row],[Transaction  Date]],"Y")</f>
        <v>70</v>
      </c>
      <c r="O841" s="33">
        <v>200</v>
      </c>
      <c r="P841" s="33">
        <f>Table2_1[[#This Row],[Quantity Purchased]]*Table2_1[[#This Row],[UnitPrice]]*(1-Table2_1[[#This Row],[Discount]])</f>
        <v>252</v>
      </c>
      <c r="Q841" s="33">
        <f>Table2_1[[#This Row],[Revenue]]-Table2_1[[#This Row],[COGS]]</f>
        <v>52</v>
      </c>
      <c r="R841" s="39">
        <f>WEEKDAY(Table2_1[[#This Row],[Transaction  Date]])</f>
        <v>1</v>
      </c>
      <c r="S841" s="17" t="str">
        <f>IF(WEEKDAY(Table2_1[[#This Row],[Transaction  Date]],2)&lt;=5,"Weekday","Weekend")</f>
        <v>Weekend</v>
      </c>
      <c r="T841" s="37" t="str">
        <f>FLOOR(Table2_1[[#This Row],[Age]],15)&amp; "-"&amp; FLOOR(Table2_1[[#This Row],[Age]],15)+14</f>
        <v>60-74</v>
      </c>
    </row>
    <row r="842" spans="1:20" x14ac:dyDescent="0.3">
      <c r="A842" s="18">
        <v>45473</v>
      </c>
      <c r="B842" s="17" t="s">
        <v>1689</v>
      </c>
      <c r="C842" s="17" t="s">
        <v>55</v>
      </c>
      <c r="D842" s="18">
        <v>33412</v>
      </c>
      <c r="E842" s="16" t="s">
        <v>68</v>
      </c>
      <c r="F842" s="31">
        <v>313</v>
      </c>
      <c r="G842" s="17" t="s">
        <v>64</v>
      </c>
      <c r="H842" s="17" t="s">
        <v>43</v>
      </c>
      <c r="I842" s="17" t="s">
        <v>17</v>
      </c>
      <c r="J842" s="27">
        <v>0.1</v>
      </c>
      <c r="K842" s="17" t="s">
        <v>933</v>
      </c>
      <c r="L842" s="32">
        <v>5</v>
      </c>
      <c r="M842" s="32">
        <f>_xlfn.XLOOKUP(Table2_1[[#This Row],[Product Code]],Product_Code,Unit_Price,0)</f>
        <v>7</v>
      </c>
      <c r="N842" s="31">
        <f>DATEDIF(Table2_1[[#This Row],[Buyer Date of Birth]],Table2_1[[#This Row],[Transaction  Date]],"Y")</f>
        <v>33</v>
      </c>
      <c r="O842" s="33">
        <v>1565</v>
      </c>
      <c r="P842" s="33">
        <f>Table2_1[[#This Row],[Quantity Purchased]]*Table2_1[[#This Row],[UnitPrice]]*(1-Table2_1[[#This Row],[Discount]])</f>
        <v>1971.9</v>
      </c>
      <c r="Q842" s="33">
        <f>Table2_1[[#This Row],[Revenue]]-Table2_1[[#This Row],[COGS]]</f>
        <v>406.90000000000009</v>
      </c>
      <c r="R842" s="39">
        <f>WEEKDAY(Table2_1[[#This Row],[Transaction  Date]])</f>
        <v>1</v>
      </c>
      <c r="S842" s="17" t="str">
        <f>IF(WEEKDAY(Table2_1[[#This Row],[Transaction  Date]],2)&lt;=5,"Weekday","Weekend")</f>
        <v>Weekend</v>
      </c>
      <c r="T842" s="37" t="str">
        <f>FLOOR(Table2_1[[#This Row],[Age]],15)&amp; "-"&amp; FLOOR(Table2_1[[#This Row],[Age]],15)+14</f>
        <v>30-44</v>
      </c>
    </row>
    <row r="843" spans="1:20" x14ac:dyDescent="0.3">
      <c r="A843" s="18">
        <v>45474</v>
      </c>
      <c r="B843" s="17" t="s">
        <v>1690</v>
      </c>
      <c r="C843" s="17" t="s">
        <v>55</v>
      </c>
      <c r="D843" s="18">
        <v>24721</v>
      </c>
      <c r="E843" s="16" t="s">
        <v>33</v>
      </c>
      <c r="F843" s="31">
        <v>61</v>
      </c>
      <c r="G843" s="17" t="s">
        <v>42</v>
      </c>
      <c r="H843" s="17" t="s">
        <v>48</v>
      </c>
      <c r="I843" s="17" t="s">
        <v>17</v>
      </c>
      <c r="J843" s="27">
        <v>0.1</v>
      </c>
      <c r="K843" s="17" t="s">
        <v>926</v>
      </c>
      <c r="L843" s="32">
        <v>10</v>
      </c>
      <c r="M843" s="32">
        <f>_xlfn.XLOOKUP(Table2_1[[#This Row],[Product Code]],Product_Code,Unit_Price,0)</f>
        <v>11</v>
      </c>
      <c r="N843" s="31">
        <f>DATEDIF(Table2_1[[#This Row],[Buyer Date of Birth]],Table2_1[[#This Row],[Transaction  Date]],"Y")</f>
        <v>56</v>
      </c>
      <c r="O843" s="33">
        <v>610</v>
      </c>
      <c r="P843" s="33">
        <f>Table2_1[[#This Row],[Quantity Purchased]]*Table2_1[[#This Row],[UnitPrice]]*(1-Table2_1[[#This Row],[Discount]])</f>
        <v>603.9</v>
      </c>
      <c r="Q843" s="33">
        <f>Table2_1[[#This Row],[Revenue]]-Table2_1[[#This Row],[COGS]]</f>
        <v>-6.1000000000000227</v>
      </c>
      <c r="R843" s="39">
        <f>WEEKDAY(Table2_1[[#This Row],[Transaction  Date]])</f>
        <v>2</v>
      </c>
      <c r="S843" s="17" t="str">
        <f>IF(WEEKDAY(Table2_1[[#This Row],[Transaction  Date]],2)&lt;=5,"Weekday","Weekend")</f>
        <v>Weekday</v>
      </c>
      <c r="T843" s="37" t="str">
        <f>FLOOR(Table2_1[[#This Row],[Age]],15)&amp; "-"&amp; FLOOR(Table2_1[[#This Row],[Age]],15)+14</f>
        <v>45-59</v>
      </c>
    </row>
    <row r="844" spans="1:20" x14ac:dyDescent="0.3">
      <c r="A844" s="18">
        <v>45475</v>
      </c>
      <c r="B844" s="17" t="s">
        <v>1691</v>
      </c>
      <c r="C844" s="17" t="s">
        <v>51</v>
      </c>
      <c r="D844" s="18">
        <v>33346</v>
      </c>
      <c r="E844" s="16" t="s">
        <v>68</v>
      </c>
      <c r="F844" s="31">
        <v>309</v>
      </c>
      <c r="G844" s="17" t="s">
        <v>21</v>
      </c>
      <c r="H844" s="17" t="s">
        <v>52</v>
      </c>
      <c r="I844" s="17" t="s">
        <v>17</v>
      </c>
      <c r="J844" s="27">
        <v>0.1</v>
      </c>
      <c r="K844" s="17" t="s">
        <v>934</v>
      </c>
      <c r="L844" s="32">
        <v>10</v>
      </c>
      <c r="M844" s="32">
        <f>_xlfn.XLOOKUP(Table2_1[[#This Row],[Product Code]],Product_Code,Unit_Price,0)</f>
        <v>45</v>
      </c>
      <c r="N844" s="31">
        <f>DATEDIF(Table2_1[[#This Row],[Buyer Date of Birth]],Table2_1[[#This Row],[Transaction  Date]],"Y")</f>
        <v>33</v>
      </c>
      <c r="O844" s="33">
        <v>3090</v>
      </c>
      <c r="P844" s="33">
        <f>Table2_1[[#This Row],[Quantity Purchased]]*Table2_1[[#This Row],[UnitPrice]]*(1-Table2_1[[#This Row],[Discount]])</f>
        <v>12514.5</v>
      </c>
      <c r="Q844" s="33">
        <f>Table2_1[[#This Row],[Revenue]]-Table2_1[[#This Row],[COGS]]</f>
        <v>9424.5</v>
      </c>
      <c r="R844" s="39">
        <f>WEEKDAY(Table2_1[[#This Row],[Transaction  Date]])</f>
        <v>3</v>
      </c>
      <c r="S844" s="17" t="str">
        <f>IF(WEEKDAY(Table2_1[[#This Row],[Transaction  Date]],2)&lt;=5,"Weekday","Weekend")</f>
        <v>Weekday</v>
      </c>
      <c r="T844" s="37" t="str">
        <f>FLOOR(Table2_1[[#This Row],[Age]],15)&amp; "-"&amp; FLOOR(Table2_1[[#This Row],[Age]],15)+14</f>
        <v>30-44</v>
      </c>
    </row>
    <row r="845" spans="1:20" x14ac:dyDescent="0.3">
      <c r="A845" s="18">
        <v>45475</v>
      </c>
      <c r="B845" s="17" t="s">
        <v>1692</v>
      </c>
      <c r="C845" s="17" t="s">
        <v>38</v>
      </c>
      <c r="D845" s="18">
        <v>26417</v>
      </c>
      <c r="E845" s="16" t="s">
        <v>14</v>
      </c>
      <c r="F845" s="31">
        <v>449</v>
      </c>
      <c r="G845" s="17" t="s">
        <v>15</v>
      </c>
      <c r="H845" s="17" t="s">
        <v>28</v>
      </c>
      <c r="I845" s="17" t="s">
        <v>29</v>
      </c>
      <c r="J845" s="27">
        <v>0.1</v>
      </c>
      <c r="K845" s="17" t="s">
        <v>929</v>
      </c>
      <c r="L845" s="32">
        <v>10</v>
      </c>
      <c r="M845" s="32">
        <f>_xlfn.XLOOKUP(Table2_1[[#This Row],[Product Code]],Product_Code,Unit_Price,0)</f>
        <v>14</v>
      </c>
      <c r="N845" s="31">
        <f>DATEDIF(Table2_1[[#This Row],[Buyer Date of Birth]],Table2_1[[#This Row],[Transaction  Date]],"Y")</f>
        <v>52</v>
      </c>
      <c r="O845" s="33">
        <v>4490</v>
      </c>
      <c r="P845" s="33">
        <f>Table2_1[[#This Row],[Quantity Purchased]]*Table2_1[[#This Row],[UnitPrice]]*(1-Table2_1[[#This Row],[Discount]])</f>
        <v>5657.4000000000005</v>
      </c>
      <c r="Q845" s="33">
        <f>Table2_1[[#This Row],[Revenue]]-Table2_1[[#This Row],[COGS]]</f>
        <v>1167.4000000000005</v>
      </c>
      <c r="R845" s="39">
        <f>WEEKDAY(Table2_1[[#This Row],[Transaction  Date]])</f>
        <v>3</v>
      </c>
      <c r="S845" s="17" t="str">
        <f>IF(WEEKDAY(Table2_1[[#This Row],[Transaction  Date]],2)&lt;=5,"Weekday","Weekend")</f>
        <v>Weekday</v>
      </c>
      <c r="T845" s="37" t="str">
        <f>FLOOR(Table2_1[[#This Row],[Age]],15)&amp; "-"&amp; FLOOR(Table2_1[[#This Row],[Age]],15)+14</f>
        <v>45-59</v>
      </c>
    </row>
    <row r="846" spans="1:20" x14ac:dyDescent="0.3">
      <c r="A846" s="18">
        <v>45475</v>
      </c>
      <c r="B846" s="17" t="s">
        <v>1693</v>
      </c>
      <c r="C846" s="17" t="s">
        <v>38</v>
      </c>
      <c r="D846" s="18">
        <v>36486</v>
      </c>
      <c r="E846" s="16" t="s">
        <v>20</v>
      </c>
      <c r="F846" s="31">
        <v>157</v>
      </c>
      <c r="G846" s="17" t="s">
        <v>15</v>
      </c>
      <c r="H846" s="17" t="s">
        <v>43</v>
      </c>
      <c r="I846" s="17" t="s">
        <v>17</v>
      </c>
      <c r="J846" s="27">
        <v>0.1</v>
      </c>
      <c r="K846" s="17" t="s">
        <v>929</v>
      </c>
      <c r="L846" s="32">
        <v>10</v>
      </c>
      <c r="M846" s="32">
        <f>_xlfn.XLOOKUP(Table2_1[[#This Row],[Product Code]],Product_Code,Unit_Price,0)</f>
        <v>14</v>
      </c>
      <c r="N846" s="31">
        <f>DATEDIF(Table2_1[[#This Row],[Buyer Date of Birth]],Table2_1[[#This Row],[Transaction  Date]],"Y")</f>
        <v>24</v>
      </c>
      <c r="O846" s="33">
        <v>1570</v>
      </c>
      <c r="P846" s="33">
        <f>Table2_1[[#This Row],[Quantity Purchased]]*Table2_1[[#This Row],[UnitPrice]]*(1-Table2_1[[#This Row],[Discount]])</f>
        <v>1978.2</v>
      </c>
      <c r="Q846" s="33">
        <f>Table2_1[[#This Row],[Revenue]]-Table2_1[[#This Row],[COGS]]</f>
        <v>408.20000000000005</v>
      </c>
      <c r="R846" s="39">
        <f>WEEKDAY(Table2_1[[#This Row],[Transaction  Date]])</f>
        <v>3</v>
      </c>
      <c r="S846" s="17" t="str">
        <f>IF(WEEKDAY(Table2_1[[#This Row],[Transaction  Date]],2)&lt;=5,"Weekday","Weekend")</f>
        <v>Weekday</v>
      </c>
      <c r="T846" s="37" t="str">
        <f>FLOOR(Table2_1[[#This Row],[Age]],15)&amp; "-"&amp; FLOOR(Table2_1[[#This Row],[Age]],15)+14</f>
        <v>15-29</v>
      </c>
    </row>
    <row r="847" spans="1:20" x14ac:dyDescent="0.3">
      <c r="A847" s="18">
        <v>45475</v>
      </c>
      <c r="B847" s="17" t="s">
        <v>1694</v>
      </c>
      <c r="C847" s="17" t="s">
        <v>38</v>
      </c>
      <c r="D847" s="18">
        <v>35009</v>
      </c>
      <c r="E847" s="16" t="s">
        <v>20</v>
      </c>
      <c r="F847" s="31">
        <v>10</v>
      </c>
      <c r="G847" s="17" t="s">
        <v>47</v>
      </c>
      <c r="H847" s="17" t="s">
        <v>28</v>
      </c>
      <c r="I847" s="17" t="s">
        <v>17</v>
      </c>
      <c r="J847" s="27">
        <v>0.1</v>
      </c>
      <c r="K847" s="17" t="s">
        <v>931</v>
      </c>
      <c r="L847" s="32">
        <v>7</v>
      </c>
      <c r="M847" s="32">
        <f>_xlfn.XLOOKUP(Table2_1[[#This Row],[Product Code]],Product_Code,Unit_Price,0)</f>
        <v>9</v>
      </c>
      <c r="N847" s="31">
        <f>DATEDIF(Table2_1[[#This Row],[Buyer Date of Birth]],Table2_1[[#This Row],[Transaction  Date]],"Y")</f>
        <v>28</v>
      </c>
      <c r="O847" s="33">
        <v>70</v>
      </c>
      <c r="P847" s="33">
        <f>Table2_1[[#This Row],[Quantity Purchased]]*Table2_1[[#This Row],[UnitPrice]]*(1-Table2_1[[#This Row],[Discount]])</f>
        <v>81</v>
      </c>
      <c r="Q847" s="33">
        <f>Table2_1[[#This Row],[Revenue]]-Table2_1[[#This Row],[COGS]]</f>
        <v>11</v>
      </c>
      <c r="R847" s="39">
        <f>WEEKDAY(Table2_1[[#This Row],[Transaction  Date]])</f>
        <v>3</v>
      </c>
      <c r="S847" s="17" t="str">
        <f>IF(WEEKDAY(Table2_1[[#This Row],[Transaction  Date]],2)&lt;=5,"Weekday","Weekend")</f>
        <v>Weekday</v>
      </c>
      <c r="T847" s="37" t="str">
        <f>FLOOR(Table2_1[[#This Row],[Age]],15)&amp; "-"&amp; FLOOR(Table2_1[[#This Row],[Age]],15)+14</f>
        <v>15-29</v>
      </c>
    </row>
    <row r="848" spans="1:20" x14ac:dyDescent="0.3">
      <c r="A848" s="18">
        <v>45475</v>
      </c>
      <c r="B848" s="17" t="s">
        <v>1695</v>
      </c>
      <c r="C848" s="17" t="s">
        <v>71</v>
      </c>
      <c r="D848" s="18">
        <v>33698</v>
      </c>
      <c r="E848" s="16" t="s">
        <v>33</v>
      </c>
      <c r="F848" s="31">
        <v>164</v>
      </c>
      <c r="G848" s="17" t="s">
        <v>42</v>
      </c>
      <c r="H848" s="17" t="s">
        <v>52</v>
      </c>
      <c r="I848" s="17" t="s">
        <v>17</v>
      </c>
      <c r="J848" s="27">
        <v>0.1</v>
      </c>
      <c r="K848" s="17" t="s">
        <v>926</v>
      </c>
      <c r="L848" s="32">
        <v>10</v>
      </c>
      <c r="M848" s="32">
        <f>_xlfn.XLOOKUP(Table2_1[[#This Row],[Product Code]],Product_Code,Unit_Price,0)</f>
        <v>11</v>
      </c>
      <c r="N848" s="31">
        <f>DATEDIF(Table2_1[[#This Row],[Buyer Date of Birth]],Table2_1[[#This Row],[Transaction  Date]],"Y")</f>
        <v>32</v>
      </c>
      <c r="O848" s="33">
        <v>1640</v>
      </c>
      <c r="P848" s="33">
        <f>Table2_1[[#This Row],[Quantity Purchased]]*Table2_1[[#This Row],[UnitPrice]]*(1-Table2_1[[#This Row],[Discount]])</f>
        <v>1623.6000000000001</v>
      </c>
      <c r="Q848" s="33">
        <f>Table2_1[[#This Row],[Revenue]]-Table2_1[[#This Row],[COGS]]</f>
        <v>-16.399999999999864</v>
      </c>
      <c r="R848" s="39">
        <f>WEEKDAY(Table2_1[[#This Row],[Transaction  Date]])</f>
        <v>3</v>
      </c>
      <c r="S848" s="17" t="str">
        <f>IF(WEEKDAY(Table2_1[[#This Row],[Transaction  Date]],2)&lt;=5,"Weekday","Weekend")</f>
        <v>Weekday</v>
      </c>
      <c r="T848" s="37" t="str">
        <f>FLOOR(Table2_1[[#This Row],[Age]],15)&amp; "-"&amp; FLOOR(Table2_1[[#This Row],[Age]],15)+14</f>
        <v>30-44</v>
      </c>
    </row>
    <row r="849" spans="1:20" x14ac:dyDescent="0.3">
      <c r="A849" s="18">
        <v>45475</v>
      </c>
      <c r="B849" s="17" t="s">
        <v>1696</v>
      </c>
      <c r="C849" s="17" t="s">
        <v>51</v>
      </c>
      <c r="D849" s="18">
        <v>37470</v>
      </c>
      <c r="E849" s="16" t="s">
        <v>68</v>
      </c>
      <c r="F849" s="31">
        <v>497</v>
      </c>
      <c r="G849" s="17" t="s">
        <v>42</v>
      </c>
      <c r="H849" s="17" t="s">
        <v>48</v>
      </c>
      <c r="I849" s="17" t="s">
        <v>17</v>
      </c>
      <c r="J849" s="27">
        <v>0.1</v>
      </c>
      <c r="K849" s="17" t="s">
        <v>926</v>
      </c>
      <c r="L849" s="32">
        <v>10</v>
      </c>
      <c r="M849" s="32">
        <f>_xlfn.XLOOKUP(Table2_1[[#This Row],[Product Code]],Product_Code,Unit_Price,0)</f>
        <v>11</v>
      </c>
      <c r="N849" s="31">
        <f>DATEDIF(Table2_1[[#This Row],[Buyer Date of Birth]],Table2_1[[#This Row],[Transaction  Date]],"Y")</f>
        <v>21</v>
      </c>
      <c r="O849" s="33">
        <v>4970</v>
      </c>
      <c r="P849" s="33">
        <f>Table2_1[[#This Row],[Quantity Purchased]]*Table2_1[[#This Row],[UnitPrice]]*(1-Table2_1[[#This Row],[Discount]])</f>
        <v>4920.3</v>
      </c>
      <c r="Q849" s="33">
        <f>Table2_1[[#This Row],[Revenue]]-Table2_1[[#This Row],[COGS]]</f>
        <v>-49.699999999999818</v>
      </c>
      <c r="R849" s="39">
        <f>WEEKDAY(Table2_1[[#This Row],[Transaction  Date]])</f>
        <v>3</v>
      </c>
      <c r="S849" s="17" t="str">
        <f>IF(WEEKDAY(Table2_1[[#This Row],[Transaction  Date]],2)&lt;=5,"Weekday","Weekend")</f>
        <v>Weekday</v>
      </c>
      <c r="T849" s="37" t="str">
        <f>FLOOR(Table2_1[[#This Row],[Age]],15)&amp; "-"&amp; FLOOR(Table2_1[[#This Row],[Age]],15)+14</f>
        <v>15-29</v>
      </c>
    </row>
    <row r="850" spans="1:20" x14ac:dyDescent="0.3">
      <c r="A850" s="18">
        <v>45476</v>
      </c>
      <c r="B850" s="17" t="s">
        <v>1697</v>
      </c>
      <c r="C850" s="17" t="s">
        <v>78</v>
      </c>
      <c r="D850" s="18">
        <v>27518</v>
      </c>
      <c r="E850" s="16" t="s">
        <v>33</v>
      </c>
      <c r="F850" s="31">
        <v>47</v>
      </c>
      <c r="G850" s="17" t="s">
        <v>21</v>
      </c>
      <c r="H850" s="17" t="s">
        <v>28</v>
      </c>
      <c r="I850" s="17" t="s">
        <v>17</v>
      </c>
      <c r="J850" s="27">
        <v>0.1</v>
      </c>
      <c r="K850" s="17" t="s">
        <v>934</v>
      </c>
      <c r="L850" s="32">
        <v>10</v>
      </c>
      <c r="M850" s="32">
        <f>_xlfn.XLOOKUP(Table2_1[[#This Row],[Product Code]],Product_Code,Unit_Price,0)</f>
        <v>45</v>
      </c>
      <c r="N850" s="31">
        <f>DATEDIF(Table2_1[[#This Row],[Buyer Date of Birth]],Table2_1[[#This Row],[Transaction  Date]],"Y")</f>
        <v>49</v>
      </c>
      <c r="O850" s="33">
        <v>470</v>
      </c>
      <c r="P850" s="33">
        <f>Table2_1[[#This Row],[Quantity Purchased]]*Table2_1[[#This Row],[UnitPrice]]*(1-Table2_1[[#This Row],[Discount]])</f>
        <v>1903.5</v>
      </c>
      <c r="Q850" s="33">
        <f>Table2_1[[#This Row],[Revenue]]-Table2_1[[#This Row],[COGS]]</f>
        <v>1433.5</v>
      </c>
      <c r="R850" s="39">
        <f>WEEKDAY(Table2_1[[#This Row],[Transaction  Date]])</f>
        <v>4</v>
      </c>
      <c r="S850" s="17" t="str">
        <f>IF(WEEKDAY(Table2_1[[#This Row],[Transaction  Date]],2)&lt;=5,"Weekday","Weekend")</f>
        <v>Weekday</v>
      </c>
      <c r="T850" s="37" t="str">
        <f>FLOOR(Table2_1[[#This Row],[Age]],15)&amp; "-"&amp; FLOOR(Table2_1[[#This Row],[Age]],15)+14</f>
        <v>45-59</v>
      </c>
    </row>
    <row r="851" spans="1:20" x14ac:dyDescent="0.3">
      <c r="A851" s="18">
        <v>45476</v>
      </c>
      <c r="B851" s="17" t="s">
        <v>1698</v>
      </c>
      <c r="C851" s="17" t="s">
        <v>55</v>
      </c>
      <c r="D851" s="18">
        <v>37286</v>
      </c>
      <c r="E851" s="16" t="s">
        <v>33</v>
      </c>
      <c r="F851" s="31">
        <v>209</v>
      </c>
      <c r="G851" s="17" t="s">
        <v>65</v>
      </c>
      <c r="H851" s="17" t="s">
        <v>39</v>
      </c>
      <c r="I851" s="17" t="s">
        <v>17</v>
      </c>
      <c r="J851" s="27">
        <v>0.1</v>
      </c>
      <c r="K851" s="17" t="s">
        <v>928</v>
      </c>
      <c r="L851" s="32">
        <v>3</v>
      </c>
      <c r="M851" s="32">
        <f>_xlfn.XLOOKUP(Table2_1[[#This Row],[Product Code]],Product_Code,Unit_Price,0)</f>
        <v>5</v>
      </c>
      <c r="N851" s="31">
        <f>DATEDIF(Table2_1[[#This Row],[Buyer Date of Birth]],Table2_1[[#This Row],[Transaction  Date]],"Y")</f>
        <v>22</v>
      </c>
      <c r="O851" s="33">
        <v>627</v>
      </c>
      <c r="P851" s="33">
        <f>Table2_1[[#This Row],[Quantity Purchased]]*Table2_1[[#This Row],[UnitPrice]]*(1-Table2_1[[#This Row],[Discount]])</f>
        <v>940.5</v>
      </c>
      <c r="Q851" s="33">
        <f>Table2_1[[#This Row],[Revenue]]-Table2_1[[#This Row],[COGS]]</f>
        <v>313.5</v>
      </c>
      <c r="R851" s="39">
        <f>WEEKDAY(Table2_1[[#This Row],[Transaction  Date]])</f>
        <v>4</v>
      </c>
      <c r="S851" s="17" t="str">
        <f>IF(WEEKDAY(Table2_1[[#This Row],[Transaction  Date]],2)&lt;=5,"Weekday","Weekend")</f>
        <v>Weekday</v>
      </c>
      <c r="T851" s="37" t="str">
        <f>FLOOR(Table2_1[[#This Row],[Age]],15)&amp; "-"&amp; FLOOR(Table2_1[[#This Row],[Age]],15)+14</f>
        <v>15-29</v>
      </c>
    </row>
    <row r="852" spans="1:20" x14ac:dyDescent="0.3">
      <c r="A852" s="18">
        <v>45476</v>
      </c>
      <c r="B852" s="17" t="s">
        <v>1699</v>
      </c>
      <c r="C852" s="17" t="s">
        <v>32</v>
      </c>
      <c r="D852" s="18">
        <v>19196</v>
      </c>
      <c r="E852" s="16" t="s">
        <v>14</v>
      </c>
      <c r="F852" s="31">
        <v>162</v>
      </c>
      <c r="G852" s="17" t="s">
        <v>27</v>
      </c>
      <c r="H852" s="17" t="s">
        <v>39</v>
      </c>
      <c r="I852" s="17" t="s">
        <v>17</v>
      </c>
      <c r="J852" s="27">
        <v>0.1</v>
      </c>
      <c r="K852" s="17" t="s">
        <v>927</v>
      </c>
      <c r="L852" s="32">
        <v>18</v>
      </c>
      <c r="M852" s="32">
        <f>_xlfn.XLOOKUP(Table2_1[[#This Row],[Product Code]],Product_Code,Unit_Price,0)</f>
        <v>22</v>
      </c>
      <c r="N852" s="31">
        <f>DATEDIF(Table2_1[[#This Row],[Buyer Date of Birth]],Table2_1[[#This Row],[Transaction  Date]],"Y")</f>
        <v>71</v>
      </c>
      <c r="O852" s="33">
        <v>2916</v>
      </c>
      <c r="P852" s="33">
        <f>Table2_1[[#This Row],[Quantity Purchased]]*Table2_1[[#This Row],[UnitPrice]]*(1-Table2_1[[#This Row],[Discount]])</f>
        <v>3207.6</v>
      </c>
      <c r="Q852" s="33">
        <f>Table2_1[[#This Row],[Revenue]]-Table2_1[[#This Row],[COGS]]</f>
        <v>291.59999999999991</v>
      </c>
      <c r="R852" s="39">
        <f>WEEKDAY(Table2_1[[#This Row],[Transaction  Date]])</f>
        <v>4</v>
      </c>
      <c r="S852" s="17" t="str">
        <f>IF(WEEKDAY(Table2_1[[#This Row],[Transaction  Date]],2)&lt;=5,"Weekday","Weekend")</f>
        <v>Weekday</v>
      </c>
      <c r="T852" s="37" t="str">
        <f>FLOOR(Table2_1[[#This Row],[Age]],15)&amp; "-"&amp; FLOOR(Table2_1[[#This Row],[Age]],15)+14</f>
        <v>60-74</v>
      </c>
    </row>
    <row r="853" spans="1:20" x14ac:dyDescent="0.3">
      <c r="A853" s="18">
        <v>45477</v>
      </c>
      <c r="B853" s="17" t="s">
        <v>1700</v>
      </c>
      <c r="C853" s="17" t="s">
        <v>71</v>
      </c>
      <c r="D853" s="18">
        <v>30714</v>
      </c>
      <c r="E853" s="16" t="s">
        <v>20</v>
      </c>
      <c r="F853" s="31">
        <v>464</v>
      </c>
      <c r="G853" s="17" t="s">
        <v>47</v>
      </c>
      <c r="H853" s="17" t="s">
        <v>35</v>
      </c>
      <c r="I853" s="17" t="s">
        <v>17</v>
      </c>
      <c r="J853" s="27">
        <v>0.1</v>
      </c>
      <c r="K853" s="17" t="s">
        <v>931</v>
      </c>
      <c r="L853" s="32">
        <v>7</v>
      </c>
      <c r="M853" s="32">
        <f>_xlfn.XLOOKUP(Table2_1[[#This Row],[Product Code]],Product_Code,Unit_Price,0)</f>
        <v>9</v>
      </c>
      <c r="N853" s="31">
        <f>DATEDIF(Table2_1[[#This Row],[Buyer Date of Birth]],Table2_1[[#This Row],[Transaction  Date]],"Y")</f>
        <v>40</v>
      </c>
      <c r="O853" s="33">
        <v>3248</v>
      </c>
      <c r="P853" s="33">
        <f>Table2_1[[#This Row],[Quantity Purchased]]*Table2_1[[#This Row],[UnitPrice]]*(1-Table2_1[[#This Row],[Discount]])</f>
        <v>3758.4</v>
      </c>
      <c r="Q853" s="33">
        <f>Table2_1[[#This Row],[Revenue]]-Table2_1[[#This Row],[COGS]]</f>
        <v>510.40000000000009</v>
      </c>
      <c r="R853" s="39">
        <f>WEEKDAY(Table2_1[[#This Row],[Transaction  Date]])</f>
        <v>5</v>
      </c>
      <c r="S853" s="17" t="str">
        <f>IF(WEEKDAY(Table2_1[[#This Row],[Transaction  Date]],2)&lt;=5,"Weekday","Weekend")</f>
        <v>Weekday</v>
      </c>
      <c r="T853" s="37" t="str">
        <f>FLOOR(Table2_1[[#This Row],[Age]],15)&amp; "-"&amp; FLOOR(Table2_1[[#This Row],[Age]],15)+14</f>
        <v>30-44</v>
      </c>
    </row>
    <row r="854" spans="1:20" x14ac:dyDescent="0.3">
      <c r="A854" s="18">
        <v>45477</v>
      </c>
      <c r="B854" s="17" t="s">
        <v>1701</v>
      </c>
      <c r="C854" s="17" t="s">
        <v>55</v>
      </c>
      <c r="D854" s="18">
        <v>22098</v>
      </c>
      <c r="E854" s="16" t="s">
        <v>68</v>
      </c>
      <c r="F854" s="31">
        <v>313</v>
      </c>
      <c r="G854" s="17" t="s">
        <v>56</v>
      </c>
      <c r="H854" s="17" t="s">
        <v>52</v>
      </c>
      <c r="I854" s="17" t="s">
        <v>17</v>
      </c>
      <c r="J854" s="27">
        <v>0.1</v>
      </c>
      <c r="K854" s="17" t="s">
        <v>935</v>
      </c>
      <c r="L854" s="32">
        <v>18</v>
      </c>
      <c r="M854" s="32">
        <f>_xlfn.XLOOKUP(Table2_1[[#This Row],[Product Code]],Product_Code,Unit_Price,0)</f>
        <v>36</v>
      </c>
      <c r="N854" s="31">
        <f>DATEDIF(Table2_1[[#This Row],[Buyer Date of Birth]],Table2_1[[#This Row],[Transaction  Date]],"Y")</f>
        <v>64</v>
      </c>
      <c r="O854" s="33">
        <v>5634</v>
      </c>
      <c r="P854" s="33">
        <f>Table2_1[[#This Row],[Quantity Purchased]]*Table2_1[[#This Row],[UnitPrice]]*(1-Table2_1[[#This Row],[Discount]])</f>
        <v>10141.200000000001</v>
      </c>
      <c r="Q854" s="33">
        <f>Table2_1[[#This Row],[Revenue]]-Table2_1[[#This Row],[COGS]]</f>
        <v>4507.2000000000007</v>
      </c>
      <c r="R854" s="39">
        <f>WEEKDAY(Table2_1[[#This Row],[Transaction  Date]])</f>
        <v>5</v>
      </c>
      <c r="S854" s="17" t="str">
        <f>IF(WEEKDAY(Table2_1[[#This Row],[Transaction  Date]],2)&lt;=5,"Weekday","Weekend")</f>
        <v>Weekday</v>
      </c>
      <c r="T854" s="37" t="str">
        <f>FLOOR(Table2_1[[#This Row],[Age]],15)&amp; "-"&amp; FLOOR(Table2_1[[#This Row],[Age]],15)+14</f>
        <v>60-74</v>
      </c>
    </row>
    <row r="855" spans="1:20" x14ac:dyDescent="0.3">
      <c r="A855" s="18">
        <v>45477</v>
      </c>
      <c r="B855" s="17" t="s">
        <v>1702</v>
      </c>
      <c r="C855" s="17" t="s">
        <v>55</v>
      </c>
      <c r="D855" s="18">
        <v>37379</v>
      </c>
      <c r="E855" s="16" t="s">
        <v>14</v>
      </c>
      <c r="F855" s="31">
        <v>149</v>
      </c>
      <c r="G855" s="17" t="s">
        <v>27</v>
      </c>
      <c r="H855" s="17" t="s">
        <v>48</v>
      </c>
      <c r="I855" s="17" t="s">
        <v>17</v>
      </c>
      <c r="J855" s="27">
        <v>0.1</v>
      </c>
      <c r="K855" s="17" t="s">
        <v>927</v>
      </c>
      <c r="L855" s="32">
        <v>18</v>
      </c>
      <c r="M855" s="32">
        <f>_xlfn.XLOOKUP(Table2_1[[#This Row],[Product Code]],Product_Code,Unit_Price,0)</f>
        <v>22</v>
      </c>
      <c r="N855" s="31">
        <f>DATEDIF(Table2_1[[#This Row],[Buyer Date of Birth]],Table2_1[[#This Row],[Transaction  Date]],"Y")</f>
        <v>22</v>
      </c>
      <c r="O855" s="33">
        <v>2682</v>
      </c>
      <c r="P855" s="33">
        <f>Table2_1[[#This Row],[Quantity Purchased]]*Table2_1[[#This Row],[UnitPrice]]*(1-Table2_1[[#This Row],[Discount]])</f>
        <v>2950.2000000000003</v>
      </c>
      <c r="Q855" s="33">
        <f>Table2_1[[#This Row],[Revenue]]-Table2_1[[#This Row],[COGS]]</f>
        <v>268.20000000000027</v>
      </c>
      <c r="R855" s="39">
        <f>WEEKDAY(Table2_1[[#This Row],[Transaction  Date]])</f>
        <v>5</v>
      </c>
      <c r="S855" s="17" t="str">
        <f>IF(WEEKDAY(Table2_1[[#This Row],[Transaction  Date]],2)&lt;=5,"Weekday","Weekend")</f>
        <v>Weekday</v>
      </c>
      <c r="T855" s="37" t="str">
        <f>FLOOR(Table2_1[[#This Row],[Age]],15)&amp; "-"&amp; FLOOR(Table2_1[[#This Row],[Age]],15)+14</f>
        <v>15-29</v>
      </c>
    </row>
    <row r="856" spans="1:20" x14ac:dyDescent="0.3">
      <c r="A856" s="18">
        <v>45477</v>
      </c>
      <c r="B856" s="17" t="s">
        <v>1703</v>
      </c>
      <c r="C856" s="17" t="s">
        <v>51</v>
      </c>
      <c r="D856" s="18">
        <v>31690</v>
      </c>
      <c r="E856" s="16" t="s">
        <v>14</v>
      </c>
      <c r="F856" s="31">
        <v>213</v>
      </c>
      <c r="G856" s="17" t="s">
        <v>47</v>
      </c>
      <c r="H856" s="17" t="s">
        <v>35</v>
      </c>
      <c r="I856" s="17" t="s">
        <v>17</v>
      </c>
      <c r="J856" s="27">
        <v>0.1</v>
      </c>
      <c r="K856" s="17" t="s">
        <v>931</v>
      </c>
      <c r="L856" s="32">
        <v>7</v>
      </c>
      <c r="M856" s="32">
        <f>_xlfn.XLOOKUP(Table2_1[[#This Row],[Product Code]],Product_Code,Unit_Price,0)</f>
        <v>9</v>
      </c>
      <c r="N856" s="31">
        <f>DATEDIF(Table2_1[[#This Row],[Buyer Date of Birth]],Table2_1[[#This Row],[Transaction  Date]],"Y")</f>
        <v>37</v>
      </c>
      <c r="O856" s="33">
        <v>1491</v>
      </c>
      <c r="P856" s="33">
        <f>Table2_1[[#This Row],[Quantity Purchased]]*Table2_1[[#This Row],[UnitPrice]]*(1-Table2_1[[#This Row],[Discount]])</f>
        <v>1725.3</v>
      </c>
      <c r="Q856" s="33">
        <f>Table2_1[[#This Row],[Revenue]]-Table2_1[[#This Row],[COGS]]</f>
        <v>234.29999999999995</v>
      </c>
      <c r="R856" s="39">
        <f>WEEKDAY(Table2_1[[#This Row],[Transaction  Date]])</f>
        <v>5</v>
      </c>
      <c r="S856" s="17" t="str">
        <f>IF(WEEKDAY(Table2_1[[#This Row],[Transaction  Date]],2)&lt;=5,"Weekday","Weekend")</f>
        <v>Weekday</v>
      </c>
      <c r="T856" s="37" t="str">
        <f>FLOOR(Table2_1[[#This Row],[Age]],15)&amp; "-"&amp; FLOOR(Table2_1[[#This Row],[Age]],15)+14</f>
        <v>30-44</v>
      </c>
    </row>
    <row r="857" spans="1:20" x14ac:dyDescent="0.3">
      <c r="A857" s="18">
        <v>45478</v>
      </c>
      <c r="B857" s="17" t="s">
        <v>1704</v>
      </c>
      <c r="C857" s="17" t="s">
        <v>13</v>
      </c>
      <c r="D857" s="18">
        <v>30073</v>
      </c>
      <c r="E857" s="16" t="s">
        <v>14</v>
      </c>
      <c r="F857" s="31">
        <v>306</v>
      </c>
      <c r="G857" s="17" t="s">
        <v>47</v>
      </c>
      <c r="H857" s="17" t="s">
        <v>48</v>
      </c>
      <c r="I857" s="17" t="s">
        <v>29</v>
      </c>
      <c r="J857" s="27">
        <v>0.1</v>
      </c>
      <c r="K857" s="17" t="s">
        <v>931</v>
      </c>
      <c r="L857" s="32">
        <v>7</v>
      </c>
      <c r="M857" s="32">
        <f>_xlfn.XLOOKUP(Table2_1[[#This Row],[Product Code]],Product_Code,Unit_Price,0)</f>
        <v>9</v>
      </c>
      <c r="N857" s="31">
        <f>DATEDIF(Table2_1[[#This Row],[Buyer Date of Birth]],Table2_1[[#This Row],[Transaction  Date]],"Y")</f>
        <v>42</v>
      </c>
      <c r="O857" s="33">
        <v>2142</v>
      </c>
      <c r="P857" s="33">
        <f>Table2_1[[#This Row],[Quantity Purchased]]*Table2_1[[#This Row],[UnitPrice]]*(1-Table2_1[[#This Row],[Discount]])</f>
        <v>2478.6</v>
      </c>
      <c r="Q857" s="33">
        <f>Table2_1[[#This Row],[Revenue]]-Table2_1[[#This Row],[COGS]]</f>
        <v>336.59999999999991</v>
      </c>
      <c r="R857" s="39">
        <f>WEEKDAY(Table2_1[[#This Row],[Transaction  Date]])</f>
        <v>6</v>
      </c>
      <c r="S857" s="17" t="str">
        <f>IF(WEEKDAY(Table2_1[[#This Row],[Transaction  Date]],2)&lt;=5,"Weekday","Weekend")</f>
        <v>Weekday</v>
      </c>
      <c r="T857" s="37" t="str">
        <f>FLOOR(Table2_1[[#This Row],[Age]],15)&amp; "-"&amp; FLOOR(Table2_1[[#This Row],[Age]],15)+14</f>
        <v>30-44</v>
      </c>
    </row>
    <row r="858" spans="1:20" x14ac:dyDescent="0.3">
      <c r="A858" s="18">
        <v>45478</v>
      </c>
      <c r="B858" s="17" t="s">
        <v>1705</v>
      </c>
      <c r="C858" s="17" t="s">
        <v>38</v>
      </c>
      <c r="D858" s="18">
        <v>22217</v>
      </c>
      <c r="E858" s="16" t="s">
        <v>33</v>
      </c>
      <c r="F858" s="31">
        <v>165</v>
      </c>
      <c r="G858" s="17" t="s">
        <v>34</v>
      </c>
      <c r="H858" s="17" t="s">
        <v>28</v>
      </c>
      <c r="I858" s="17" t="s">
        <v>23</v>
      </c>
      <c r="J858" s="27">
        <v>0.1</v>
      </c>
      <c r="K858" s="17" t="s">
        <v>930</v>
      </c>
      <c r="L858" s="32">
        <v>14</v>
      </c>
      <c r="M858" s="32">
        <f>_xlfn.XLOOKUP(Table2_1[[#This Row],[Product Code]],Product_Code,Unit_Price,0)</f>
        <v>28</v>
      </c>
      <c r="N858" s="31">
        <f>DATEDIF(Table2_1[[#This Row],[Buyer Date of Birth]],Table2_1[[#This Row],[Transaction  Date]],"Y")</f>
        <v>63</v>
      </c>
      <c r="O858" s="33">
        <v>2310</v>
      </c>
      <c r="P858" s="33">
        <f>Table2_1[[#This Row],[Quantity Purchased]]*Table2_1[[#This Row],[UnitPrice]]*(1-Table2_1[[#This Row],[Discount]])</f>
        <v>4158</v>
      </c>
      <c r="Q858" s="33">
        <f>Table2_1[[#This Row],[Revenue]]-Table2_1[[#This Row],[COGS]]</f>
        <v>1848</v>
      </c>
      <c r="R858" s="39">
        <f>WEEKDAY(Table2_1[[#This Row],[Transaction  Date]])</f>
        <v>6</v>
      </c>
      <c r="S858" s="17" t="str">
        <f>IF(WEEKDAY(Table2_1[[#This Row],[Transaction  Date]],2)&lt;=5,"Weekday","Weekend")</f>
        <v>Weekday</v>
      </c>
      <c r="T858" s="37" t="str">
        <f>FLOOR(Table2_1[[#This Row],[Age]],15)&amp; "-"&amp; FLOOR(Table2_1[[#This Row],[Age]],15)+14</f>
        <v>60-74</v>
      </c>
    </row>
    <row r="859" spans="1:20" x14ac:dyDescent="0.3">
      <c r="A859" s="18">
        <v>45478</v>
      </c>
      <c r="B859" s="17" t="s">
        <v>1706</v>
      </c>
      <c r="C859" s="17" t="s">
        <v>46</v>
      </c>
      <c r="D859" s="18">
        <v>18522</v>
      </c>
      <c r="E859" s="16" t="s">
        <v>20</v>
      </c>
      <c r="F859" s="31">
        <v>477</v>
      </c>
      <c r="G859" s="17" t="s">
        <v>42</v>
      </c>
      <c r="H859" s="17" t="s">
        <v>48</v>
      </c>
      <c r="I859" s="17" t="s">
        <v>17</v>
      </c>
      <c r="J859" s="27">
        <v>0.1</v>
      </c>
      <c r="K859" s="17" t="s">
        <v>926</v>
      </c>
      <c r="L859" s="32">
        <v>10</v>
      </c>
      <c r="M859" s="32">
        <f>_xlfn.XLOOKUP(Table2_1[[#This Row],[Product Code]],Product_Code,Unit_Price,0)</f>
        <v>11</v>
      </c>
      <c r="N859" s="31">
        <f>DATEDIF(Table2_1[[#This Row],[Buyer Date of Birth]],Table2_1[[#This Row],[Transaction  Date]],"Y")</f>
        <v>73</v>
      </c>
      <c r="O859" s="33">
        <v>4770</v>
      </c>
      <c r="P859" s="33">
        <f>Table2_1[[#This Row],[Quantity Purchased]]*Table2_1[[#This Row],[UnitPrice]]*(1-Table2_1[[#This Row],[Discount]])</f>
        <v>4722.3</v>
      </c>
      <c r="Q859" s="33">
        <f>Table2_1[[#This Row],[Revenue]]-Table2_1[[#This Row],[COGS]]</f>
        <v>-47.699999999999818</v>
      </c>
      <c r="R859" s="39">
        <f>WEEKDAY(Table2_1[[#This Row],[Transaction  Date]])</f>
        <v>6</v>
      </c>
      <c r="S859" s="17" t="str">
        <f>IF(WEEKDAY(Table2_1[[#This Row],[Transaction  Date]],2)&lt;=5,"Weekday","Weekend")</f>
        <v>Weekday</v>
      </c>
      <c r="T859" s="37" t="str">
        <f>FLOOR(Table2_1[[#This Row],[Age]],15)&amp; "-"&amp; FLOOR(Table2_1[[#This Row],[Age]],15)+14</f>
        <v>60-74</v>
      </c>
    </row>
    <row r="860" spans="1:20" x14ac:dyDescent="0.3">
      <c r="A860" s="18">
        <v>45478</v>
      </c>
      <c r="B860" s="17" t="s">
        <v>1707</v>
      </c>
      <c r="C860" s="17" t="s">
        <v>55</v>
      </c>
      <c r="D860" s="18">
        <v>35085</v>
      </c>
      <c r="E860" s="16" t="s">
        <v>20</v>
      </c>
      <c r="F860" s="31">
        <v>161</v>
      </c>
      <c r="G860" s="17" t="s">
        <v>27</v>
      </c>
      <c r="H860" s="17" t="s">
        <v>43</v>
      </c>
      <c r="I860" s="17" t="s">
        <v>17</v>
      </c>
      <c r="J860" s="27">
        <v>0.1</v>
      </c>
      <c r="K860" s="17" t="s">
        <v>927</v>
      </c>
      <c r="L860" s="32">
        <v>18</v>
      </c>
      <c r="M860" s="32">
        <f>_xlfn.XLOOKUP(Table2_1[[#This Row],[Product Code]],Product_Code,Unit_Price,0)</f>
        <v>22</v>
      </c>
      <c r="N860" s="31">
        <f>DATEDIF(Table2_1[[#This Row],[Buyer Date of Birth]],Table2_1[[#This Row],[Transaction  Date]],"Y")</f>
        <v>28</v>
      </c>
      <c r="O860" s="33">
        <v>2898</v>
      </c>
      <c r="P860" s="33">
        <f>Table2_1[[#This Row],[Quantity Purchased]]*Table2_1[[#This Row],[UnitPrice]]*(1-Table2_1[[#This Row],[Discount]])</f>
        <v>3187.8</v>
      </c>
      <c r="Q860" s="33">
        <f>Table2_1[[#This Row],[Revenue]]-Table2_1[[#This Row],[COGS]]</f>
        <v>289.80000000000018</v>
      </c>
      <c r="R860" s="39">
        <f>WEEKDAY(Table2_1[[#This Row],[Transaction  Date]])</f>
        <v>6</v>
      </c>
      <c r="S860" s="17" t="str">
        <f>IF(WEEKDAY(Table2_1[[#This Row],[Transaction  Date]],2)&lt;=5,"Weekday","Weekend")</f>
        <v>Weekday</v>
      </c>
      <c r="T860" s="37" t="str">
        <f>FLOOR(Table2_1[[#This Row],[Age]],15)&amp; "-"&amp; FLOOR(Table2_1[[#This Row],[Age]],15)+14</f>
        <v>15-29</v>
      </c>
    </row>
    <row r="861" spans="1:20" x14ac:dyDescent="0.3">
      <c r="A861" s="18">
        <v>45478</v>
      </c>
      <c r="B861" s="17" t="s">
        <v>1708</v>
      </c>
      <c r="C861" s="17" t="s">
        <v>94</v>
      </c>
      <c r="D861" s="18">
        <v>21187</v>
      </c>
      <c r="E861" s="16" t="s">
        <v>33</v>
      </c>
      <c r="F861" s="31">
        <v>312</v>
      </c>
      <c r="G861" s="17" t="s">
        <v>64</v>
      </c>
      <c r="H861" s="17" t="s">
        <v>28</v>
      </c>
      <c r="I861" s="17" t="s">
        <v>17</v>
      </c>
      <c r="J861" s="27">
        <v>0.1</v>
      </c>
      <c r="K861" s="17" t="s">
        <v>933</v>
      </c>
      <c r="L861" s="32">
        <v>5</v>
      </c>
      <c r="M861" s="32">
        <f>_xlfn.XLOOKUP(Table2_1[[#This Row],[Product Code]],Product_Code,Unit_Price,0)</f>
        <v>7</v>
      </c>
      <c r="N861" s="31">
        <f>DATEDIF(Table2_1[[#This Row],[Buyer Date of Birth]],Table2_1[[#This Row],[Transaction  Date]],"Y")</f>
        <v>66</v>
      </c>
      <c r="O861" s="33">
        <v>1560</v>
      </c>
      <c r="P861" s="33">
        <f>Table2_1[[#This Row],[Quantity Purchased]]*Table2_1[[#This Row],[UnitPrice]]*(1-Table2_1[[#This Row],[Discount]])</f>
        <v>1965.6000000000001</v>
      </c>
      <c r="Q861" s="33">
        <f>Table2_1[[#This Row],[Revenue]]-Table2_1[[#This Row],[COGS]]</f>
        <v>405.60000000000014</v>
      </c>
      <c r="R861" s="39">
        <f>WEEKDAY(Table2_1[[#This Row],[Transaction  Date]])</f>
        <v>6</v>
      </c>
      <c r="S861" s="17" t="str">
        <f>IF(WEEKDAY(Table2_1[[#This Row],[Transaction  Date]],2)&lt;=5,"Weekday","Weekend")</f>
        <v>Weekday</v>
      </c>
      <c r="T861" s="37" t="str">
        <f>FLOOR(Table2_1[[#This Row],[Age]],15)&amp; "-"&amp; FLOOR(Table2_1[[#This Row],[Age]],15)+14</f>
        <v>60-74</v>
      </c>
    </row>
    <row r="862" spans="1:20" x14ac:dyDescent="0.3">
      <c r="A862" s="18">
        <v>45478</v>
      </c>
      <c r="B862" s="17" t="s">
        <v>1709</v>
      </c>
      <c r="C862" s="17" t="s">
        <v>55</v>
      </c>
      <c r="D862" s="18">
        <v>38251</v>
      </c>
      <c r="E862" s="16" t="s">
        <v>20</v>
      </c>
      <c r="F862" s="31">
        <v>83</v>
      </c>
      <c r="G862" s="17" t="s">
        <v>47</v>
      </c>
      <c r="H862" s="17" t="s">
        <v>48</v>
      </c>
      <c r="I862" s="17" t="s">
        <v>17</v>
      </c>
      <c r="J862" s="27">
        <v>0.1</v>
      </c>
      <c r="K862" s="17" t="s">
        <v>931</v>
      </c>
      <c r="L862" s="32">
        <v>7</v>
      </c>
      <c r="M862" s="32">
        <f>_xlfn.XLOOKUP(Table2_1[[#This Row],[Product Code]],Product_Code,Unit_Price,0)</f>
        <v>9</v>
      </c>
      <c r="N862" s="31">
        <f>DATEDIF(Table2_1[[#This Row],[Buyer Date of Birth]],Table2_1[[#This Row],[Transaction  Date]],"Y")</f>
        <v>19</v>
      </c>
      <c r="O862" s="33">
        <v>581</v>
      </c>
      <c r="P862" s="33">
        <f>Table2_1[[#This Row],[Quantity Purchased]]*Table2_1[[#This Row],[UnitPrice]]*(1-Table2_1[[#This Row],[Discount]])</f>
        <v>672.30000000000007</v>
      </c>
      <c r="Q862" s="33">
        <f>Table2_1[[#This Row],[Revenue]]-Table2_1[[#This Row],[COGS]]</f>
        <v>91.300000000000068</v>
      </c>
      <c r="R862" s="39">
        <f>WEEKDAY(Table2_1[[#This Row],[Transaction  Date]])</f>
        <v>6</v>
      </c>
      <c r="S862" s="17" t="str">
        <f>IF(WEEKDAY(Table2_1[[#This Row],[Transaction  Date]],2)&lt;=5,"Weekday","Weekend")</f>
        <v>Weekday</v>
      </c>
      <c r="T862" s="37" t="str">
        <f>FLOOR(Table2_1[[#This Row],[Age]],15)&amp; "-"&amp; FLOOR(Table2_1[[#This Row],[Age]],15)+14</f>
        <v>15-29</v>
      </c>
    </row>
    <row r="863" spans="1:20" x14ac:dyDescent="0.3">
      <c r="A863" s="18">
        <v>45478</v>
      </c>
      <c r="B863" s="17" t="s">
        <v>1710</v>
      </c>
      <c r="C863" s="17" t="s">
        <v>13</v>
      </c>
      <c r="D863" s="18">
        <v>30100</v>
      </c>
      <c r="E863" s="16" t="s">
        <v>68</v>
      </c>
      <c r="F863" s="31">
        <v>309</v>
      </c>
      <c r="G863" s="17" t="s">
        <v>65</v>
      </c>
      <c r="H863" s="17" t="s">
        <v>48</v>
      </c>
      <c r="I863" s="17" t="s">
        <v>17</v>
      </c>
      <c r="J863" s="27">
        <v>0.1</v>
      </c>
      <c r="K863" s="17" t="s">
        <v>928</v>
      </c>
      <c r="L863" s="32">
        <v>3</v>
      </c>
      <c r="M863" s="32">
        <f>_xlfn.XLOOKUP(Table2_1[[#This Row],[Product Code]],Product_Code,Unit_Price,0)</f>
        <v>5</v>
      </c>
      <c r="N863" s="31">
        <f>DATEDIF(Table2_1[[#This Row],[Buyer Date of Birth]],Table2_1[[#This Row],[Transaction  Date]],"Y")</f>
        <v>42</v>
      </c>
      <c r="O863" s="33">
        <v>927</v>
      </c>
      <c r="P863" s="33">
        <f>Table2_1[[#This Row],[Quantity Purchased]]*Table2_1[[#This Row],[UnitPrice]]*(1-Table2_1[[#This Row],[Discount]])</f>
        <v>1390.5</v>
      </c>
      <c r="Q863" s="33">
        <f>Table2_1[[#This Row],[Revenue]]-Table2_1[[#This Row],[COGS]]</f>
        <v>463.5</v>
      </c>
      <c r="R863" s="39">
        <f>WEEKDAY(Table2_1[[#This Row],[Transaction  Date]])</f>
        <v>6</v>
      </c>
      <c r="S863" s="17" t="str">
        <f>IF(WEEKDAY(Table2_1[[#This Row],[Transaction  Date]],2)&lt;=5,"Weekday","Weekend")</f>
        <v>Weekday</v>
      </c>
      <c r="T863" s="37" t="str">
        <f>FLOOR(Table2_1[[#This Row],[Age]],15)&amp; "-"&amp; FLOOR(Table2_1[[#This Row],[Age]],15)+14</f>
        <v>30-44</v>
      </c>
    </row>
    <row r="864" spans="1:20" x14ac:dyDescent="0.3">
      <c r="A864" s="18">
        <v>45478</v>
      </c>
      <c r="B864" s="17" t="s">
        <v>1711</v>
      </c>
      <c r="C864" s="17" t="s">
        <v>46</v>
      </c>
      <c r="D864" s="18">
        <v>26722</v>
      </c>
      <c r="E864" s="16" t="s">
        <v>14</v>
      </c>
      <c r="F864" s="31">
        <v>495</v>
      </c>
      <c r="G864" s="17" t="s">
        <v>34</v>
      </c>
      <c r="H864" s="17" t="s">
        <v>35</v>
      </c>
      <c r="I864" s="17" t="s">
        <v>17</v>
      </c>
      <c r="J864" s="27">
        <v>0.1</v>
      </c>
      <c r="K864" s="17" t="s">
        <v>930</v>
      </c>
      <c r="L864" s="32">
        <v>14</v>
      </c>
      <c r="M864" s="32">
        <f>_xlfn.XLOOKUP(Table2_1[[#This Row],[Product Code]],Product_Code,Unit_Price,0)</f>
        <v>28</v>
      </c>
      <c r="N864" s="31">
        <f>DATEDIF(Table2_1[[#This Row],[Buyer Date of Birth]],Table2_1[[#This Row],[Transaction  Date]],"Y")</f>
        <v>51</v>
      </c>
      <c r="O864" s="33">
        <v>6930</v>
      </c>
      <c r="P864" s="33">
        <f>Table2_1[[#This Row],[Quantity Purchased]]*Table2_1[[#This Row],[UnitPrice]]*(1-Table2_1[[#This Row],[Discount]])</f>
        <v>12474</v>
      </c>
      <c r="Q864" s="33">
        <f>Table2_1[[#This Row],[Revenue]]-Table2_1[[#This Row],[COGS]]</f>
        <v>5544</v>
      </c>
      <c r="R864" s="39">
        <f>WEEKDAY(Table2_1[[#This Row],[Transaction  Date]])</f>
        <v>6</v>
      </c>
      <c r="S864" s="17" t="str">
        <f>IF(WEEKDAY(Table2_1[[#This Row],[Transaction  Date]],2)&lt;=5,"Weekday","Weekend")</f>
        <v>Weekday</v>
      </c>
      <c r="T864" s="37" t="str">
        <f>FLOOR(Table2_1[[#This Row],[Age]],15)&amp; "-"&amp; FLOOR(Table2_1[[#This Row],[Age]],15)+14</f>
        <v>45-59</v>
      </c>
    </row>
    <row r="865" spans="1:20" x14ac:dyDescent="0.3">
      <c r="A865" s="18">
        <v>45479</v>
      </c>
      <c r="B865" s="17" t="s">
        <v>1712</v>
      </c>
      <c r="C865" s="17" t="s">
        <v>26</v>
      </c>
      <c r="D865" s="18">
        <v>30437</v>
      </c>
      <c r="E865" s="16" t="s">
        <v>20</v>
      </c>
      <c r="F865" s="31">
        <v>171</v>
      </c>
      <c r="G865" s="17" t="s">
        <v>65</v>
      </c>
      <c r="H865" s="17" t="s">
        <v>52</v>
      </c>
      <c r="I865" s="17" t="s">
        <v>17</v>
      </c>
      <c r="J865" s="27">
        <v>0.1</v>
      </c>
      <c r="K865" s="17" t="s">
        <v>928</v>
      </c>
      <c r="L865" s="32">
        <v>3</v>
      </c>
      <c r="M865" s="32">
        <f>_xlfn.XLOOKUP(Table2_1[[#This Row],[Product Code]],Product_Code,Unit_Price,0)</f>
        <v>5</v>
      </c>
      <c r="N865" s="31">
        <f>DATEDIF(Table2_1[[#This Row],[Buyer Date of Birth]],Table2_1[[#This Row],[Transaction  Date]],"Y")</f>
        <v>41</v>
      </c>
      <c r="O865" s="33">
        <v>513</v>
      </c>
      <c r="P865" s="33">
        <f>Table2_1[[#This Row],[Quantity Purchased]]*Table2_1[[#This Row],[UnitPrice]]*(1-Table2_1[[#This Row],[Discount]])</f>
        <v>769.5</v>
      </c>
      <c r="Q865" s="33">
        <f>Table2_1[[#This Row],[Revenue]]-Table2_1[[#This Row],[COGS]]</f>
        <v>256.5</v>
      </c>
      <c r="R865" s="39">
        <f>WEEKDAY(Table2_1[[#This Row],[Transaction  Date]])</f>
        <v>7</v>
      </c>
      <c r="S865" s="17" t="str">
        <f>IF(WEEKDAY(Table2_1[[#This Row],[Transaction  Date]],2)&lt;=5,"Weekday","Weekend")</f>
        <v>Weekend</v>
      </c>
      <c r="T865" s="37" t="str">
        <f>FLOOR(Table2_1[[#This Row],[Age]],15)&amp; "-"&amp; FLOOR(Table2_1[[#This Row],[Age]],15)+14</f>
        <v>30-44</v>
      </c>
    </row>
    <row r="866" spans="1:20" x14ac:dyDescent="0.3">
      <c r="A866" s="18">
        <v>45479</v>
      </c>
      <c r="B866" s="17" t="s">
        <v>1713</v>
      </c>
      <c r="C866" s="17" t="s">
        <v>13</v>
      </c>
      <c r="D866" s="18">
        <v>23179</v>
      </c>
      <c r="E866" s="16" t="s">
        <v>20</v>
      </c>
      <c r="F866" s="31">
        <v>70</v>
      </c>
      <c r="G866" s="17" t="s">
        <v>15</v>
      </c>
      <c r="H866" s="17" t="s">
        <v>35</v>
      </c>
      <c r="I866" s="17" t="s">
        <v>29</v>
      </c>
      <c r="J866" s="27">
        <v>0.1</v>
      </c>
      <c r="K866" s="17" t="s">
        <v>929</v>
      </c>
      <c r="L866" s="32">
        <v>10</v>
      </c>
      <c r="M866" s="32">
        <f>_xlfn.XLOOKUP(Table2_1[[#This Row],[Product Code]],Product_Code,Unit_Price,0)</f>
        <v>14</v>
      </c>
      <c r="N866" s="31">
        <f>DATEDIF(Table2_1[[#This Row],[Buyer Date of Birth]],Table2_1[[#This Row],[Transaction  Date]],"Y")</f>
        <v>61</v>
      </c>
      <c r="O866" s="33">
        <v>700</v>
      </c>
      <c r="P866" s="33">
        <f>Table2_1[[#This Row],[Quantity Purchased]]*Table2_1[[#This Row],[UnitPrice]]*(1-Table2_1[[#This Row],[Discount]])</f>
        <v>882</v>
      </c>
      <c r="Q866" s="33">
        <f>Table2_1[[#This Row],[Revenue]]-Table2_1[[#This Row],[COGS]]</f>
        <v>182</v>
      </c>
      <c r="R866" s="39">
        <f>WEEKDAY(Table2_1[[#This Row],[Transaction  Date]])</f>
        <v>7</v>
      </c>
      <c r="S866" s="17" t="str">
        <f>IF(WEEKDAY(Table2_1[[#This Row],[Transaction  Date]],2)&lt;=5,"Weekday","Weekend")</f>
        <v>Weekend</v>
      </c>
      <c r="T866" s="37" t="str">
        <f>FLOOR(Table2_1[[#This Row],[Age]],15)&amp; "-"&amp; FLOOR(Table2_1[[#This Row],[Age]],15)+14</f>
        <v>60-74</v>
      </c>
    </row>
    <row r="867" spans="1:20" x14ac:dyDescent="0.3">
      <c r="A867" s="18">
        <v>45479</v>
      </c>
      <c r="B867" s="17" t="s">
        <v>1888</v>
      </c>
      <c r="C867" s="17" t="s">
        <v>55</v>
      </c>
      <c r="D867" s="18">
        <v>22375</v>
      </c>
      <c r="E867" s="16" t="s">
        <v>20</v>
      </c>
      <c r="F867" s="31">
        <v>459</v>
      </c>
      <c r="G867" s="17" t="s">
        <v>21</v>
      </c>
      <c r="H867" s="17" t="s">
        <v>43</v>
      </c>
      <c r="I867" s="17" t="s">
        <v>17</v>
      </c>
      <c r="J867" s="27">
        <v>0.1</v>
      </c>
      <c r="K867" s="17" t="s">
        <v>934</v>
      </c>
      <c r="L867" s="32">
        <v>10</v>
      </c>
      <c r="M867" s="32">
        <f>_xlfn.XLOOKUP(Table2_1[[#This Row],[Product Code]],Product_Code,Unit_Price,0)</f>
        <v>45</v>
      </c>
      <c r="N867" s="31">
        <f>DATEDIF(Table2_1[[#This Row],[Buyer Date of Birth]],Table2_1[[#This Row],[Transaction  Date]],"Y")</f>
        <v>63</v>
      </c>
      <c r="O867" s="33">
        <v>4590</v>
      </c>
      <c r="P867" s="33">
        <f>Table2_1[[#This Row],[Quantity Purchased]]*Table2_1[[#This Row],[UnitPrice]]*(1-Table2_1[[#This Row],[Discount]])</f>
        <v>18589.5</v>
      </c>
      <c r="Q867" s="33">
        <f>Table2_1[[#This Row],[Revenue]]-Table2_1[[#This Row],[COGS]]</f>
        <v>13999.5</v>
      </c>
      <c r="R867" s="39">
        <f>WEEKDAY(Table2_1[[#This Row],[Transaction  Date]])</f>
        <v>7</v>
      </c>
      <c r="S867" s="17" t="str">
        <f>IF(WEEKDAY(Table2_1[[#This Row],[Transaction  Date]],2)&lt;=5,"Weekday","Weekend")</f>
        <v>Weekend</v>
      </c>
      <c r="T867" s="37" t="str">
        <f>FLOOR(Table2_1[[#This Row],[Age]],15)&amp; "-"&amp; FLOOR(Table2_1[[#This Row],[Age]],15)+14</f>
        <v>60-74</v>
      </c>
    </row>
    <row r="868" spans="1:20" x14ac:dyDescent="0.3">
      <c r="A868" s="18">
        <v>45479</v>
      </c>
      <c r="B868" s="17" t="s">
        <v>1714</v>
      </c>
      <c r="C868" s="17" t="s">
        <v>94</v>
      </c>
      <c r="D868" s="18">
        <v>15936</v>
      </c>
      <c r="E868" s="16" t="s">
        <v>20</v>
      </c>
      <c r="F868" s="31">
        <v>15</v>
      </c>
      <c r="G868" s="17" t="s">
        <v>64</v>
      </c>
      <c r="H868" s="17" t="s">
        <v>52</v>
      </c>
      <c r="I868" s="17" t="s">
        <v>17</v>
      </c>
      <c r="J868" s="27">
        <v>0.1</v>
      </c>
      <c r="K868" s="17" t="s">
        <v>933</v>
      </c>
      <c r="L868" s="32">
        <v>5</v>
      </c>
      <c r="M868" s="32">
        <f>_xlfn.XLOOKUP(Table2_1[[#This Row],[Product Code]],Product_Code,Unit_Price,0)</f>
        <v>7</v>
      </c>
      <c r="N868" s="31">
        <f>DATEDIF(Table2_1[[#This Row],[Buyer Date of Birth]],Table2_1[[#This Row],[Transaction  Date]],"Y")</f>
        <v>80</v>
      </c>
      <c r="O868" s="33">
        <v>75</v>
      </c>
      <c r="P868" s="33">
        <f>Table2_1[[#This Row],[Quantity Purchased]]*Table2_1[[#This Row],[UnitPrice]]*(1-Table2_1[[#This Row],[Discount]])</f>
        <v>94.5</v>
      </c>
      <c r="Q868" s="33">
        <f>Table2_1[[#This Row],[Revenue]]-Table2_1[[#This Row],[COGS]]</f>
        <v>19.5</v>
      </c>
      <c r="R868" s="39">
        <f>WEEKDAY(Table2_1[[#This Row],[Transaction  Date]])</f>
        <v>7</v>
      </c>
      <c r="S868" s="17" t="str">
        <f>IF(WEEKDAY(Table2_1[[#This Row],[Transaction  Date]],2)&lt;=5,"Weekday","Weekend")</f>
        <v>Weekend</v>
      </c>
      <c r="T868" s="37" t="str">
        <f>FLOOR(Table2_1[[#This Row],[Age]],15)&amp; "-"&amp; FLOOR(Table2_1[[#This Row],[Age]],15)+14</f>
        <v>75-89</v>
      </c>
    </row>
    <row r="869" spans="1:20" x14ac:dyDescent="0.3">
      <c r="A869" s="18">
        <v>45479</v>
      </c>
      <c r="B869" s="17" t="s">
        <v>1715</v>
      </c>
      <c r="C869" s="17" t="s">
        <v>51</v>
      </c>
      <c r="D869" s="18">
        <v>35963</v>
      </c>
      <c r="E869" s="16" t="s">
        <v>20</v>
      </c>
      <c r="F869" s="31">
        <v>282</v>
      </c>
      <c r="G869" s="17" t="s">
        <v>15</v>
      </c>
      <c r="H869" s="17" t="s">
        <v>43</v>
      </c>
      <c r="I869" s="17" t="s">
        <v>17</v>
      </c>
      <c r="J869" s="27">
        <v>0.1</v>
      </c>
      <c r="K869" s="17" t="s">
        <v>929</v>
      </c>
      <c r="L869" s="32">
        <v>10</v>
      </c>
      <c r="M869" s="32">
        <f>_xlfn.XLOOKUP(Table2_1[[#This Row],[Product Code]],Product_Code,Unit_Price,0)</f>
        <v>14</v>
      </c>
      <c r="N869" s="31">
        <f>DATEDIF(Table2_1[[#This Row],[Buyer Date of Birth]],Table2_1[[#This Row],[Transaction  Date]],"Y")</f>
        <v>26</v>
      </c>
      <c r="O869" s="33">
        <v>2820</v>
      </c>
      <c r="P869" s="33">
        <f>Table2_1[[#This Row],[Quantity Purchased]]*Table2_1[[#This Row],[UnitPrice]]*(1-Table2_1[[#This Row],[Discount]])</f>
        <v>3553.2000000000003</v>
      </c>
      <c r="Q869" s="33">
        <f>Table2_1[[#This Row],[Revenue]]-Table2_1[[#This Row],[COGS]]</f>
        <v>733.20000000000027</v>
      </c>
      <c r="R869" s="39">
        <f>WEEKDAY(Table2_1[[#This Row],[Transaction  Date]])</f>
        <v>7</v>
      </c>
      <c r="S869" s="17" t="str">
        <f>IF(WEEKDAY(Table2_1[[#This Row],[Transaction  Date]],2)&lt;=5,"Weekday","Weekend")</f>
        <v>Weekend</v>
      </c>
      <c r="T869" s="37" t="str">
        <f>FLOOR(Table2_1[[#This Row],[Age]],15)&amp; "-"&amp; FLOOR(Table2_1[[#This Row],[Age]],15)+14</f>
        <v>15-29</v>
      </c>
    </row>
    <row r="870" spans="1:20" x14ac:dyDescent="0.3">
      <c r="A870" s="18">
        <v>45479</v>
      </c>
      <c r="B870" s="17" t="s">
        <v>1716</v>
      </c>
      <c r="C870" s="17" t="s">
        <v>78</v>
      </c>
      <c r="D870" s="18">
        <v>25970</v>
      </c>
      <c r="E870" s="16" t="s">
        <v>20</v>
      </c>
      <c r="F870" s="31">
        <v>201</v>
      </c>
      <c r="G870" s="17" t="s">
        <v>34</v>
      </c>
      <c r="H870" s="17" t="s">
        <v>52</v>
      </c>
      <c r="I870" s="17" t="s">
        <v>17</v>
      </c>
      <c r="J870" s="27">
        <v>0.1</v>
      </c>
      <c r="K870" s="17" t="s">
        <v>930</v>
      </c>
      <c r="L870" s="32">
        <v>14</v>
      </c>
      <c r="M870" s="32">
        <f>_xlfn.XLOOKUP(Table2_1[[#This Row],[Product Code]],Product_Code,Unit_Price,0)</f>
        <v>28</v>
      </c>
      <c r="N870" s="31">
        <f>DATEDIF(Table2_1[[#This Row],[Buyer Date of Birth]],Table2_1[[#This Row],[Transaction  Date]],"Y")</f>
        <v>53</v>
      </c>
      <c r="O870" s="33">
        <v>2814</v>
      </c>
      <c r="P870" s="33">
        <f>Table2_1[[#This Row],[Quantity Purchased]]*Table2_1[[#This Row],[UnitPrice]]*(1-Table2_1[[#This Row],[Discount]])</f>
        <v>5065.2</v>
      </c>
      <c r="Q870" s="33">
        <f>Table2_1[[#This Row],[Revenue]]-Table2_1[[#This Row],[COGS]]</f>
        <v>2251.1999999999998</v>
      </c>
      <c r="R870" s="39">
        <f>WEEKDAY(Table2_1[[#This Row],[Transaction  Date]])</f>
        <v>7</v>
      </c>
      <c r="S870" s="17" t="str">
        <f>IF(WEEKDAY(Table2_1[[#This Row],[Transaction  Date]],2)&lt;=5,"Weekday","Weekend")</f>
        <v>Weekend</v>
      </c>
      <c r="T870" s="37" t="str">
        <f>FLOOR(Table2_1[[#This Row],[Age]],15)&amp; "-"&amp; FLOOR(Table2_1[[#This Row],[Age]],15)+14</f>
        <v>45-59</v>
      </c>
    </row>
    <row r="871" spans="1:20" x14ac:dyDescent="0.3">
      <c r="A871" s="18">
        <v>45479</v>
      </c>
      <c r="B871" s="17" t="s">
        <v>1717</v>
      </c>
      <c r="C871" s="17" t="s">
        <v>46</v>
      </c>
      <c r="D871" s="18">
        <v>35913</v>
      </c>
      <c r="E871" s="16" t="s">
        <v>14</v>
      </c>
      <c r="F871" s="31">
        <v>378</v>
      </c>
      <c r="G871" s="17" t="s">
        <v>42</v>
      </c>
      <c r="H871" s="17" t="s">
        <v>52</v>
      </c>
      <c r="I871" s="17" t="s">
        <v>17</v>
      </c>
      <c r="J871" s="27">
        <v>0.1</v>
      </c>
      <c r="K871" s="17" t="s">
        <v>926</v>
      </c>
      <c r="L871" s="32">
        <v>10</v>
      </c>
      <c r="M871" s="32">
        <f>_xlfn.XLOOKUP(Table2_1[[#This Row],[Product Code]],Product_Code,Unit_Price,0)</f>
        <v>11</v>
      </c>
      <c r="N871" s="31">
        <f>DATEDIF(Table2_1[[#This Row],[Buyer Date of Birth]],Table2_1[[#This Row],[Transaction  Date]],"Y")</f>
        <v>26</v>
      </c>
      <c r="O871" s="33">
        <v>3780</v>
      </c>
      <c r="P871" s="33">
        <f>Table2_1[[#This Row],[Quantity Purchased]]*Table2_1[[#This Row],[UnitPrice]]*(1-Table2_1[[#This Row],[Discount]])</f>
        <v>3742.2000000000003</v>
      </c>
      <c r="Q871" s="33">
        <f>Table2_1[[#This Row],[Revenue]]-Table2_1[[#This Row],[COGS]]</f>
        <v>-37.799999999999727</v>
      </c>
      <c r="R871" s="39">
        <f>WEEKDAY(Table2_1[[#This Row],[Transaction  Date]])</f>
        <v>7</v>
      </c>
      <c r="S871" s="17" t="str">
        <f>IF(WEEKDAY(Table2_1[[#This Row],[Transaction  Date]],2)&lt;=5,"Weekday","Weekend")</f>
        <v>Weekend</v>
      </c>
      <c r="T871" s="37" t="str">
        <f>FLOOR(Table2_1[[#This Row],[Age]],15)&amp; "-"&amp; FLOOR(Table2_1[[#This Row],[Age]],15)+14</f>
        <v>15-29</v>
      </c>
    </row>
    <row r="872" spans="1:20" x14ac:dyDescent="0.3">
      <c r="A872" s="18">
        <v>45479</v>
      </c>
      <c r="B872" s="17" t="s">
        <v>1718</v>
      </c>
      <c r="C872" s="17" t="s">
        <v>78</v>
      </c>
      <c r="D872" s="18" t="s">
        <v>32</v>
      </c>
      <c r="E872" s="16" t="s">
        <v>68</v>
      </c>
      <c r="F872" s="31">
        <v>32</v>
      </c>
      <c r="G872" s="17" t="s">
        <v>15</v>
      </c>
      <c r="H872" s="17" t="s">
        <v>28</v>
      </c>
      <c r="I872" s="17" t="s">
        <v>17</v>
      </c>
      <c r="J872" s="27">
        <v>0.1</v>
      </c>
      <c r="K872" s="17" t="s">
        <v>929</v>
      </c>
      <c r="L872" s="32">
        <v>10</v>
      </c>
      <c r="M872" s="32">
        <f>_xlfn.XLOOKUP(Table2_1[[#This Row],[Product Code]],Product_Code,Unit_Price,0)</f>
        <v>14</v>
      </c>
      <c r="N872" s="31" t="e">
        <f>DATEDIF(Table2_1[[#This Row],[Buyer Date of Birth]],Table2_1[[#This Row],[Transaction  Date]],"Y")</f>
        <v>#VALUE!</v>
      </c>
      <c r="O872" s="33">
        <v>320</v>
      </c>
      <c r="P872" s="33">
        <f>Table2_1[[#This Row],[Quantity Purchased]]*Table2_1[[#This Row],[UnitPrice]]*(1-Table2_1[[#This Row],[Discount]])</f>
        <v>403.2</v>
      </c>
      <c r="Q872" s="33">
        <f>Table2_1[[#This Row],[Revenue]]-Table2_1[[#This Row],[COGS]]</f>
        <v>83.199999999999989</v>
      </c>
      <c r="R872" s="39">
        <f>WEEKDAY(Table2_1[[#This Row],[Transaction  Date]])</f>
        <v>7</v>
      </c>
      <c r="S872" s="17" t="str">
        <f>IF(WEEKDAY(Table2_1[[#This Row],[Transaction  Date]],2)&lt;=5,"Weekday","Weekend")</f>
        <v>Weekend</v>
      </c>
      <c r="T872" s="37" t="e">
        <f>FLOOR(Table2_1[[#This Row],[Age]],15)&amp; "-"&amp; FLOOR(Table2_1[[#This Row],[Age]],15)+14</f>
        <v>#VALUE!</v>
      </c>
    </row>
    <row r="873" spans="1:20" x14ac:dyDescent="0.3">
      <c r="A873" s="18">
        <v>45480</v>
      </c>
      <c r="B873" s="17" t="s">
        <v>1719</v>
      </c>
      <c r="C873" s="17" t="s">
        <v>55</v>
      </c>
      <c r="D873" s="18">
        <v>26775</v>
      </c>
      <c r="E873" s="16" t="s">
        <v>68</v>
      </c>
      <c r="F873" s="31">
        <v>370</v>
      </c>
      <c r="G873" s="17" t="s">
        <v>27</v>
      </c>
      <c r="H873" s="17" t="s">
        <v>52</v>
      </c>
      <c r="I873" s="17" t="s">
        <v>17</v>
      </c>
      <c r="J873" s="27">
        <v>0.1</v>
      </c>
      <c r="K873" s="17" t="s">
        <v>927</v>
      </c>
      <c r="L873" s="32">
        <v>18</v>
      </c>
      <c r="M873" s="32">
        <f>_xlfn.XLOOKUP(Table2_1[[#This Row],[Product Code]],Product_Code,Unit_Price,0)</f>
        <v>22</v>
      </c>
      <c r="N873" s="31">
        <f>DATEDIF(Table2_1[[#This Row],[Buyer Date of Birth]],Table2_1[[#This Row],[Transaction  Date]],"Y")</f>
        <v>51</v>
      </c>
      <c r="O873" s="33">
        <v>6660</v>
      </c>
      <c r="P873" s="33">
        <f>Table2_1[[#This Row],[Quantity Purchased]]*Table2_1[[#This Row],[UnitPrice]]*(1-Table2_1[[#This Row],[Discount]])</f>
        <v>7326</v>
      </c>
      <c r="Q873" s="33">
        <f>Table2_1[[#This Row],[Revenue]]-Table2_1[[#This Row],[COGS]]</f>
        <v>666</v>
      </c>
      <c r="R873" s="39">
        <f>WEEKDAY(Table2_1[[#This Row],[Transaction  Date]])</f>
        <v>1</v>
      </c>
      <c r="S873" s="17" t="str">
        <f>IF(WEEKDAY(Table2_1[[#This Row],[Transaction  Date]],2)&lt;=5,"Weekday","Weekend")</f>
        <v>Weekend</v>
      </c>
      <c r="T873" s="37" t="str">
        <f>FLOOR(Table2_1[[#This Row],[Age]],15)&amp; "-"&amp; FLOOR(Table2_1[[#This Row],[Age]],15)+14</f>
        <v>45-59</v>
      </c>
    </row>
    <row r="874" spans="1:20" x14ac:dyDescent="0.3">
      <c r="A874" s="18">
        <v>45480</v>
      </c>
      <c r="B874" s="17" t="s">
        <v>1720</v>
      </c>
      <c r="C874" s="17" t="s">
        <v>32</v>
      </c>
      <c r="D874" s="18">
        <v>19796</v>
      </c>
      <c r="E874" s="16" t="s">
        <v>14</v>
      </c>
      <c r="F874" s="31">
        <v>93</v>
      </c>
      <c r="G874" s="17" t="s">
        <v>42</v>
      </c>
      <c r="H874" s="17" t="s">
        <v>52</v>
      </c>
      <c r="I874" s="17" t="s">
        <v>17</v>
      </c>
      <c r="J874" s="27">
        <v>0.1</v>
      </c>
      <c r="K874" s="17" t="s">
        <v>926</v>
      </c>
      <c r="L874" s="32">
        <v>10</v>
      </c>
      <c r="M874" s="32">
        <f>_xlfn.XLOOKUP(Table2_1[[#This Row],[Product Code]],Product_Code,Unit_Price,0)</f>
        <v>11</v>
      </c>
      <c r="N874" s="31">
        <f>DATEDIF(Table2_1[[#This Row],[Buyer Date of Birth]],Table2_1[[#This Row],[Transaction  Date]],"Y")</f>
        <v>70</v>
      </c>
      <c r="O874" s="33">
        <v>930</v>
      </c>
      <c r="P874" s="33">
        <f>Table2_1[[#This Row],[Quantity Purchased]]*Table2_1[[#This Row],[UnitPrice]]*(1-Table2_1[[#This Row],[Discount]])</f>
        <v>920.7</v>
      </c>
      <c r="Q874" s="33">
        <f>Table2_1[[#This Row],[Revenue]]-Table2_1[[#This Row],[COGS]]</f>
        <v>-9.2999999999999545</v>
      </c>
      <c r="R874" s="39">
        <f>WEEKDAY(Table2_1[[#This Row],[Transaction  Date]])</f>
        <v>1</v>
      </c>
      <c r="S874" s="17" t="str">
        <f>IF(WEEKDAY(Table2_1[[#This Row],[Transaction  Date]],2)&lt;=5,"Weekday","Weekend")</f>
        <v>Weekend</v>
      </c>
      <c r="T874" s="37" t="str">
        <f>FLOOR(Table2_1[[#This Row],[Age]],15)&amp; "-"&amp; FLOOR(Table2_1[[#This Row],[Age]],15)+14</f>
        <v>60-74</v>
      </c>
    </row>
    <row r="875" spans="1:20" x14ac:dyDescent="0.3">
      <c r="A875" s="18">
        <v>45480</v>
      </c>
      <c r="B875" s="17" t="s">
        <v>1721</v>
      </c>
      <c r="C875" s="17" t="s">
        <v>46</v>
      </c>
      <c r="D875" s="18">
        <v>19823</v>
      </c>
      <c r="E875" s="16" t="s">
        <v>68</v>
      </c>
      <c r="F875" s="31">
        <v>61</v>
      </c>
      <c r="G875" s="17" t="s">
        <v>47</v>
      </c>
      <c r="H875" s="17" t="s">
        <v>35</v>
      </c>
      <c r="I875" s="17" t="s">
        <v>17</v>
      </c>
      <c r="J875" s="27">
        <v>0.1</v>
      </c>
      <c r="K875" s="17" t="s">
        <v>931</v>
      </c>
      <c r="L875" s="32">
        <v>7</v>
      </c>
      <c r="M875" s="32">
        <f>_xlfn.XLOOKUP(Table2_1[[#This Row],[Product Code]],Product_Code,Unit_Price,0)</f>
        <v>9</v>
      </c>
      <c r="N875" s="31">
        <f>DATEDIF(Table2_1[[#This Row],[Buyer Date of Birth]],Table2_1[[#This Row],[Transaction  Date]],"Y")</f>
        <v>70</v>
      </c>
      <c r="O875" s="33">
        <v>427</v>
      </c>
      <c r="P875" s="33">
        <f>Table2_1[[#This Row],[Quantity Purchased]]*Table2_1[[#This Row],[UnitPrice]]*(1-Table2_1[[#This Row],[Discount]])</f>
        <v>494.1</v>
      </c>
      <c r="Q875" s="33">
        <f>Table2_1[[#This Row],[Revenue]]-Table2_1[[#This Row],[COGS]]</f>
        <v>67.100000000000023</v>
      </c>
      <c r="R875" s="39">
        <f>WEEKDAY(Table2_1[[#This Row],[Transaction  Date]])</f>
        <v>1</v>
      </c>
      <c r="S875" s="17" t="str">
        <f>IF(WEEKDAY(Table2_1[[#This Row],[Transaction  Date]],2)&lt;=5,"Weekday","Weekend")</f>
        <v>Weekend</v>
      </c>
      <c r="T875" s="37" t="str">
        <f>FLOOR(Table2_1[[#This Row],[Age]],15)&amp; "-"&amp; FLOOR(Table2_1[[#This Row],[Age]],15)+14</f>
        <v>60-74</v>
      </c>
    </row>
    <row r="876" spans="1:20" x14ac:dyDescent="0.3">
      <c r="A876" s="18">
        <v>45481</v>
      </c>
      <c r="B876" s="17" t="s">
        <v>1722</v>
      </c>
      <c r="C876" s="17" t="s">
        <v>83</v>
      </c>
      <c r="D876" s="18">
        <v>22851</v>
      </c>
      <c r="E876" s="16" t="s">
        <v>14</v>
      </c>
      <c r="F876" s="31">
        <v>392</v>
      </c>
      <c r="G876" s="17" t="s">
        <v>56</v>
      </c>
      <c r="H876" s="17" t="s">
        <v>35</v>
      </c>
      <c r="I876" s="17" t="s">
        <v>17</v>
      </c>
      <c r="J876" s="27">
        <v>0.1</v>
      </c>
      <c r="K876" s="17" t="s">
        <v>935</v>
      </c>
      <c r="L876" s="32">
        <v>18</v>
      </c>
      <c r="M876" s="32">
        <f>_xlfn.XLOOKUP(Table2_1[[#This Row],[Product Code]],Product_Code,Unit_Price,0)</f>
        <v>36</v>
      </c>
      <c r="N876" s="31">
        <f>DATEDIF(Table2_1[[#This Row],[Buyer Date of Birth]],Table2_1[[#This Row],[Transaction  Date]],"Y")</f>
        <v>61</v>
      </c>
      <c r="O876" s="33">
        <v>7056</v>
      </c>
      <c r="P876" s="33">
        <f>Table2_1[[#This Row],[Quantity Purchased]]*Table2_1[[#This Row],[UnitPrice]]*(1-Table2_1[[#This Row],[Discount]])</f>
        <v>12700.800000000001</v>
      </c>
      <c r="Q876" s="33">
        <f>Table2_1[[#This Row],[Revenue]]-Table2_1[[#This Row],[COGS]]</f>
        <v>5644.8000000000011</v>
      </c>
      <c r="R876" s="39">
        <f>WEEKDAY(Table2_1[[#This Row],[Transaction  Date]])</f>
        <v>2</v>
      </c>
      <c r="S876" s="17" t="str">
        <f>IF(WEEKDAY(Table2_1[[#This Row],[Transaction  Date]],2)&lt;=5,"Weekday","Weekend")</f>
        <v>Weekday</v>
      </c>
      <c r="T876" s="37" t="str">
        <f>FLOOR(Table2_1[[#This Row],[Age]],15)&amp; "-"&amp; FLOOR(Table2_1[[#This Row],[Age]],15)+14</f>
        <v>60-74</v>
      </c>
    </row>
    <row r="877" spans="1:20" x14ac:dyDescent="0.3">
      <c r="A877" s="18">
        <v>45481</v>
      </c>
      <c r="B877" s="17" t="s">
        <v>1723</v>
      </c>
      <c r="C877" s="17" t="s">
        <v>51</v>
      </c>
      <c r="D877" s="18">
        <v>24020</v>
      </c>
      <c r="E877" s="16" t="s">
        <v>20</v>
      </c>
      <c r="F877" s="31">
        <v>104</v>
      </c>
      <c r="G877" s="17" t="s">
        <v>64</v>
      </c>
      <c r="H877" s="17" t="s">
        <v>43</v>
      </c>
      <c r="I877" s="17" t="s">
        <v>17</v>
      </c>
      <c r="J877" s="27">
        <v>0.1</v>
      </c>
      <c r="K877" s="17" t="s">
        <v>933</v>
      </c>
      <c r="L877" s="32">
        <v>5</v>
      </c>
      <c r="M877" s="32">
        <f>_xlfn.XLOOKUP(Table2_1[[#This Row],[Product Code]],Product_Code,Unit_Price,0)</f>
        <v>7</v>
      </c>
      <c r="N877" s="31">
        <f>DATEDIF(Table2_1[[#This Row],[Buyer Date of Birth]],Table2_1[[#This Row],[Transaction  Date]],"Y")</f>
        <v>58</v>
      </c>
      <c r="O877" s="33">
        <v>520</v>
      </c>
      <c r="P877" s="33">
        <f>Table2_1[[#This Row],[Quantity Purchased]]*Table2_1[[#This Row],[UnitPrice]]*(1-Table2_1[[#This Row],[Discount]])</f>
        <v>655.20000000000005</v>
      </c>
      <c r="Q877" s="33">
        <f>Table2_1[[#This Row],[Revenue]]-Table2_1[[#This Row],[COGS]]</f>
        <v>135.20000000000005</v>
      </c>
      <c r="R877" s="39">
        <f>WEEKDAY(Table2_1[[#This Row],[Transaction  Date]])</f>
        <v>2</v>
      </c>
      <c r="S877" s="17" t="str">
        <f>IF(WEEKDAY(Table2_1[[#This Row],[Transaction  Date]],2)&lt;=5,"Weekday","Weekend")</f>
        <v>Weekday</v>
      </c>
      <c r="T877" s="37" t="str">
        <f>FLOOR(Table2_1[[#This Row],[Age]],15)&amp; "-"&amp; FLOOR(Table2_1[[#This Row],[Age]],15)+14</f>
        <v>45-59</v>
      </c>
    </row>
    <row r="878" spans="1:20" x14ac:dyDescent="0.3">
      <c r="A878" s="18">
        <v>45481</v>
      </c>
      <c r="B878" s="17" t="s">
        <v>1724</v>
      </c>
      <c r="C878" s="17" t="s">
        <v>94</v>
      </c>
      <c r="D878" s="18">
        <v>29391</v>
      </c>
      <c r="E878" s="16" t="s">
        <v>33</v>
      </c>
      <c r="F878" s="31">
        <v>36</v>
      </c>
      <c r="G878" s="17" t="s">
        <v>21</v>
      </c>
      <c r="H878" s="17" t="s">
        <v>48</v>
      </c>
      <c r="I878" s="17" t="s">
        <v>17</v>
      </c>
      <c r="J878" s="27">
        <v>0.1</v>
      </c>
      <c r="K878" s="17" t="s">
        <v>934</v>
      </c>
      <c r="L878" s="32">
        <v>10</v>
      </c>
      <c r="M878" s="32">
        <f>_xlfn.XLOOKUP(Table2_1[[#This Row],[Product Code]],Product_Code,Unit_Price,0)</f>
        <v>45</v>
      </c>
      <c r="N878" s="31">
        <f>DATEDIF(Table2_1[[#This Row],[Buyer Date of Birth]],Table2_1[[#This Row],[Transaction  Date]],"Y")</f>
        <v>44</v>
      </c>
      <c r="O878" s="33">
        <v>360</v>
      </c>
      <c r="P878" s="33">
        <f>Table2_1[[#This Row],[Quantity Purchased]]*Table2_1[[#This Row],[UnitPrice]]*(1-Table2_1[[#This Row],[Discount]])</f>
        <v>1458</v>
      </c>
      <c r="Q878" s="33">
        <f>Table2_1[[#This Row],[Revenue]]-Table2_1[[#This Row],[COGS]]</f>
        <v>1098</v>
      </c>
      <c r="R878" s="39">
        <f>WEEKDAY(Table2_1[[#This Row],[Transaction  Date]])</f>
        <v>2</v>
      </c>
      <c r="S878" s="17" t="str">
        <f>IF(WEEKDAY(Table2_1[[#This Row],[Transaction  Date]],2)&lt;=5,"Weekday","Weekend")</f>
        <v>Weekday</v>
      </c>
      <c r="T878" s="37" t="str">
        <f>FLOOR(Table2_1[[#This Row],[Age]],15)&amp; "-"&amp; FLOOR(Table2_1[[#This Row],[Age]],15)+14</f>
        <v>30-44</v>
      </c>
    </row>
    <row r="879" spans="1:20" x14ac:dyDescent="0.3">
      <c r="A879" s="18">
        <v>45481</v>
      </c>
      <c r="B879" s="17" t="s">
        <v>1725</v>
      </c>
      <c r="C879" s="17" t="s">
        <v>94</v>
      </c>
      <c r="D879" s="18">
        <v>25379</v>
      </c>
      <c r="E879" s="16" t="s">
        <v>20</v>
      </c>
      <c r="F879" s="31">
        <v>445</v>
      </c>
      <c r="G879" s="17" t="s">
        <v>15</v>
      </c>
      <c r="H879" s="17" t="s">
        <v>28</v>
      </c>
      <c r="I879" s="17" t="s">
        <v>17</v>
      </c>
      <c r="J879" s="27">
        <v>0.1</v>
      </c>
      <c r="K879" s="17" t="s">
        <v>929</v>
      </c>
      <c r="L879" s="32">
        <v>10</v>
      </c>
      <c r="M879" s="32">
        <f>_xlfn.XLOOKUP(Table2_1[[#This Row],[Product Code]],Product_Code,Unit_Price,0)</f>
        <v>14</v>
      </c>
      <c r="N879" s="31">
        <f>DATEDIF(Table2_1[[#This Row],[Buyer Date of Birth]],Table2_1[[#This Row],[Transaction  Date]],"Y")</f>
        <v>55</v>
      </c>
      <c r="O879" s="33">
        <v>4450</v>
      </c>
      <c r="P879" s="33">
        <f>Table2_1[[#This Row],[Quantity Purchased]]*Table2_1[[#This Row],[UnitPrice]]*(1-Table2_1[[#This Row],[Discount]])</f>
        <v>5607</v>
      </c>
      <c r="Q879" s="33">
        <f>Table2_1[[#This Row],[Revenue]]-Table2_1[[#This Row],[COGS]]</f>
        <v>1157</v>
      </c>
      <c r="R879" s="39">
        <f>WEEKDAY(Table2_1[[#This Row],[Transaction  Date]])</f>
        <v>2</v>
      </c>
      <c r="S879" s="17" t="str">
        <f>IF(WEEKDAY(Table2_1[[#This Row],[Transaction  Date]],2)&lt;=5,"Weekday","Weekend")</f>
        <v>Weekday</v>
      </c>
      <c r="T879" s="37" t="str">
        <f>FLOOR(Table2_1[[#This Row],[Age]],15)&amp; "-"&amp; FLOOR(Table2_1[[#This Row],[Age]],15)+14</f>
        <v>45-59</v>
      </c>
    </row>
    <row r="880" spans="1:20" x14ac:dyDescent="0.3">
      <c r="A880" s="18">
        <v>45482</v>
      </c>
      <c r="B880" s="17" t="s">
        <v>1889</v>
      </c>
      <c r="C880" s="17" t="s">
        <v>78</v>
      </c>
      <c r="D880" s="18">
        <v>21450</v>
      </c>
      <c r="E880" s="16" t="s">
        <v>33</v>
      </c>
      <c r="F880" s="31">
        <v>46</v>
      </c>
      <c r="G880" s="17" t="s">
        <v>27</v>
      </c>
      <c r="H880" s="17" t="s">
        <v>43</v>
      </c>
      <c r="I880" s="17" t="s">
        <v>17</v>
      </c>
      <c r="J880" s="27">
        <v>0.1</v>
      </c>
      <c r="K880" s="17" t="s">
        <v>927</v>
      </c>
      <c r="L880" s="32">
        <v>18</v>
      </c>
      <c r="M880" s="32">
        <f>_xlfn.XLOOKUP(Table2_1[[#This Row],[Product Code]],Product_Code,Unit_Price,0)</f>
        <v>22</v>
      </c>
      <c r="N880" s="31">
        <f>DATEDIF(Table2_1[[#This Row],[Buyer Date of Birth]],Table2_1[[#This Row],[Transaction  Date]],"Y")</f>
        <v>65</v>
      </c>
      <c r="O880" s="33">
        <v>828</v>
      </c>
      <c r="P880" s="33">
        <f>Table2_1[[#This Row],[Quantity Purchased]]*Table2_1[[#This Row],[UnitPrice]]*(1-Table2_1[[#This Row],[Discount]])</f>
        <v>910.80000000000007</v>
      </c>
      <c r="Q880" s="33">
        <f>Table2_1[[#This Row],[Revenue]]-Table2_1[[#This Row],[COGS]]</f>
        <v>82.800000000000068</v>
      </c>
      <c r="R880" s="39">
        <f>WEEKDAY(Table2_1[[#This Row],[Transaction  Date]])</f>
        <v>3</v>
      </c>
      <c r="S880" s="17" t="str">
        <f>IF(WEEKDAY(Table2_1[[#This Row],[Transaction  Date]],2)&lt;=5,"Weekday","Weekend")</f>
        <v>Weekday</v>
      </c>
      <c r="T880" s="37" t="str">
        <f>FLOOR(Table2_1[[#This Row],[Age]],15)&amp; "-"&amp; FLOOR(Table2_1[[#This Row],[Age]],15)+14</f>
        <v>60-74</v>
      </c>
    </row>
    <row r="881" spans="1:20" x14ac:dyDescent="0.3">
      <c r="A881" s="18">
        <v>45482</v>
      </c>
      <c r="B881" s="17" t="s">
        <v>1726</v>
      </c>
      <c r="C881" s="17" t="s">
        <v>13</v>
      </c>
      <c r="D881" s="18">
        <v>21061</v>
      </c>
      <c r="E881" s="16" t="s">
        <v>68</v>
      </c>
      <c r="F881" s="31">
        <v>29</v>
      </c>
      <c r="G881" s="17" t="s">
        <v>42</v>
      </c>
      <c r="H881" s="17" t="s">
        <v>28</v>
      </c>
      <c r="I881" s="17" t="s">
        <v>17</v>
      </c>
      <c r="J881" s="27">
        <v>0.1</v>
      </c>
      <c r="K881" s="17" t="s">
        <v>926</v>
      </c>
      <c r="L881" s="32">
        <v>10</v>
      </c>
      <c r="M881" s="32">
        <f>_xlfn.XLOOKUP(Table2_1[[#This Row],[Product Code]],Product_Code,Unit_Price,0)</f>
        <v>11</v>
      </c>
      <c r="N881" s="31">
        <f>DATEDIF(Table2_1[[#This Row],[Buyer Date of Birth]],Table2_1[[#This Row],[Transaction  Date]],"Y")</f>
        <v>66</v>
      </c>
      <c r="O881" s="33">
        <v>290</v>
      </c>
      <c r="P881" s="33">
        <f>Table2_1[[#This Row],[Quantity Purchased]]*Table2_1[[#This Row],[UnitPrice]]*(1-Table2_1[[#This Row],[Discount]])</f>
        <v>287.10000000000002</v>
      </c>
      <c r="Q881" s="33">
        <f>Table2_1[[#This Row],[Revenue]]-Table2_1[[#This Row],[COGS]]</f>
        <v>-2.8999999999999773</v>
      </c>
      <c r="R881" s="39">
        <f>WEEKDAY(Table2_1[[#This Row],[Transaction  Date]])</f>
        <v>3</v>
      </c>
      <c r="S881" s="17" t="str">
        <f>IF(WEEKDAY(Table2_1[[#This Row],[Transaction  Date]],2)&lt;=5,"Weekday","Weekend")</f>
        <v>Weekday</v>
      </c>
      <c r="T881" s="37" t="str">
        <f>FLOOR(Table2_1[[#This Row],[Age]],15)&amp; "-"&amp; FLOOR(Table2_1[[#This Row],[Age]],15)+14</f>
        <v>60-74</v>
      </c>
    </row>
    <row r="882" spans="1:20" x14ac:dyDescent="0.3">
      <c r="A882" s="18">
        <v>45482</v>
      </c>
      <c r="B882" s="17" t="s">
        <v>1727</v>
      </c>
      <c r="C882" s="17" t="s">
        <v>71</v>
      </c>
      <c r="D882" s="18">
        <v>34977</v>
      </c>
      <c r="E882" s="16" t="s">
        <v>20</v>
      </c>
      <c r="F882" s="31">
        <v>392</v>
      </c>
      <c r="G882" s="17" t="s">
        <v>34</v>
      </c>
      <c r="H882" s="17" t="s">
        <v>52</v>
      </c>
      <c r="I882" s="17" t="s">
        <v>17</v>
      </c>
      <c r="J882" s="27">
        <v>0.1</v>
      </c>
      <c r="K882" s="17" t="s">
        <v>930</v>
      </c>
      <c r="L882" s="32">
        <v>14</v>
      </c>
      <c r="M882" s="32">
        <f>_xlfn.XLOOKUP(Table2_1[[#This Row],[Product Code]],Product_Code,Unit_Price,0)</f>
        <v>28</v>
      </c>
      <c r="N882" s="31">
        <f>DATEDIF(Table2_1[[#This Row],[Buyer Date of Birth]],Table2_1[[#This Row],[Transaction  Date]],"Y")</f>
        <v>28</v>
      </c>
      <c r="O882" s="33">
        <v>5488</v>
      </c>
      <c r="P882" s="33">
        <f>Table2_1[[#This Row],[Quantity Purchased]]*Table2_1[[#This Row],[UnitPrice]]*(1-Table2_1[[#This Row],[Discount]])</f>
        <v>9878.4</v>
      </c>
      <c r="Q882" s="33">
        <f>Table2_1[[#This Row],[Revenue]]-Table2_1[[#This Row],[COGS]]</f>
        <v>4390.3999999999996</v>
      </c>
      <c r="R882" s="39">
        <f>WEEKDAY(Table2_1[[#This Row],[Transaction  Date]])</f>
        <v>3</v>
      </c>
      <c r="S882" s="17" t="str">
        <f>IF(WEEKDAY(Table2_1[[#This Row],[Transaction  Date]],2)&lt;=5,"Weekday","Weekend")</f>
        <v>Weekday</v>
      </c>
      <c r="T882" s="37" t="str">
        <f>FLOOR(Table2_1[[#This Row],[Age]],15)&amp; "-"&amp; FLOOR(Table2_1[[#This Row],[Age]],15)+14</f>
        <v>15-29</v>
      </c>
    </row>
    <row r="883" spans="1:20" x14ac:dyDescent="0.3">
      <c r="A883" s="18">
        <v>45482</v>
      </c>
      <c r="B883" s="17" t="s">
        <v>1728</v>
      </c>
      <c r="C883" s="17" t="s">
        <v>32</v>
      </c>
      <c r="D883" s="18">
        <v>34376</v>
      </c>
      <c r="E883" s="16" t="s">
        <v>33</v>
      </c>
      <c r="F883" s="31">
        <v>216</v>
      </c>
      <c r="G883" s="17" t="s">
        <v>21</v>
      </c>
      <c r="H883" s="17" t="s">
        <v>43</v>
      </c>
      <c r="I883" s="17" t="s">
        <v>17</v>
      </c>
      <c r="J883" s="27">
        <v>0.1</v>
      </c>
      <c r="K883" s="17" t="s">
        <v>934</v>
      </c>
      <c r="L883" s="32">
        <v>10</v>
      </c>
      <c r="M883" s="32">
        <f>_xlfn.XLOOKUP(Table2_1[[#This Row],[Product Code]],Product_Code,Unit_Price,0)</f>
        <v>45</v>
      </c>
      <c r="N883" s="31">
        <f>DATEDIF(Table2_1[[#This Row],[Buyer Date of Birth]],Table2_1[[#This Row],[Transaction  Date]],"Y")</f>
        <v>30</v>
      </c>
      <c r="O883" s="33">
        <v>2160</v>
      </c>
      <c r="P883" s="33">
        <f>Table2_1[[#This Row],[Quantity Purchased]]*Table2_1[[#This Row],[UnitPrice]]*(1-Table2_1[[#This Row],[Discount]])</f>
        <v>8748</v>
      </c>
      <c r="Q883" s="33">
        <f>Table2_1[[#This Row],[Revenue]]-Table2_1[[#This Row],[COGS]]</f>
        <v>6588</v>
      </c>
      <c r="R883" s="39">
        <f>WEEKDAY(Table2_1[[#This Row],[Transaction  Date]])</f>
        <v>3</v>
      </c>
      <c r="S883" s="17" t="str">
        <f>IF(WEEKDAY(Table2_1[[#This Row],[Transaction  Date]],2)&lt;=5,"Weekday","Weekend")</f>
        <v>Weekday</v>
      </c>
      <c r="T883" s="37" t="str">
        <f>FLOOR(Table2_1[[#This Row],[Age]],15)&amp; "-"&amp; FLOOR(Table2_1[[#This Row],[Age]],15)+14</f>
        <v>30-44</v>
      </c>
    </row>
    <row r="884" spans="1:20" x14ac:dyDescent="0.3">
      <c r="A884" s="18">
        <v>45483</v>
      </c>
      <c r="B884" s="17" t="s">
        <v>1890</v>
      </c>
      <c r="C884" s="17" t="s">
        <v>13</v>
      </c>
      <c r="D884" s="18">
        <v>34887</v>
      </c>
      <c r="E884" s="16" t="s">
        <v>14</v>
      </c>
      <c r="F884" s="31">
        <v>460</v>
      </c>
      <c r="G884" s="17" t="s">
        <v>27</v>
      </c>
      <c r="H884" s="17" t="s">
        <v>52</v>
      </c>
      <c r="I884" s="17" t="s">
        <v>29</v>
      </c>
      <c r="J884" s="27">
        <v>0.1</v>
      </c>
      <c r="K884" s="17" t="s">
        <v>927</v>
      </c>
      <c r="L884" s="32">
        <v>18</v>
      </c>
      <c r="M884" s="32">
        <f>_xlfn.XLOOKUP(Table2_1[[#This Row],[Product Code]],Product_Code,Unit_Price,0)</f>
        <v>22</v>
      </c>
      <c r="N884" s="31">
        <f>DATEDIF(Table2_1[[#This Row],[Buyer Date of Birth]],Table2_1[[#This Row],[Transaction  Date]],"Y")</f>
        <v>29</v>
      </c>
      <c r="O884" s="33">
        <v>8280</v>
      </c>
      <c r="P884" s="33">
        <f>Table2_1[[#This Row],[Quantity Purchased]]*Table2_1[[#This Row],[UnitPrice]]*(1-Table2_1[[#This Row],[Discount]])</f>
        <v>9108</v>
      </c>
      <c r="Q884" s="33">
        <f>Table2_1[[#This Row],[Revenue]]-Table2_1[[#This Row],[COGS]]</f>
        <v>828</v>
      </c>
      <c r="R884" s="39">
        <f>WEEKDAY(Table2_1[[#This Row],[Transaction  Date]])</f>
        <v>4</v>
      </c>
      <c r="S884" s="17" t="str">
        <f>IF(WEEKDAY(Table2_1[[#This Row],[Transaction  Date]],2)&lt;=5,"Weekday","Weekend")</f>
        <v>Weekday</v>
      </c>
      <c r="T884" s="37" t="str">
        <f>FLOOR(Table2_1[[#This Row],[Age]],15)&amp; "-"&amp; FLOOR(Table2_1[[#This Row],[Age]],15)+14</f>
        <v>15-29</v>
      </c>
    </row>
    <row r="885" spans="1:20" x14ac:dyDescent="0.3">
      <c r="A885" s="18">
        <v>45483</v>
      </c>
      <c r="B885" s="17" t="s">
        <v>1729</v>
      </c>
      <c r="C885" s="17" t="s">
        <v>32</v>
      </c>
      <c r="D885" s="18">
        <v>26922</v>
      </c>
      <c r="E885" s="16" t="s">
        <v>68</v>
      </c>
      <c r="F885" s="31">
        <v>175</v>
      </c>
      <c r="G885" s="17" t="s">
        <v>42</v>
      </c>
      <c r="H885" s="17" t="s">
        <v>28</v>
      </c>
      <c r="I885" s="17" t="s">
        <v>17</v>
      </c>
      <c r="J885" s="27">
        <v>0.1</v>
      </c>
      <c r="K885" s="17" t="s">
        <v>926</v>
      </c>
      <c r="L885" s="32">
        <v>10</v>
      </c>
      <c r="M885" s="32">
        <f>_xlfn.XLOOKUP(Table2_1[[#This Row],[Product Code]],Product_Code,Unit_Price,0)</f>
        <v>11</v>
      </c>
      <c r="N885" s="31">
        <f>DATEDIF(Table2_1[[#This Row],[Buyer Date of Birth]],Table2_1[[#This Row],[Transaction  Date]],"Y")</f>
        <v>50</v>
      </c>
      <c r="O885" s="33">
        <v>1750</v>
      </c>
      <c r="P885" s="33">
        <f>Table2_1[[#This Row],[Quantity Purchased]]*Table2_1[[#This Row],[UnitPrice]]*(1-Table2_1[[#This Row],[Discount]])</f>
        <v>1732.5</v>
      </c>
      <c r="Q885" s="33">
        <f>Table2_1[[#This Row],[Revenue]]-Table2_1[[#This Row],[COGS]]</f>
        <v>-17.5</v>
      </c>
      <c r="R885" s="39">
        <f>WEEKDAY(Table2_1[[#This Row],[Transaction  Date]])</f>
        <v>4</v>
      </c>
      <c r="S885" s="17" t="str">
        <f>IF(WEEKDAY(Table2_1[[#This Row],[Transaction  Date]],2)&lt;=5,"Weekday","Weekend")</f>
        <v>Weekday</v>
      </c>
      <c r="T885" s="37" t="str">
        <f>FLOOR(Table2_1[[#This Row],[Age]],15)&amp; "-"&amp; FLOOR(Table2_1[[#This Row],[Age]],15)+14</f>
        <v>45-59</v>
      </c>
    </row>
    <row r="886" spans="1:20" x14ac:dyDescent="0.3">
      <c r="A886" s="18">
        <v>45483</v>
      </c>
      <c r="B886" s="17" t="s">
        <v>1730</v>
      </c>
      <c r="C886" s="17" t="s">
        <v>94</v>
      </c>
      <c r="D886" s="18">
        <v>28689</v>
      </c>
      <c r="E886" s="16" t="s">
        <v>68</v>
      </c>
      <c r="F886" s="31">
        <v>384</v>
      </c>
      <c r="G886" s="17" t="s">
        <v>65</v>
      </c>
      <c r="H886" s="17" t="s">
        <v>52</v>
      </c>
      <c r="I886" s="17" t="s">
        <v>17</v>
      </c>
      <c r="J886" s="27">
        <v>0.1</v>
      </c>
      <c r="K886" s="17" t="s">
        <v>928</v>
      </c>
      <c r="L886" s="32">
        <v>3</v>
      </c>
      <c r="M886" s="32">
        <f>_xlfn.XLOOKUP(Table2_1[[#This Row],[Product Code]],Product_Code,Unit_Price,0)</f>
        <v>5</v>
      </c>
      <c r="N886" s="31">
        <f>DATEDIF(Table2_1[[#This Row],[Buyer Date of Birth]],Table2_1[[#This Row],[Transaction  Date]],"Y")</f>
        <v>45</v>
      </c>
      <c r="O886" s="33">
        <v>1152</v>
      </c>
      <c r="P886" s="33">
        <f>Table2_1[[#This Row],[Quantity Purchased]]*Table2_1[[#This Row],[UnitPrice]]*(1-Table2_1[[#This Row],[Discount]])</f>
        <v>1728</v>
      </c>
      <c r="Q886" s="33">
        <f>Table2_1[[#This Row],[Revenue]]-Table2_1[[#This Row],[COGS]]</f>
        <v>576</v>
      </c>
      <c r="R886" s="39">
        <f>WEEKDAY(Table2_1[[#This Row],[Transaction  Date]])</f>
        <v>4</v>
      </c>
      <c r="S886" s="17" t="str">
        <f>IF(WEEKDAY(Table2_1[[#This Row],[Transaction  Date]],2)&lt;=5,"Weekday","Weekend")</f>
        <v>Weekday</v>
      </c>
      <c r="T886" s="37" t="str">
        <f>FLOOR(Table2_1[[#This Row],[Age]],15)&amp; "-"&amp; FLOOR(Table2_1[[#This Row],[Age]],15)+14</f>
        <v>45-59</v>
      </c>
    </row>
    <row r="887" spans="1:20" x14ac:dyDescent="0.3">
      <c r="A887" s="18">
        <v>45483</v>
      </c>
      <c r="B887" s="17" t="s">
        <v>1731</v>
      </c>
      <c r="C887" s="17" t="s">
        <v>71</v>
      </c>
      <c r="D887" s="18">
        <v>27643</v>
      </c>
      <c r="E887" s="16" t="s">
        <v>14</v>
      </c>
      <c r="F887" s="31">
        <v>360</v>
      </c>
      <c r="G887" s="17" t="s">
        <v>65</v>
      </c>
      <c r="H887" s="17" t="s">
        <v>52</v>
      </c>
      <c r="I887" s="17" t="s">
        <v>17</v>
      </c>
      <c r="J887" s="27">
        <v>0.1</v>
      </c>
      <c r="K887" s="17" t="s">
        <v>928</v>
      </c>
      <c r="L887" s="32">
        <v>3</v>
      </c>
      <c r="M887" s="32">
        <f>_xlfn.XLOOKUP(Table2_1[[#This Row],[Product Code]],Product_Code,Unit_Price,0)</f>
        <v>5</v>
      </c>
      <c r="N887" s="31">
        <f>DATEDIF(Table2_1[[#This Row],[Buyer Date of Birth]],Table2_1[[#This Row],[Transaction  Date]],"Y")</f>
        <v>48</v>
      </c>
      <c r="O887" s="33">
        <v>1080</v>
      </c>
      <c r="P887" s="33">
        <f>Table2_1[[#This Row],[Quantity Purchased]]*Table2_1[[#This Row],[UnitPrice]]*(1-Table2_1[[#This Row],[Discount]])</f>
        <v>1620</v>
      </c>
      <c r="Q887" s="33">
        <f>Table2_1[[#This Row],[Revenue]]-Table2_1[[#This Row],[COGS]]</f>
        <v>540</v>
      </c>
      <c r="R887" s="39">
        <f>WEEKDAY(Table2_1[[#This Row],[Transaction  Date]])</f>
        <v>4</v>
      </c>
      <c r="S887" s="17" t="str">
        <f>IF(WEEKDAY(Table2_1[[#This Row],[Transaction  Date]],2)&lt;=5,"Weekday","Weekend")</f>
        <v>Weekday</v>
      </c>
      <c r="T887" s="37" t="str">
        <f>FLOOR(Table2_1[[#This Row],[Age]],15)&amp; "-"&amp; FLOOR(Table2_1[[#This Row],[Age]],15)+14</f>
        <v>45-59</v>
      </c>
    </row>
    <row r="888" spans="1:20" x14ac:dyDescent="0.3">
      <c r="A888" s="18">
        <v>45483</v>
      </c>
      <c r="B888" s="17" t="s">
        <v>1732</v>
      </c>
      <c r="C888" s="17" t="s">
        <v>71</v>
      </c>
      <c r="D888" s="18">
        <v>31493</v>
      </c>
      <c r="E888" s="16" t="s">
        <v>14</v>
      </c>
      <c r="F888" s="31">
        <v>229</v>
      </c>
      <c r="G888" s="17" t="s">
        <v>15</v>
      </c>
      <c r="H888" s="17" t="s">
        <v>43</v>
      </c>
      <c r="I888" s="17" t="s">
        <v>17</v>
      </c>
      <c r="J888" s="27">
        <v>0.1</v>
      </c>
      <c r="K888" s="17" t="s">
        <v>929</v>
      </c>
      <c r="L888" s="32">
        <v>10</v>
      </c>
      <c r="M888" s="32">
        <f>_xlfn.XLOOKUP(Table2_1[[#This Row],[Product Code]],Product_Code,Unit_Price,0)</f>
        <v>14</v>
      </c>
      <c r="N888" s="31">
        <f>DATEDIF(Table2_1[[#This Row],[Buyer Date of Birth]],Table2_1[[#This Row],[Transaction  Date]],"Y")</f>
        <v>38</v>
      </c>
      <c r="O888" s="33">
        <v>2290</v>
      </c>
      <c r="P888" s="33">
        <f>Table2_1[[#This Row],[Quantity Purchased]]*Table2_1[[#This Row],[UnitPrice]]*(1-Table2_1[[#This Row],[Discount]])</f>
        <v>2885.4</v>
      </c>
      <c r="Q888" s="33">
        <f>Table2_1[[#This Row],[Revenue]]-Table2_1[[#This Row],[COGS]]</f>
        <v>595.40000000000009</v>
      </c>
      <c r="R888" s="39">
        <f>WEEKDAY(Table2_1[[#This Row],[Transaction  Date]])</f>
        <v>4</v>
      </c>
      <c r="S888" s="17" t="str">
        <f>IF(WEEKDAY(Table2_1[[#This Row],[Transaction  Date]],2)&lt;=5,"Weekday","Weekend")</f>
        <v>Weekday</v>
      </c>
      <c r="T888" s="37" t="str">
        <f>FLOOR(Table2_1[[#This Row],[Age]],15)&amp; "-"&amp; FLOOR(Table2_1[[#This Row],[Age]],15)+14</f>
        <v>30-44</v>
      </c>
    </row>
    <row r="889" spans="1:20" x14ac:dyDescent="0.3">
      <c r="A889" s="18">
        <v>45484</v>
      </c>
      <c r="B889" s="17" t="s">
        <v>1733</v>
      </c>
      <c r="C889" s="17" t="s">
        <v>51</v>
      </c>
      <c r="D889" s="18">
        <v>28869</v>
      </c>
      <c r="E889" s="16" t="s">
        <v>14</v>
      </c>
      <c r="F889" s="31">
        <v>250</v>
      </c>
      <c r="G889" s="17" t="s">
        <v>27</v>
      </c>
      <c r="H889" s="17" t="s">
        <v>52</v>
      </c>
      <c r="I889" s="17" t="s">
        <v>17</v>
      </c>
      <c r="J889" s="27">
        <v>0.1</v>
      </c>
      <c r="K889" s="17" t="s">
        <v>927</v>
      </c>
      <c r="L889" s="32">
        <v>18</v>
      </c>
      <c r="M889" s="32">
        <f>_xlfn.XLOOKUP(Table2_1[[#This Row],[Product Code]],Product_Code,Unit_Price,0)</f>
        <v>22</v>
      </c>
      <c r="N889" s="31">
        <f>DATEDIF(Table2_1[[#This Row],[Buyer Date of Birth]],Table2_1[[#This Row],[Transaction  Date]],"Y")</f>
        <v>45</v>
      </c>
      <c r="O889" s="33">
        <v>4500</v>
      </c>
      <c r="P889" s="33">
        <f>Table2_1[[#This Row],[Quantity Purchased]]*Table2_1[[#This Row],[UnitPrice]]*(1-Table2_1[[#This Row],[Discount]])</f>
        <v>4950</v>
      </c>
      <c r="Q889" s="33">
        <f>Table2_1[[#This Row],[Revenue]]-Table2_1[[#This Row],[COGS]]</f>
        <v>450</v>
      </c>
      <c r="R889" s="39">
        <f>WEEKDAY(Table2_1[[#This Row],[Transaction  Date]])</f>
        <v>5</v>
      </c>
      <c r="S889" s="17" t="str">
        <f>IF(WEEKDAY(Table2_1[[#This Row],[Transaction  Date]],2)&lt;=5,"Weekday","Weekend")</f>
        <v>Weekday</v>
      </c>
      <c r="T889" s="37" t="str">
        <f>FLOOR(Table2_1[[#This Row],[Age]],15)&amp; "-"&amp; FLOOR(Table2_1[[#This Row],[Age]],15)+14</f>
        <v>45-59</v>
      </c>
    </row>
    <row r="890" spans="1:20" x14ac:dyDescent="0.3">
      <c r="A890" s="18">
        <v>45484</v>
      </c>
      <c r="B890" s="17" t="s">
        <v>1734</v>
      </c>
      <c r="C890" s="17" t="s">
        <v>78</v>
      </c>
      <c r="D890" s="18">
        <v>38327</v>
      </c>
      <c r="E890" s="16" t="s">
        <v>68</v>
      </c>
      <c r="F890" s="31">
        <v>20</v>
      </c>
      <c r="G890" s="17" t="s">
        <v>64</v>
      </c>
      <c r="H890" s="17" t="s">
        <v>43</v>
      </c>
      <c r="I890" s="17" t="s">
        <v>17</v>
      </c>
      <c r="J890" s="27">
        <v>0.1</v>
      </c>
      <c r="K890" s="17" t="s">
        <v>933</v>
      </c>
      <c r="L890" s="32">
        <v>5</v>
      </c>
      <c r="M890" s="32">
        <f>_xlfn.XLOOKUP(Table2_1[[#This Row],[Product Code]],Product_Code,Unit_Price,0)</f>
        <v>7</v>
      </c>
      <c r="N890" s="31">
        <f>DATEDIF(Table2_1[[#This Row],[Buyer Date of Birth]],Table2_1[[#This Row],[Transaction  Date]],"Y")</f>
        <v>19</v>
      </c>
      <c r="O890" s="33">
        <v>100</v>
      </c>
      <c r="P890" s="33">
        <f>Table2_1[[#This Row],[Quantity Purchased]]*Table2_1[[#This Row],[UnitPrice]]*(1-Table2_1[[#This Row],[Discount]])</f>
        <v>126</v>
      </c>
      <c r="Q890" s="33">
        <f>Table2_1[[#This Row],[Revenue]]-Table2_1[[#This Row],[COGS]]</f>
        <v>26</v>
      </c>
      <c r="R890" s="39">
        <f>WEEKDAY(Table2_1[[#This Row],[Transaction  Date]])</f>
        <v>5</v>
      </c>
      <c r="S890" s="17" t="str">
        <f>IF(WEEKDAY(Table2_1[[#This Row],[Transaction  Date]],2)&lt;=5,"Weekday","Weekend")</f>
        <v>Weekday</v>
      </c>
      <c r="T890" s="37" t="str">
        <f>FLOOR(Table2_1[[#This Row],[Age]],15)&amp; "-"&amp; FLOOR(Table2_1[[#This Row],[Age]],15)+14</f>
        <v>15-29</v>
      </c>
    </row>
    <row r="891" spans="1:20" x14ac:dyDescent="0.3">
      <c r="A891" s="18">
        <v>45484</v>
      </c>
      <c r="B891" s="17" t="s">
        <v>1435</v>
      </c>
      <c r="C891" s="17" t="s">
        <v>38</v>
      </c>
      <c r="D891" s="18">
        <v>19598</v>
      </c>
      <c r="E891" s="16" t="s">
        <v>20</v>
      </c>
      <c r="F891" s="31">
        <v>493</v>
      </c>
      <c r="G891" s="17" t="s">
        <v>34</v>
      </c>
      <c r="H891" s="17" t="s">
        <v>28</v>
      </c>
      <c r="I891" s="17" t="s">
        <v>17</v>
      </c>
      <c r="J891" s="27">
        <v>0.1</v>
      </c>
      <c r="K891" s="17" t="s">
        <v>930</v>
      </c>
      <c r="L891" s="32">
        <v>14</v>
      </c>
      <c r="M891" s="32">
        <f>_xlfn.XLOOKUP(Table2_1[[#This Row],[Product Code]],Product_Code,Unit_Price,0)</f>
        <v>28</v>
      </c>
      <c r="N891" s="31">
        <f>DATEDIF(Table2_1[[#This Row],[Buyer Date of Birth]],Table2_1[[#This Row],[Transaction  Date]],"Y")</f>
        <v>70</v>
      </c>
      <c r="O891" s="33">
        <v>6902</v>
      </c>
      <c r="P891" s="33">
        <f>Table2_1[[#This Row],[Quantity Purchased]]*Table2_1[[#This Row],[UnitPrice]]*(1-Table2_1[[#This Row],[Discount]])</f>
        <v>12423.6</v>
      </c>
      <c r="Q891" s="33">
        <f>Table2_1[[#This Row],[Revenue]]-Table2_1[[#This Row],[COGS]]</f>
        <v>5521.6</v>
      </c>
      <c r="R891" s="39">
        <f>WEEKDAY(Table2_1[[#This Row],[Transaction  Date]])</f>
        <v>5</v>
      </c>
      <c r="S891" s="17" t="str">
        <f>IF(WEEKDAY(Table2_1[[#This Row],[Transaction  Date]],2)&lt;=5,"Weekday","Weekend")</f>
        <v>Weekday</v>
      </c>
      <c r="T891" s="37" t="str">
        <f>FLOOR(Table2_1[[#This Row],[Age]],15)&amp; "-"&amp; FLOOR(Table2_1[[#This Row],[Age]],15)+14</f>
        <v>60-74</v>
      </c>
    </row>
    <row r="892" spans="1:20" x14ac:dyDescent="0.3">
      <c r="A892" s="18">
        <v>45484</v>
      </c>
      <c r="B892" s="17" t="s">
        <v>1735</v>
      </c>
      <c r="C892" s="17" t="s">
        <v>26</v>
      </c>
      <c r="D892" s="18">
        <v>17952</v>
      </c>
      <c r="E892" s="16" t="s">
        <v>33</v>
      </c>
      <c r="F892" s="31">
        <v>181</v>
      </c>
      <c r="G892" s="17" t="s">
        <v>27</v>
      </c>
      <c r="H892" s="17" t="s">
        <v>48</v>
      </c>
      <c r="I892" s="17" t="s">
        <v>17</v>
      </c>
      <c r="J892" s="27">
        <v>0.1</v>
      </c>
      <c r="K892" s="17" t="s">
        <v>927</v>
      </c>
      <c r="L892" s="32">
        <v>18</v>
      </c>
      <c r="M892" s="32">
        <f>_xlfn.XLOOKUP(Table2_1[[#This Row],[Product Code]],Product_Code,Unit_Price,0)</f>
        <v>22</v>
      </c>
      <c r="N892" s="31">
        <f>DATEDIF(Table2_1[[#This Row],[Buyer Date of Birth]],Table2_1[[#This Row],[Transaction  Date]],"Y")</f>
        <v>75</v>
      </c>
      <c r="O892" s="33">
        <v>3258</v>
      </c>
      <c r="P892" s="33">
        <f>Table2_1[[#This Row],[Quantity Purchased]]*Table2_1[[#This Row],[UnitPrice]]*(1-Table2_1[[#This Row],[Discount]])</f>
        <v>3583.8</v>
      </c>
      <c r="Q892" s="33">
        <f>Table2_1[[#This Row],[Revenue]]-Table2_1[[#This Row],[COGS]]</f>
        <v>325.80000000000018</v>
      </c>
      <c r="R892" s="39">
        <f>WEEKDAY(Table2_1[[#This Row],[Transaction  Date]])</f>
        <v>5</v>
      </c>
      <c r="S892" s="17" t="str">
        <f>IF(WEEKDAY(Table2_1[[#This Row],[Transaction  Date]],2)&lt;=5,"Weekday","Weekend")</f>
        <v>Weekday</v>
      </c>
      <c r="T892" s="37" t="str">
        <f>FLOOR(Table2_1[[#This Row],[Age]],15)&amp; "-"&amp; FLOOR(Table2_1[[#This Row],[Age]],15)+14</f>
        <v>75-89</v>
      </c>
    </row>
    <row r="893" spans="1:20" x14ac:dyDescent="0.3">
      <c r="A893" s="18">
        <v>45484</v>
      </c>
      <c r="B893" s="17" t="s">
        <v>1736</v>
      </c>
      <c r="C893" s="17" t="s">
        <v>78</v>
      </c>
      <c r="D893" s="18">
        <v>32829</v>
      </c>
      <c r="E893" s="16" t="s">
        <v>68</v>
      </c>
      <c r="F893" s="31">
        <v>453</v>
      </c>
      <c r="G893" s="17" t="s">
        <v>34</v>
      </c>
      <c r="H893" s="17" t="s">
        <v>48</v>
      </c>
      <c r="I893" s="17" t="s">
        <v>17</v>
      </c>
      <c r="J893" s="27">
        <v>0.1</v>
      </c>
      <c r="K893" s="17" t="s">
        <v>930</v>
      </c>
      <c r="L893" s="32">
        <v>14</v>
      </c>
      <c r="M893" s="32">
        <f>_xlfn.XLOOKUP(Table2_1[[#This Row],[Product Code]],Product_Code,Unit_Price,0)</f>
        <v>28</v>
      </c>
      <c r="N893" s="31">
        <f>DATEDIF(Table2_1[[#This Row],[Buyer Date of Birth]],Table2_1[[#This Row],[Transaction  Date]],"Y")</f>
        <v>34</v>
      </c>
      <c r="O893" s="33">
        <v>6342</v>
      </c>
      <c r="P893" s="33">
        <f>Table2_1[[#This Row],[Quantity Purchased]]*Table2_1[[#This Row],[UnitPrice]]*(1-Table2_1[[#This Row],[Discount]])</f>
        <v>11415.6</v>
      </c>
      <c r="Q893" s="33">
        <f>Table2_1[[#This Row],[Revenue]]-Table2_1[[#This Row],[COGS]]</f>
        <v>5073.6000000000004</v>
      </c>
      <c r="R893" s="39">
        <f>WEEKDAY(Table2_1[[#This Row],[Transaction  Date]])</f>
        <v>5</v>
      </c>
      <c r="S893" s="17" t="str">
        <f>IF(WEEKDAY(Table2_1[[#This Row],[Transaction  Date]],2)&lt;=5,"Weekday","Weekend")</f>
        <v>Weekday</v>
      </c>
      <c r="T893" s="37" t="str">
        <f>FLOOR(Table2_1[[#This Row],[Age]],15)&amp; "-"&amp; FLOOR(Table2_1[[#This Row],[Age]],15)+14</f>
        <v>30-44</v>
      </c>
    </row>
    <row r="894" spans="1:20" x14ac:dyDescent="0.3">
      <c r="A894" s="18">
        <v>45484</v>
      </c>
      <c r="B894" s="17" t="s">
        <v>1623</v>
      </c>
      <c r="C894" s="17" t="s">
        <v>51</v>
      </c>
      <c r="D894" s="18">
        <v>28234</v>
      </c>
      <c r="E894" s="16" t="s">
        <v>14</v>
      </c>
      <c r="F894" s="31">
        <v>170</v>
      </c>
      <c r="G894" s="17" t="s">
        <v>56</v>
      </c>
      <c r="H894" s="17" t="s">
        <v>35</v>
      </c>
      <c r="I894" s="17" t="s">
        <v>17</v>
      </c>
      <c r="J894" s="27">
        <v>0.1</v>
      </c>
      <c r="K894" s="17" t="s">
        <v>935</v>
      </c>
      <c r="L894" s="32">
        <v>18</v>
      </c>
      <c r="M894" s="32">
        <f>_xlfn.XLOOKUP(Table2_1[[#This Row],[Product Code]],Product_Code,Unit_Price,0)</f>
        <v>36</v>
      </c>
      <c r="N894" s="31">
        <f>DATEDIF(Table2_1[[#This Row],[Buyer Date of Birth]],Table2_1[[#This Row],[Transaction  Date]],"Y")</f>
        <v>47</v>
      </c>
      <c r="O894" s="33">
        <v>3060</v>
      </c>
      <c r="P894" s="33">
        <f>Table2_1[[#This Row],[Quantity Purchased]]*Table2_1[[#This Row],[UnitPrice]]*(1-Table2_1[[#This Row],[Discount]])</f>
        <v>5508</v>
      </c>
      <c r="Q894" s="33">
        <f>Table2_1[[#This Row],[Revenue]]-Table2_1[[#This Row],[COGS]]</f>
        <v>2448</v>
      </c>
      <c r="R894" s="39">
        <f>WEEKDAY(Table2_1[[#This Row],[Transaction  Date]])</f>
        <v>5</v>
      </c>
      <c r="S894" s="17" t="str">
        <f>IF(WEEKDAY(Table2_1[[#This Row],[Transaction  Date]],2)&lt;=5,"Weekday","Weekend")</f>
        <v>Weekday</v>
      </c>
      <c r="T894" s="37" t="str">
        <f>FLOOR(Table2_1[[#This Row],[Age]],15)&amp; "-"&amp; FLOOR(Table2_1[[#This Row],[Age]],15)+14</f>
        <v>45-59</v>
      </c>
    </row>
    <row r="895" spans="1:20" x14ac:dyDescent="0.3">
      <c r="A895" s="18">
        <v>45485</v>
      </c>
      <c r="B895" s="17" t="s">
        <v>1737</v>
      </c>
      <c r="C895" s="17" t="s">
        <v>71</v>
      </c>
      <c r="D895" s="18">
        <v>20675</v>
      </c>
      <c r="E895" s="16" t="s">
        <v>68</v>
      </c>
      <c r="F895" s="31">
        <v>321</v>
      </c>
      <c r="G895" s="17" t="s">
        <v>64</v>
      </c>
      <c r="H895" s="17" t="s">
        <v>52</v>
      </c>
      <c r="I895" s="17" t="s">
        <v>23</v>
      </c>
      <c r="J895" s="27">
        <v>0.1</v>
      </c>
      <c r="K895" s="17" t="s">
        <v>933</v>
      </c>
      <c r="L895" s="32">
        <v>5</v>
      </c>
      <c r="M895" s="32">
        <f>_xlfn.XLOOKUP(Table2_1[[#This Row],[Product Code]],Product_Code,Unit_Price,0)</f>
        <v>7</v>
      </c>
      <c r="N895" s="31">
        <f>DATEDIF(Table2_1[[#This Row],[Buyer Date of Birth]],Table2_1[[#This Row],[Transaction  Date]],"Y")</f>
        <v>67</v>
      </c>
      <c r="O895" s="33">
        <v>1605</v>
      </c>
      <c r="P895" s="33">
        <f>Table2_1[[#This Row],[Quantity Purchased]]*Table2_1[[#This Row],[UnitPrice]]*(1-Table2_1[[#This Row],[Discount]])</f>
        <v>2022.3</v>
      </c>
      <c r="Q895" s="33">
        <f>Table2_1[[#This Row],[Revenue]]-Table2_1[[#This Row],[COGS]]</f>
        <v>417.29999999999995</v>
      </c>
      <c r="R895" s="39">
        <f>WEEKDAY(Table2_1[[#This Row],[Transaction  Date]])</f>
        <v>6</v>
      </c>
      <c r="S895" s="17" t="str">
        <f>IF(WEEKDAY(Table2_1[[#This Row],[Transaction  Date]],2)&lt;=5,"Weekday","Weekend")</f>
        <v>Weekday</v>
      </c>
      <c r="T895" s="37" t="str">
        <f>FLOOR(Table2_1[[#This Row],[Age]],15)&amp; "-"&amp; FLOOR(Table2_1[[#This Row],[Age]],15)+14</f>
        <v>60-74</v>
      </c>
    </row>
    <row r="896" spans="1:20" x14ac:dyDescent="0.3">
      <c r="A896" s="18">
        <v>45485</v>
      </c>
      <c r="B896" s="17" t="s">
        <v>1738</v>
      </c>
      <c r="C896" s="17" t="s">
        <v>46</v>
      </c>
      <c r="D896" s="18">
        <v>24905</v>
      </c>
      <c r="E896" s="16" t="s">
        <v>68</v>
      </c>
      <c r="F896" s="31">
        <v>278</v>
      </c>
      <c r="G896" s="17" t="s">
        <v>27</v>
      </c>
      <c r="H896" s="17" t="s">
        <v>28</v>
      </c>
      <c r="I896" s="17" t="s">
        <v>17</v>
      </c>
      <c r="J896" s="27">
        <v>0.1</v>
      </c>
      <c r="K896" s="17" t="s">
        <v>927</v>
      </c>
      <c r="L896" s="32">
        <v>18</v>
      </c>
      <c r="M896" s="32">
        <f>_xlfn.XLOOKUP(Table2_1[[#This Row],[Product Code]],Product_Code,Unit_Price,0)</f>
        <v>22</v>
      </c>
      <c r="N896" s="31">
        <f>DATEDIF(Table2_1[[#This Row],[Buyer Date of Birth]],Table2_1[[#This Row],[Transaction  Date]],"Y")</f>
        <v>56</v>
      </c>
      <c r="O896" s="33">
        <v>5004</v>
      </c>
      <c r="P896" s="33">
        <f>Table2_1[[#This Row],[Quantity Purchased]]*Table2_1[[#This Row],[UnitPrice]]*(1-Table2_1[[#This Row],[Discount]])</f>
        <v>5504.4000000000005</v>
      </c>
      <c r="Q896" s="33">
        <f>Table2_1[[#This Row],[Revenue]]-Table2_1[[#This Row],[COGS]]</f>
        <v>500.40000000000055</v>
      </c>
      <c r="R896" s="39">
        <f>WEEKDAY(Table2_1[[#This Row],[Transaction  Date]])</f>
        <v>6</v>
      </c>
      <c r="S896" s="17" t="str">
        <f>IF(WEEKDAY(Table2_1[[#This Row],[Transaction  Date]],2)&lt;=5,"Weekday","Weekend")</f>
        <v>Weekday</v>
      </c>
      <c r="T896" s="37" t="str">
        <f>FLOOR(Table2_1[[#This Row],[Age]],15)&amp; "-"&amp; FLOOR(Table2_1[[#This Row],[Age]],15)+14</f>
        <v>45-59</v>
      </c>
    </row>
    <row r="897" spans="1:20" x14ac:dyDescent="0.3">
      <c r="A897" s="18">
        <v>45485</v>
      </c>
      <c r="B897" s="17" t="s">
        <v>1739</v>
      </c>
      <c r="C897" s="17" t="s">
        <v>26</v>
      </c>
      <c r="D897" s="18">
        <v>17965</v>
      </c>
      <c r="E897" s="16" t="s">
        <v>33</v>
      </c>
      <c r="F897" s="31">
        <v>482</v>
      </c>
      <c r="G897" s="17" t="s">
        <v>65</v>
      </c>
      <c r="H897" s="17" t="s">
        <v>52</v>
      </c>
      <c r="I897" s="17" t="s">
        <v>17</v>
      </c>
      <c r="J897" s="27">
        <v>0.1</v>
      </c>
      <c r="K897" s="17" t="s">
        <v>928</v>
      </c>
      <c r="L897" s="32">
        <v>3</v>
      </c>
      <c r="M897" s="32">
        <f>_xlfn.XLOOKUP(Table2_1[[#This Row],[Product Code]],Product_Code,Unit_Price,0)</f>
        <v>5</v>
      </c>
      <c r="N897" s="31">
        <f>DATEDIF(Table2_1[[#This Row],[Buyer Date of Birth]],Table2_1[[#This Row],[Transaction  Date]],"Y")</f>
        <v>75</v>
      </c>
      <c r="O897" s="33">
        <v>1446</v>
      </c>
      <c r="P897" s="33">
        <f>Table2_1[[#This Row],[Quantity Purchased]]*Table2_1[[#This Row],[UnitPrice]]*(1-Table2_1[[#This Row],[Discount]])</f>
        <v>2169</v>
      </c>
      <c r="Q897" s="33">
        <f>Table2_1[[#This Row],[Revenue]]-Table2_1[[#This Row],[COGS]]</f>
        <v>723</v>
      </c>
      <c r="R897" s="39">
        <f>WEEKDAY(Table2_1[[#This Row],[Transaction  Date]])</f>
        <v>6</v>
      </c>
      <c r="S897" s="17" t="str">
        <f>IF(WEEKDAY(Table2_1[[#This Row],[Transaction  Date]],2)&lt;=5,"Weekday","Weekend")</f>
        <v>Weekday</v>
      </c>
      <c r="T897" s="37" t="str">
        <f>FLOOR(Table2_1[[#This Row],[Age]],15)&amp; "-"&amp; FLOOR(Table2_1[[#This Row],[Age]],15)+14</f>
        <v>75-89</v>
      </c>
    </row>
    <row r="898" spans="1:20" x14ac:dyDescent="0.3">
      <c r="A898" s="18">
        <v>45485</v>
      </c>
      <c r="B898" s="17" t="s">
        <v>1740</v>
      </c>
      <c r="C898" s="17" t="s">
        <v>46</v>
      </c>
      <c r="D898" s="18">
        <v>29628</v>
      </c>
      <c r="E898" s="16" t="s">
        <v>20</v>
      </c>
      <c r="F898" s="31">
        <v>66</v>
      </c>
      <c r="G898" s="17" t="s">
        <v>27</v>
      </c>
      <c r="H898" s="17" t="s">
        <v>48</v>
      </c>
      <c r="I898" s="17" t="s">
        <v>17</v>
      </c>
      <c r="J898" s="27">
        <v>0.1</v>
      </c>
      <c r="K898" s="17" t="s">
        <v>927</v>
      </c>
      <c r="L898" s="32">
        <v>18</v>
      </c>
      <c r="M898" s="32">
        <f>_xlfn.XLOOKUP(Table2_1[[#This Row],[Product Code]],Product_Code,Unit_Price,0)</f>
        <v>22</v>
      </c>
      <c r="N898" s="31">
        <f>DATEDIF(Table2_1[[#This Row],[Buyer Date of Birth]],Table2_1[[#This Row],[Transaction  Date]],"Y")</f>
        <v>43</v>
      </c>
      <c r="O898" s="33">
        <v>1188</v>
      </c>
      <c r="P898" s="33">
        <f>Table2_1[[#This Row],[Quantity Purchased]]*Table2_1[[#This Row],[UnitPrice]]*(1-Table2_1[[#This Row],[Discount]])</f>
        <v>1306.8</v>
      </c>
      <c r="Q898" s="33">
        <f>Table2_1[[#This Row],[Revenue]]-Table2_1[[#This Row],[COGS]]</f>
        <v>118.79999999999995</v>
      </c>
      <c r="R898" s="39">
        <f>WEEKDAY(Table2_1[[#This Row],[Transaction  Date]])</f>
        <v>6</v>
      </c>
      <c r="S898" s="17" t="str">
        <f>IF(WEEKDAY(Table2_1[[#This Row],[Transaction  Date]],2)&lt;=5,"Weekday","Weekend")</f>
        <v>Weekday</v>
      </c>
      <c r="T898" s="37" t="str">
        <f>FLOOR(Table2_1[[#This Row],[Age]],15)&amp; "-"&amp; FLOOR(Table2_1[[#This Row],[Age]],15)+14</f>
        <v>30-44</v>
      </c>
    </row>
    <row r="899" spans="1:20" x14ac:dyDescent="0.3">
      <c r="A899" s="18">
        <v>45485</v>
      </c>
      <c r="B899" s="17" t="s">
        <v>1741</v>
      </c>
      <c r="C899" s="17" t="s">
        <v>46</v>
      </c>
      <c r="D899" s="18">
        <v>38520</v>
      </c>
      <c r="E899" s="16" t="s">
        <v>33</v>
      </c>
      <c r="F899" s="31">
        <v>26</v>
      </c>
      <c r="G899" s="17" t="s">
        <v>21</v>
      </c>
      <c r="H899" s="17" t="s">
        <v>52</v>
      </c>
      <c r="I899" s="17" t="s">
        <v>17</v>
      </c>
      <c r="J899" s="27">
        <v>0.1</v>
      </c>
      <c r="K899" s="17" t="s">
        <v>934</v>
      </c>
      <c r="L899" s="32">
        <v>10</v>
      </c>
      <c r="M899" s="32">
        <f>_xlfn.XLOOKUP(Table2_1[[#This Row],[Product Code]],Product_Code,Unit_Price,0)</f>
        <v>45</v>
      </c>
      <c r="N899" s="31">
        <f>DATEDIF(Table2_1[[#This Row],[Buyer Date of Birth]],Table2_1[[#This Row],[Transaction  Date]],"Y")</f>
        <v>19</v>
      </c>
      <c r="O899" s="33">
        <v>260</v>
      </c>
      <c r="P899" s="33">
        <f>Table2_1[[#This Row],[Quantity Purchased]]*Table2_1[[#This Row],[UnitPrice]]*(1-Table2_1[[#This Row],[Discount]])</f>
        <v>1053</v>
      </c>
      <c r="Q899" s="33">
        <f>Table2_1[[#This Row],[Revenue]]-Table2_1[[#This Row],[COGS]]</f>
        <v>793</v>
      </c>
      <c r="R899" s="39">
        <f>WEEKDAY(Table2_1[[#This Row],[Transaction  Date]])</f>
        <v>6</v>
      </c>
      <c r="S899" s="17" t="str">
        <f>IF(WEEKDAY(Table2_1[[#This Row],[Transaction  Date]],2)&lt;=5,"Weekday","Weekend")</f>
        <v>Weekday</v>
      </c>
      <c r="T899" s="37" t="str">
        <f>FLOOR(Table2_1[[#This Row],[Age]],15)&amp; "-"&amp; FLOOR(Table2_1[[#This Row],[Age]],15)+14</f>
        <v>15-29</v>
      </c>
    </row>
    <row r="900" spans="1:20" x14ac:dyDescent="0.3">
      <c r="A900" s="18">
        <v>45485</v>
      </c>
      <c r="B900" s="17" t="s">
        <v>1891</v>
      </c>
      <c r="C900" s="17" t="s">
        <v>55</v>
      </c>
      <c r="D900" s="18">
        <v>20756</v>
      </c>
      <c r="E900" s="16" t="s">
        <v>20</v>
      </c>
      <c r="F900" s="31">
        <v>421</v>
      </c>
      <c r="G900" s="17" t="s">
        <v>56</v>
      </c>
      <c r="H900" s="17" t="s">
        <v>52</v>
      </c>
      <c r="I900" s="17" t="s">
        <v>17</v>
      </c>
      <c r="J900" s="27">
        <v>0.1</v>
      </c>
      <c r="K900" s="17" t="s">
        <v>935</v>
      </c>
      <c r="L900" s="32">
        <v>18</v>
      </c>
      <c r="M900" s="32">
        <f>_xlfn.XLOOKUP(Table2_1[[#This Row],[Product Code]],Product_Code,Unit_Price,0)</f>
        <v>36</v>
      </c>
      <c r="N900" s="31">
        <f>DATEDIF(Table2_1[[#This Row],[Buyer Date of Birth]],Table2_1[[#This Row],[Transaction  Date]],"Y")</f>
        <v>67</v>
      </c>
      <c r="O900" s="33">
        <v>7578</v>
      </c>
      <c r="P900" s="33">
        <f>Table2_1[[#This Row],[Quantity Purchased]]*Table2_1[[#This Row],[UnitPrice]]*(1-Table2_1[[#This Row],[Discount]])</f>
        <v>13640.4</v>
      </c>
      <c r="Q900" s="33">
        <f>Table2_1[[#This Row],[Revenue]]-Table2_1[[#This Row],[COGS]]</f>
        <v>6062.4</v>
      </c>
      <c r="R900" s="39">
        <f>WEEKDAY(Table2_1[[#This Row],[Transaction  Date]])</f>
        <v>6</v>
      </c>
      <c r="S900" s="17" t="str">
        <f>IF(WEEKDAY(Table2_1[[#This Row],[Transaction  Date]],2)&lt;=5,"Weekday","Weekend")</f>
        <v>Weekday</v>
      </c>
      <c r="T900" s="37" t="str">
        <f>FLOOR(Table2_1[[#This Row],[Age]],15)&amp; "-"&amp; FLOOR(Table2_1[[#This Row],[Age]],15)+14</f>
        <v>60-74</v>
      </c>
    </row>
    <row r="901" spans="1:20" x14ac:dyDescent="0.3">
      <c r="A901" s="18">
        <v>45485</v>
      </c>
      <c r="B901" s="17" t="s">
        <v>1742</v>
      </c>
      <c r="C901" s="17" t="s">
        <v>13</v>
      </c>
      <c r="D901" s="18">
        <v>22832</v>
      </c>
      <c r="E901" s="16" t="s">
        <v>68</v>
      </c>
      <c r="F901" s="31">
        <v>110</v>
      </c>
      <c r="G901" s="17" t="s">
        <v>47</v>
      </c>
      <c r="H901" s="17" t="s">
        <v>48</v>
      </c>
      <c r="I901" s="17" t="s">
        <v>17</v>
      </c>
      <c r="J901" s="27">
        <v>0.1</v>
      </c>
      <c r="K901" s="17" t="s">
        <v>931</v>
      </c>
      <c r="L901" s="32">
        <v>7</v>
      </c>
      <c r="M901" s="32">
        <f>_xlfn.XLOOKUP(Table2_1[[#This Row],[Product Code]],Product_Code,Unit_Price,0)</f>
        <v>9</v>
      </c>
      <c r="N901" s="31">
        <f>DATEDIF(Table2_1[[#This Row],[Buyer Date of Birth]],Table2_1[[#This Row],[Transaction  Date]],"Y")</f>
        <v>62</v>
      </c>
      <c r="O901" s="33">
        <v>770</v>
      </c>
      <c r="P901" s="33">
        <f>Table2_1[[#This Row],[Quantity Purchased]]*Table2_1[[#This Row],[UnitPrice]]*(1-Table2_1[[#This Row],[Discount]])</f>
        <v>891</v>
      </c>
      <c r="Q901" s="33">
        <f>Table2_1[[#This Row],[Revenue]]-Table2_1[[#This Row],[COGS]]</f>
        <v>121</v>
      </c>
      <c r="R901" s="39">
        <f>WEEKDAY(Table2_1[[#This Row],[Transaction  Date]])</f>
        <v>6</v>
      </c>
      <c r="S901" s="17" t="str">
        <f>IF(WEEKDAY(Table2_1[[#This Row],[Transaction  Date]],2)&lt;=5,"Weekday","Weekend")</f>
        <v>Weekday</v>
      </c>
      <c r="T901" s="37" t="str">
        <f>FLOOR(Table2_1[[#This Row],[Age]],15)&amp; "-"&amp; FLOOR(Table2_1[[#This Row],[Age]],15)+14</f>
        <v>60-74</v>
      </c>
    </row>
    <row r="902" spans="1:20" x14ac:dyDescent="0.3">
      <c r="A902" s="18">
        <v>45486</v>
      </c>
      <c r="B902" s="17" t="s">
        <v>1743</v>
      </c>
      <c r="C902" s="17" t="s">
        <v>71</v>
      </c>
      <c r="D902" s="18">
        <v>35846</v>
      </c>
      <c r="E902" s="16" t="s">
        <v>14</v>
      </c>
      <c r="F902" s="31">
        <v>263</v>
      </c>
      <c r="G902" s="17" t="s">
        <v>21</v>
      </c>
      <c r="H902" s="17" t="s">
        <v>43</v>
      </c>
      <c r="I902" s="17" t="s">
        <v>17</v>
      </c>
      <c r="J902" s="27">
        <v>0.1</v>
      </c>
      <c r="K902" s="17" t="s">
        <v>934</v>
      </c>
      <c r="L902" s="32">
        <v>10</v>
      </c>
      <c r="M902" s="32">
        <f>_xlfn.XLOOKUP(Table2_1[[#This Row],[Product Code]],Product_Code,Unit_Price,0)</f>
        <v>45</v>
      </c>
      <c r="N902" s="31">
        <f>DATEDIF(Table2_1[[#This Row],[Buyer Date of Birth]],Table2_1[[#This Row],[Transaction  Date]],"Y")</f>
        <v>26</v>
      </c>
      <c r="O902" s="33">
        <v>2630</v>
      </c>
      <c r="P902" s="33">
        <f>Table2_1[[#This Row],[Quantity Purchased]]*Table2_1[[#This Row],[UnitPrice]]*(1-Table2_1[[#This Row],[Discount]])</f>
        <v>10651.5</v>
      </c>
      <c r="Q902" s="33">
        <f>Table2_1[[#This Row],[Revenue]]-Table2_1[[#This Row],[COGS]]</f>
        <v>8021.5</v>
      </c>
      <c r="R902" s="39">
        <f>WEEKDAY(Table2_1[[#This Row],[Transaction  Date]])</f>
        <v>7</v>
      </c>
      <c r="S902" s="17" t="str">
        <f>IF(WEEKDAY(Table2_1[[#This Row],[Transaction  Date]],2)&lt;=5,"Weekday","Weekend")</f>
        <v>Weekend</v>
      </c>
      <c r="T902" s="37" t="str">
        <f>FLOOR(Table2_1[[#This Row],[Age]],15)&amp; "-"&amp; FLOOR(Table2_1[[#This Row],[Age]],15)+14</f>
        <v>15-29</v>
      </c>
    </row>
    <row r="903" spans="1:20" x14ac:dyDescent="0.3">
      <c r="A903" s="18">
        <v>45486</v>
      </c>
      <c r="B903" s="17" t="s">
        <v>1744</v>
      </c>
      <c r="C903" s="17" t="s">
        <v>78</v>
      </c>
      <c r="D903" s="18">
        <v>29446</v>
      </c>
      <c r="E903" s="16" t="s">
        <v>20</v>
      </c>
      <c r="F903" s="31">
        <v>65</v>
      </c>
      <c r="G903" s="17" t="s">
        <v>21</v>
      </c>
      <c r="H903" s="17" t="s">
        <v>52</v>
      </c>
      <c r="I903" s="17" t="s">
        <v>17</v>
      </c>
      <c r="J903" s="27">
        <v>0.1</v>
      </c>
      <c r="K903" s="17" t="s">
        <v>934</v>
      </c>
      <c r="L903" s="32">
        <v>10</v>
      </c>
      <c r="M903" s="32">
        <f>_xlfn.XLOOKUP(Table2_1[[#This Row],[Product Code]],Product_Code,Unit_Price,0)</f>
        <v>45</v>
      </c>
      <c r="N903" s="31">
        <f>DATEDIF(Table2_1[[#This Row],[Buyer Date of Birth]],Table2_1[[#This Row],[Transaction  Date]],"Y")</f>
        <v>43</v>
      </c>
      <c r="O903" s="33">
        <v>650</v>
      </c>
      <c r="P903" s="33">
        <f>Table2_1[[#This Row],[Quantity Purchased]]*Table2_1[[#This Row],[UnitPrice]]*(1-Table2_1[[#This Row],[Discount]])</f>
        <v>2632.5</v>
      </c>
      <c r="Q903" s="33">
        <f>Table2_1[[#This Row],[Revenue]]-Table2_1[[#This Row],[COGS]]</f>
        <v>1982.5</v>
      </c>
      <c r="R903" s="39">
        <f>WEEKDAY(Table2_1[[#This Row],[Transaction  Date]])</f>
        <v>7</v>
      </c>
      <c r="S903" s="17" t="str">
        <f>IF(WEEKDAY(Table2_1[[#This Row],[Transaction  Date]],2)&lt;=5,"Weekday","Weekend")</f>
        <v>Weekend</v>
      </c>
      <c r="T903" s="37" t="str">
        <f>FLOOR(Table2_1[[#This Row],[Age]],15)&amp; "-"&amp; FLOOR(Table2_1[[#This Row],[Age]],15)+14</f>
        <v>30-44</v>
      </c>
    </row>
    <row r="904" spans="1:20" x14ac:dyDescent="0.3">
      <c r="A904" s="18">
        <v>45486</v>
      </c>
      <c r="B904" s="17" t="s">
        <v>1745</v>
      </c>
      <c r="C904" s="17" t="s">
        <v>38</v>
      </c>
      <c r="D904" s="18">
        <v>26114</v>
      </c>
      <c r="E904" s="16" t="s">
        <v>14</v>
      </c>
      <c r="F904" s="31">
        <v>107</v>
      </c>
      <c r="G904" s="17" t="s">
        <v>27</v>
      </c>
      <c r="H904" s="17" t="s">
        <v>35</v>
      </c>
      <c r="I904" s="17" t="s">
        <v>17</v>
      </c>
      <c r="J904" s="27">
        <v>0.1</v>
      </c>
      <c r="K904" s="17" t="s">
        <v>927</v>
      </c>
      <c r="L904" s="32">
        <v>18</v>
      </c>
      <c r="M904" s="32">
        <f>_xlfn.XLOOKUP(Table2_1[[#This Row],[Product Code]],Product_Code,Unit_Price,0)</f>
        <v>22</v>
      </c>
      <c r="N904" s="31">
        <f>DATEDIF(Table2_1[[#This Row],[Buyer Date of Birth]],Table2_1[[#This Row],[Transaction  Date]],"Y")</f>
        <v>53</v>
      </c>
      <c r="O904" s="33">
        <v>1926</v>
      </c>
      <c r="P904" s="33">
        <f>Table2_1[[#This Row],[Quantity Purchased]]*Table2_1[[#This Row],[UnitPrice]]*(1-Table2_1[[#This Row],[Discount]])</f>
        <v>2118.6</v>
      </c>
      <c r="Q904" s="33">
        <f>Table2_1[[#This Row],[Revenue]]-Table2_1[[#This Row],[COGS]]</f>
        <v>192.59999999999991</v>
      </c>
      <c r="R904" s="39">
        <f>WEEKDAY(Table2_1[[#This Row],[Transaction  Date]])</f>
        <v>7</v>
      </c>
      <c r="S904" s="17" t="str">
        <f>IF(WEEKDAY(Table2_1[[#This Row],[Transaction  Date]],2)&lt;=5,"Weekday","Weekend")</f>
        <v>Weekend</v>
      </c>
      <c r="T904" s="37" t="str">
        <f>FLOOR(Table2_1[[#This Row],[Age]],15)&amp; "-"&amp; FLOOR(Table2_1[[#This Row],[Age]],15)+14</f>
        <v>45-59</v>
      </c>
    </row>
    <row r="905" spans="1:20" x14ac:dyDescent="0.3">
      <c r="A905" s="18">
        <v>45486</v>
      </c>
      <c r="B905" s="17" t="s">
        <v>1746</v>
      </c>
      <c r="C905" s="17" t="s">
        <v>13</v>
      </c>
      <c r="D905" s="18">
        <v>24082</v>
      </c>
      <c r="E905" s="16" t="s">
        <v>68</v>
      </c>
      <c r="F905" s="31">
        <v>452</v>
      </c>
      <c r="G905" s="17" t="s">
        <v>64</v>
      </c>
      <c r="H905" s="17" t="s">
        <v>35</v>
      </c>
      <c r="I905" s="17" t="s">
        <v>17</v>
      </c>
      <c r="J905" s="27">
        <v>0.1</v>
      </c>
      <c r="K905" s="17" t="s">
        <v>933</v>
      </c>
      <c r="L905" s="32">
        <v>5</v>
      </c>
      <c r="M905" s="32">
        <f>_xlfn.XLOOKUP(Table2_1[[#This Row],[Product Code]],Product_Code,Unit_Price,0)</f>
        <v>7</v>
      </c>
      <c r="N905" s="31">
        <f>DATEDIF(Table2_1[[#This Row],[Buyer Date of Birth]],Table2_1[[#This Row],[Transaction  Date]],"Y")</f>
        <v>58</v>
      </c>
      <c r="O905" s="33">
        <v>2260</v>
      </c>
      <c r="P905" s="33">
        <f>Table2_1[[#This Row],[Quantity Purchased]]*Table2_1[[#This Row],[UnitPrice]]*(1-Table2_1[[#This Row],[Discount]])</f>
        <v>2847.6</v>
      </c>
      <c r="Q905" s="33">
        <f>Table2_1[[#This Row],[Revenue]]-Table2_1[[#This Row],[COGS]]</f>
        <v>587.59999999999991</v>
      </c>
      <c r="R905" s="39">
        <f>WEEKDAY(Table2_1[[#This Row],[Transaction  Date]])</f>
        <v>7</v>
      </c>
      <c r="S905" s="17" t="str">
        <f>IF(WEEKDAY(Table2_1[[#This Row],[Transaction  Date]],2)&lt;=5,"Weekday","Weekend")</f>
        <v>Weekend</v>
      </c>
      <c r="T905" s="37" t="str">
        <f>FLOOR(Table2_1[[#This Row],[Age]],15)&amp; "-"&amp; FLOOR(Table2_1[[#This Row],[Age]],15)+14</f>
        <v>45-59</v>
      </c>
    </row>
    <row r="906" spans="1:20" x14ac:dyDescent="0.3">
      <c r="A906" s="18">
        <v>45486</v>
      </c>
      <c r="B906" s="17" t="s">
        <v>1747</v>
      </c>
      <c r="C906" s="17" t="s">
        <v>46</v>
      </c>
      <c r="D906" s="18">
        <v>28513</v>
      </c>
      <c r="E906" s="16" t="s">
        <v>20</v>
      </c>
      <c r="F906" s="31">
        <v>336</v>
      </c>
      <c r="G906" s="17" t="s">
        <v>56</v>
      </c>
      <c r="H906" s="17" t="s">
        <v>52</v>
      </c>
      <c r="I906" s="17" t="s">
        <v>17</v>
      </c>
      <c r="J906" s="27">
        <v>0.1</v>
      </c>
      <c r="K906" s="17" t="s">
        <v>935</v>
      </c>
      <c r="L906" s="32">
        <v>18</v>
      </c>
      <c r="M906" s="32">
        <f>_xlfn.XLOOKUP(Table2_1[[#This Row],[Product Code]],Product_Code,Unit_Price,0)</f>
        <v>36</v>
      </c>
      <c r="N906" s="31">
        <f>DATEDIF(Table2_1[[#This Row],[Buyer Date of Birth]],Table2_1[[#This Row],[Transaction  Date]],"Y")</f>
        <v>46</v>
      </c>
      <c r="O906" s="33">
        <v>6048</v>
      </c>
      <c r="P906" s="33">
        <f>Table2_1[[#This Row],[Quantity Purchased]]*Table2_1[[#This Row],[UnitPrice]]*(1-Table2_1[[#This Row],[Discount]])</f>
        <v>10886.4</v>
      </c>
      <c r="Q906" s="33">
        <f>Table2_1[[#This Row],[Revenue]]-Table2_1[[#This Row],[COGS]]</f>
        <v>4838.3999999999996</v>
      </c>
      <c r="R906" s="39">
        <f>WEEKDAY(Table2_1[[#This Row],[Transaction  Date]])</f>
        <v>7</v>
      </c>
      <c r="S906" s="17" t="str">
        <f>IF(WEEKDAY(Table2_1[[#This Row],[Transaction  Date]],2)&lt;=5,"Weekday","Weekend")</f>
        <v>Weekend</v>
      </c>
      <c r="T906" s="37" t="str">
        <f>FLOOR(Table2_1[[#This Row],[Age]],15)&amp; "-"&amp; FLOOR(Table2_1[[#This Row],[Age]],15)+14</f>
        <v>45-59</v>
      </c>
    </row>
    <row r="907" spans="1:20" x14ac:dyDescent="0.3">
      <c r="A907" s="18">
        <v>45487</v>
      </c>
      <c r="B907" s="17" t="s">
        <v>1892</v>
      </c>
      <c r="C907" s="17" t="s">
        <v>32</v>
      </c>
      <c r="D907" s="18">
        <v>30078</v>
      </c>
      <c r="E907" s="16" t="s">
        <v>68</v>
      </c>
      <c r="F907" s="31">
        <v>207</v>
      </c>
      <c r="G907" s="17" t="s">
        <v>56</v>
      </c>
      <c r="H907" s="17" t="s">
        <v>52</v>
      </c>
      <c r="I907" s="17" t="s">
        <v>17</v>
      </c>
      <c r="J907" s="27">
        <v>0.1</v>
      </c>
      <c r="K907" s="17" t="s">
        <v>935</v>
      </c>
      <c r="L907" s="32">
        <v>18</v>
      </c>
      <c r="M907" s="32">
        <f>_xlfn.XLOOKUP(Table2_1[[#This Row],[Product Code]],Product_Code,Unit_Price,0)</f>
        <v>36</v>
      </c>
      <c r="N907" s="31">
        <f>DATEDIF(Table2_1[[#This Row],[Buyer Date of Birth]],Table2_1[[#This Row],[Transaction  Date]],"Y")</f>
        <v>42</v>
      </c>
      <c r="O907" s="33">
        <v>3726</v>
      </c>
      <c r="P907" s="33">
        <f>Table2_1[[#This Row],[Quantity Purchased]]*Table2_1[[#This Row],[UnitPrice]]*(1-Table2_1[[#This Row],[Discount]])</f>
        <v>6706.8</v>
      </c>
      <c r="Q907" s="33">
        <f>Table2_1[[#This Row],[Revenue]]-Table2_1[[#This Row],[COGS]]</f>
        <v>2980.8</v>
      </c>
      <c r="R907" s="39">
        <f>WEEKDAY(Table2_1[[#This Row],[Transaction  Date]])</f>
        <v>1</v>
      </c>
      <c r="S907" s="17" t="str">
        <f>IF(WEEKDAY(Table2_1[[#This Row],[Transaction  Date]],2)&lt;=5,"Weekday","Weekend")</f>
        <v>Weekend</v>
      </c>
      <c r="T907" s="37" t="str">
        <f>FLOOR(Table2_1[[#This Row],[Age]],15)&amp; "-"&amp; FLOOR(Table2_1[[#This Row],[Age]],15)+14</f>
        <v>30-44</v>
      </c>
    </row>
    <row r="908" spans="1:20" x14ac:dyDescent="0.3">
      <c r="A908" s="18">
        <v>45487</v>
      </c>
      <c r="B908" s="17" t="s">
        <v>1748</v>
      </c>
      <c r="C908" s="17" t="s">
        <v>13</v>
      </c>
      <c r="D908" s="18">
        <v>15943</v>
      </c>
      <c r="E908" s="16" t="s">
        <v>68</v>
      </c>
      <c r="F908" s="31">
        <v>98</v>
      </c>
      <c r="G908" s="17" t="s">
        <v>56</v>
      </c>
      <c r="H908" s="17" t="s">
        <v>52</v>
      </c>
      <c r="I908" s="17" t="s">
        <v>17</v>
      </c>
      <c r="J908" s="27">
        <v>0.1</v>
      </c>
      <c r="K908" s="17" t="s">
        <v>935</v>
      </c>
      <c r="L908" s="32">
        <v>18</v>
      </c>
      <c r="M908" s="32">
        <f>_xlfn.XLOOKUP(Table2_1[[#This Row],[Product Code]],Product_Code,Unit_Price,0)</f>
        <v>36</v>
      </c>
      <c r="N908" s="31">
        <f>DATEDIF(Table2_1[[#This Row],[Buyer Date of Birth]],Table2_1[[#This Row],[Transaction  Date]],"Y")</f>
        <v>80</v>
      </c>
      <c r="O908" s="33">
        <v>1764</v>
      </c>
      <c r="P908" s="33">
        <f>Table2_1[[#This Row],[Quantity Purchased]]*Table2_1[[#This Row],[UnitPrice]]*(1-Table2_1[[#This Row],[Discount]])</f>
        <v>3175.2000000000003</v>
      </c>
      <c r="Q908" s="33">
        <f>Table2_1[[#This Row],[Revenue]]-Table2_1[[#This Row],[COGS]]</f>
        <v>1411.2000000000003</v>
      </c>
      <c r="R908" s="39">
        <f>WEEKDAY(Table2_1[[#This Row],[Transaction  Date]])</f>
        <v>1</v>
      </c>
      <c r="S908" s="17" t="str">
        <f>IF(WEEKDAY(Table2_1[[#This Row],[Transaction  Date]],2)&lt;=5,"Weekday","Weekend")</f>
        <v>Weekend</v>
      </c>
      <c r="T908" s="37" t="str">
        <f>FLOOR(Table2_1[[#This Row],[Age]],15)&amp; "-"&amp; FLOOR(Table2_1[[#This Row],[Age]],15)+14</f>
        <v>75-89</v>
      </c>
    </row>
    <row r="909" spans="1:20" x14ac:dyDescent="0.3">
      <c r="A909" s="18">
        <v>45488</v>
      </c>
      <c r="B909" s="17" t="s">
        <v>1749</v>
      </c>
      <c r="C909" s="17" t="s">
        <v>71</v>
      </c>
      <c r="D909" s="18">
        <v>33125</v>
      </c>
      <c r="E909" s="16" t="s">
        <v>20</v>
      </c>
      <c r="F909" s="31">
        <v>69</v>
      </c>
      <c r="G909" s="17" t="s">
        <v>34</v>
      </c>
      <c r="H909" s="17" t="s">
        <v>52</v>
      </c>
      <c r="I909" s="17" t="s">
        <v>17</v>
      </c>
      <c r="J909" s="27">
        <v>0.1</v>
      </c>
      <c r="K909" s="17" t="s">
        <v>930</v>
      </c>
      <c r="L909" s="32">
        <v>14</v>
      </c>
      <c r="M909" s="32">
        <f>_xlfn.XLOOKUP(Table2_1[[#This Row],[Product Code]],Product_Code,Unit_Price,0)</f>
        <v>28</v>
      </c>
      <c r="N909" s="31">
        <f>DATEDIF(Table2_1[[#This Row],[Buyer Date of Birth]],Table2_1[[#This Row],[Transaction  Date]],"Y")</f>
        <v>33</v>
      </c>
      <c r="O909" s="33">
        <v>966</v>
      </c>
      <c r="P909" s="33">
        <f>Table2_1[[#This Row],[Quantity Purchased]]*Table2_1[[#This Row],[UnitPrice]]*(1-Table2_1[[#This Row],[Discount]])</f>
        <v>1738.8</v>
      </c>
      <c r="Q909" s="33">
        <f>Table2_1[[#This Row],[Revenue]]-Table2_1[[#This Row],[COGS]]</f>
        <v>772.8</v>
      </c>
      <c r="R909" s="39">
        <f>WEEKDAY(Table2_1[[#This Row],[Transaction  Date]])</f>
        <v>2</v>
      </c>
      <c r="S909" s="17" t="str">
        <f>IF(WEEKDAY(Table2_1[[#This Row],[Transaction  Date]],2)&lt;=5,"Weekday","Weekend")</f>
        <v>Weekday</v>
      </c>
      <c r="T909" s="37" t="str">
        <f>FLOOR(Table2_1[[#This Row],[Age]],15)&amp; "-"&amp; FLOOR(Table2_1[[#This Row],[Age]],15)+14</f>
        <v>30-44</v>
      </c>
    </row>
    <row r="910" spans="1:20" x14ac:dyDescent="0.3">
      <c r="A910" s="18">
        <v>45488</v>
      </c>
      <c r="B910" s="17" t="s">
        <v>1750</v>
      </c>
      <c r="C910" s="17" t="s">
        <v>71</v>
      </c>
      <c r="D910" s="18">
        <v>24300</v>
      </c>
      <c r="E910" s="16" t="s">
        <v>14</v>
      </c>
      <c r="F910" s="31">
        <v>85</v>
      </c>
      <c r="G910" s="17" t="s">
        <v>47</v>
      </c>
      <c r="H910" s="17" t="s">
        <v>52</v>
      </c>
      <c r="I910" s="17" t="s">
        <v>17</v>
      </c>
      <c r="J910" s="27">
        <v>0.1</v>
      </c>
      <c r="K910" s="17" t="s">
        <v>931</v>
      </c>
      <c r="L910" s="32">
        <v>7</v>
      </c>
      <c r="M910" s="32">
        <f>_xlfn.XLOOKUP(Table2_1[[#This Row],[Product Code]],Product_Code,Unit_Price,0)</f>
        <v>9</v>
      </c>
      <c r="N910" s="31">
        <f>DATEDIF(Table2_1[[#This Row],[Buyer Date of Birth]],Table2_1[[#This Row],[Transaction  Date]],"Y")</f>
        <v>58</v>
      </c>
      <c r="O910" s="33">
        <v>595</v>
      </c>
      <c r="P910" s="33">
        <f>Table2_1[[#This Row],[Quantity Purchased]]*Table2_1[[#This Row],[UnitPrice]]*(1-Table2_1[[#This Row],[Discount]])</f>
        <v>688.5</v>
      </c>
      <c r="Q910" s="33">
        <f>Table2_1[[#This Row],[Revenue]]-Table2_1[[#This Row],[COGS]]</f>
        <v>93.5</v>
      </c>
      <c r="R910" s="39">
        <f>WEEKDAY(Table2_1[[#This Row],[Transaction  Date]])</f>
        <v>2</v>
      </c>
      <c r="S910" s="17" t="str">
        <f>IF(WEEKDAY(Table2_1[[#This Row],[Transaction  Date]],2)&lt;=5,"Weekday","Weekend")</f>
        <v>Weekday</v>
      </c>
      <c r="T910" s="37" t="str">
        <f>FLOOR(Table2_1[[#This Row],[Age]],15)&amp; "-"&amp; FLOOR(Table2_1[[#This Row],[Age]],15)+14</f>
        <v>45-59</v>
      </c>
    </row>
    <row r="911" spans="1:20" x14ac:dyDescent="0.3">
      <c r="A911" s="18">
        <v>45488</v>
      </c>
      <c r="B911" s="17" t="s">
        <v>1751</v>
      </c>
      <c r="C911" s="17" t="s">
        <v>13</v>
      </c>
      <c r="D911" s="18">
        <v>18611</v>
      </c>
      <c r="E911" s="16" t="s">
        <v>68</v>
      </c>
      <c r="F911" s="31">
        <v>107</v>
      </c>
      <c r="G911" s="17" t="s">
        <v>47</v>
      </c>
      <c r="H911" s="17" t="s">
        <v>52</v>
      </c>
      <c r="I911" s="17" t="s">
        <v>17</v>
      </c>
      <c r="J911" s="27">
        <v>0.1</v>
      </c>
      <c r="K911" s="17" t="s">
        <v>931</v>
      </c>
      <c r="L911" s="32">
        <v>7</v>
      </c>
      <c r="M911" s="32">
        <f>_xlfn.XLOOKUP(Table2_1[[#This Row],[Product Code]],Product_Code,Unit_Price,0)</f>
        <v>9</v>
      </c>
      <c r="N911" s="31">
        <f>DATEDIF(Table2_1[[#This Row],[Buyer Date of Birth]],Table2_1[[#This Row],[Transaction  Date]],"Y")</f>
        <v>73</v>
      </c>
      <c r="O911" s="33">
        <v>749</v>
      </c>
      <c r="P911" s="33">
        <f>Table2_1[[#This Row],[Quantity Purchased]]*Table2_1[[#This Row],[UnitPrice]]*(1-Table2_1[[#This Row],[Discount]])</f>
        <v>866.7</v>
      </c>
      <c r="Q911" s="33">
        <f>Table2_1[[#This Row],[Revenue]]-Table2_1[[#This Row],[COGS]]</f>
        <v>117.70000000000005</v>
      </c>
      <c r="R911" s="39">
        <f>WEEKDAY(Table2_1[[#This Row],[Transaction  Date]])</f>
        <v>2</v>
      </c>
      <c r="S911" s="17" t="str">
        <f>IF(WEEKDAY(Table2_1[[#This Row],[Transaction  Date]],2)&lt;=5,"Weekday","Weekend")</f>
        <v>Weekday</v>
      </c>
      <c r="T911" s="37" t="str">
        <f>FLOOR(Table2_1[[#This Row],[Age]],15)&amp; "-"&amp; FLOOR(Table2_1[[#This Row],[Age]],15)+14</f>
        <v>60-74</v>
      </c>
    </row>
    <row r="912" spans="1:20" x14ac:dyDescent="0.3">
      <c r="A912" s="18">
        <v>45488</v>
      </c>
      <c r="B912" s="17" t="s">
        <v>1752</v>
      </c>
      <c r="C912" s="17" t="s">
        <v>94</v>
      </c>
      <c r="D912" s="18">
        <v>38258</v>
      </c>
      <c r="E912" s="16" t="s">
        <v>68</v>
      </c>
      <c r="F912" s="31">
        <v>427</v>
      </c>
      <c r="G912" s="17" t="s">
        <v>15</v>
      </c>
      <c r="H912" s="17" t="s">
        <v>48</v>
      </c>
      <c r="I912" s="17" t="s">
        <v>17</v>
      </c>
      <c r="J912" s="27">
        <v>0.1</v>
      </c>
      <c r="K912" s="17" t="s">
        <v>929</v>
      </c>
      <c r="L912" s="32">
        <v>10</v>
      </c>
      <c r="M912" s="32">
        <f>_xlfn.XLOOKUP(Table2_1[[#This Row],[Product Code]],Product_Code,Unit_Price,0)</f>
        <v>14</v>
      </c>
      <c r="N912" s="31">
        <f>DATEDIF(Table2_1[[#This Row],[Buyer Date of Birth]],Table2_1[[#This Row],[Transaction  Date]],"Y")</f>
        <v>19</v>
      </c>
      <c r="O912" s="33">
        <v>4270</v>
      </c>
      <c r="P912" s="33">
        <f>Table2_1[[#This Row],[Quantity Purchased]]*Table2_1[[#This Row],[UnitPrice]]*(1-Table2_1[[#This Row],[Discount]])</f>
        <v>5380.2</v>
      </c>
      <c r="Q912" s="33">
        <f>Table2_1[[#This Row],[Revenue]]-Table2_1[[#This Row],[COGS]]</f>
        <v>1110.1999999999998</v>
      </c>
      <c r="R912" s="39">
        <f>WEEKDAY(Table2_1[[#This Row],[Transaction  Date]])</f>
        <v>2</v>
      </c>
      <c r="S912" s="17" t="str">
        <f>IF(WEEKDAY(Table2_1[[#This Row],[Transaction  Date]],2)&lt;=5,"Weekday","Weekend")</f>
        <v>Weekday</v>
      </c>
      <c r="T912" s="37" t="str">
        <f>FLOOR(Table2_1[[#This Row],[Age]],15)&amp; "-"&amp; FLOOR(Table2_1[[#This Row],[Age]],15)+14</f>
        <v>15-29</v>
      </c>
    </row>
    <row r="913" spans="1:20" x14ac:dyDescent="0.3">
      <c r="A913" s="18">
        <v>45488</v>
      </c>
      <c r="B913" s="17" t="s">
        <v>1753</v>
      </c>
      <c r="C913" s="17" t="s">
        <v>46</v>
      </c>
      <c r="D913" s="18">
        <v>29911</v>
      </c>
      <c r="E913" s="16" t="s">
        <v>33</v>
      </c>
      <c r="F913" s="31">
        <v>467</v>
      </c>
      <c r="G913" s="17" t="s">
        <v>42</v>
      </c>
      <c r="H913" s="17" t="s">
        <v>48</v>
      </c>
      <c r="I913" s="17" t="s">
        <v>17</v>
      </c>
      <c r="J913" s="27">
        <v>0.1</v>
      </c>
      <c r="K913" s="17" t="s">
        <v>926</v>
      </c>
      <c r="L913" s="32">
        <v>10</v>
      </c>
      <c r="M913" s="32">
        <f>_xlfn.XLOOKUP(Table2_1[[#This Row],[Product Code]],Product_Code,Unit_Price,0)</f>
        <v>11</v>
      </c>
      <c r="N913" s="31">
        <f>DATEDIF(Table2_1[[#This Row],[Buyer Date of Birth]],Table2_1[[#This Row],[Transaction  Date]],"Y")</f>
        <v>42</v>
      </c>
      <c r="O913" s="33">
        <v>4670</v>
      </c>
      <c r="P913" s="33">
        <f>Table2_1[[#This Row],[Quantity Purchased]]*Table2_1[[#This Row],[UnitPrice]]*(1-Table2_1[[#This Row],[Discount]])</f>
        <v>4623.3</v>
      </c>
      <c r="Q913" s="33">
        <f>Table2_1[[#This Row],[Revenue]]-Table2_1[[#This Row],[COGS]]</f>
        <v>-46.699999999999818</v>
      </c>
      <c r="R913" s="39">
        <f>WEEKDAY(Table2_1[[#This Row],[Transaction  Date]])</f>
        <v>2</v>
      </c>
      <c r="S913" s="17" t="str">
        <f>IF(WEEKDAY(Table2_1[[#This Row],[Transaction  Date]],2)&lt;=5,"Weekday","Weekend")</f>
        <v>Weekday</v>
      </c>
      <c r="T913" s="37" t="str">
        <f>FLOOR(Table2_1[[#This Row],[Age]],15)&amp; "-"&amp; FLOOR(Table2_1[[#This Row],[Age]],15)+14</f>
        <v>30-44</v>
      </c>
    </row>
    <row r="914" spans="1:20" x14ac:dyDescent="0.3">
      <c r="A914" s="18">
        <v>45489</v>
      </c>
      <c r="B914" s="17" t="s">
        <v>1754</v>
      </c>
      <c r="C914" s="17" t="s">
        <v>13</v>
      </c>
      <c r="D914" s="18">
        <v>18343</v>
      </c>
      <c r="E914" s="16" t="s">
        <v>68</v>
      </c>
      <c r="F914" s="31">
        <v>481</v>
      </c>
      <c r="G914" s="17" t="s">
        <v>65</v>
      </c>
      <c r="H914" s="17" t="s">
        <v>28</v>
      </c>
      <c r="I914" s="17" t="s">
        <v>17</v>
      </c>
      <c r="J914" s="27">
        <v>0.1</v>
      </c>
      <c r="K914" s="17" t="s">
        <v>928</v>
      </c>
      <c r="L914" s="32">
        <v>3</v>
      </c>
      <c r="M914" s="32">
        <f>_xlfn.XLOOKUP(Table2_1[[#This Row],[Product Code]],Product_Code,Unit_Price,0)</f>
        <v>5</v>
      </c>
      <c r="N914" s="31">
        <f>DATEDIF(Table2_1[[#This Row],[Buyer Date of Birth]],Table2_1[[#This Row],[Transaction  Date]],"Y")</f>
        <v>74</v>
      </c>
      <c r="O914" s="33">
        <v>1443</v>
      </c>
      <c r="P914" s="33">
        <f>Table2_1[[#This Row],[Quantity Purchased]]*Table2_1[[#This Row],[UnitPrice]]*(1-Table2_1[[#This Row],[Discount]])</f>
        <v>2164.5</v>
      </c>
      <c r="Q914" s="33">
        <f>Table2_1[[#This Row],[Revenue]]-Table2_1[[#This Row],[COGS]]</f>
        <v>721.5</v>
      </c>
      <c r="R914" s="39">
        <f>WEEKDAY(Table2_1[[#This Row],[Transaction  Date]])</f>
        <v>3</v>
      </c>
      <c r="S914" s="17" t="str">
        <f>IF(WEEKDAY(Table2_1[[#This Row],[Transaction  Date]],2)&lt;=5,"Weekday","Weekend")</f>
        <v>Weekday</v>
      </c>
      <c r="T914" s="37" t="str">
        <f>FLOOR(Table2_1[[#This Row],[Age]],15)&amp; "-"&amp; FLOOR(Table2_1[[#This Row],[Age]],15)+14</f>
        <v>60-74</v>
      </c>
    </row>
    <row r="915" spans="1:20" x14ac:dyDescent="0.3">
      <c r="A915" s="18">
        <v>45489</v>
      </c>
      <c r="B915" s="17" t="s">
        <v>1755</v>
      </c>
      <c r="C915" s="17" t="s">
        <v>78</v>
      </c>
      <c r="D915" s="18">
        <v>34123</v>
      </c>
      <c r="E915" s="16" t="s">
        <v>20</v>
      </c>
      <c r="F915" s="31">
        <v>145</v>
      </c>
      <c r="G915" s="17" t="s">
        <v>42</v>
      </c>
      <c r="H915" s="17" t="s">
        <v>52</v>
      </c>
      <c r="I915" s="17" t="s">
        <v>17</v>
      </c>
      <c r="J915" s="27">
        <v>0.1</v>
      </c>
      <c r="K915" s="17" t="s">
        <v>926</v>
      </c>
      <c r="L915" s="32">
        <v>10</v>
      </c>
      <c r="M915" s="32">
        <f>_xlfn.XLOOKUP(Table2_1[[#This Row],[Product Code]],Product_Code,Unit_Price,0)</f>
        <v>11</v>
      </c>
      <c r="N915" s="31">
        <f>DATEDIF(Table2_1[[#This Row],[Buyer Date of Birth]],Table2_1[[#This Row],[Transaction  Date]],"Y")</f>
        <v>31</v>
      </c>
      <c r="O915" s="33">
        <v>1450</v>
      </c>
      <c r="P915" s="33">
        <f>Table2_1[[#This Row],[Quantity Purchased]]*Table2_1[[#This Row],[UnitPrice]]*(1-Table2_1[[#This Row],[Discount]])</f>
        <v>1435.5</v>
      </c>
      <c r="Q915" s="33">
        <f>Table2_1[[#This Row],[Revenue]]-Table2_1[[#This Row],[COGS]]</f>
        <v>-14.5</v>
      </c>
      <c r="R915" s="39">
        <f>WEEKDAY(Table2_1[[#This Row],[Transaction  Date]])</f>
        <v>3</v>
      </c>
      <c r="S915" s="17" t="str">
        <f>IF(WEEKDAY(Table2_1[[#This Row],[Transaction  Date]],2)&lt;=5,"Weekday","Weekend")</f>
        <v>Weekday</v>
      </c>
      <c r="T915" s="37" t="str">
        <f>FLOOR(Table2_1[[#This Row],[Age]],15)&amp; "-"&amp; FLOOR(Table2_1[[#This Row],[Age]],15)+14</f>
        <v>30-44</v>
      </c>
    </row>
    <row r="916" spans="1:20" x14ac:dyDescent="0.3">
      <c r="A916" s="18">
        <v>45489</v>
      </c>
      <c r="B916" s="17" t="s">
        <v>1756</v>
      </c>
      <c r="C916" s="17" t="s">
        <v>46</v>
      </c>
      <c r="D916" s="18">
        <v>32489</v>
      </c>
      <c r="E916" s="16" t="s">
        <v>33</v>
      </c>
      <c r="F916" s="31">
        <v>23</v>
      </c>
      <c r="G916" s="17" t="s">
        <v>64</v>
      </c>
      <c r="H916" s="17" t="s">
        <v>43</v>
      </c>
      <c r="I916" s="17" t="s">
        <v>17</v>
      </c>
      <c r="J916" s="27">
        <v>0.1</v>
      </c>
      <c r="K916" s="17" t="s">
        <v>933</v>
      </c>
      <c r="L916" s="32">
        <v>5</v>
      </c>
      <c r="M916" s="32">
        <f>_xlfn.XLOOKUP(Table2_1[[#This Row],[Product Code]],Product_Code,Unit_Price,0)</f>
        <v>7</v>
      </c>
      <c r="N916" s="31">
        <f>DATEDIF(Table2_1[[#This Row],[Buyer Date of Birth]],Table2_1[[#This Row],[Transaction  Date]],"Y")</f>
        <v>35</v>
      </c>
      <c r="O916" s="33">
        <v>115</v>
      </c>
      <c r="P916" s="33">
        <f>Table2_1[[#This Row],[Quantity Purchased]]*Table2_1[[#This Row],[UnitPrice]]*(1-Table2_1[[#This Row],[Discount]])</f>
        <v>144.9</v>
      </c>
      <c r="Q916" s="33">
        <f>Table2_1[[#This Row],[Revenue]]-Table2_1[[#This Row],[COGS]]</f>
        <v>29.900000000000006</v>
      </c>
      <c r="R916" s="39">
        <f>WEEKDAY(Table2_1[[#This Row],[Transaction  Date]])</f>
        <v>3</v>
      </c>
      <c r="S916" s="17" t="str">
        <f>IF(WEEKDAY(Table2_1[[#This Row],[Transaction  Date]],2)&lt;=5,"Weekday","Weekend")</f>
        <v>Weekday</v>
      </c>
      <c r="T916" s="37" t="str">
        <f>FLOOR(Table2_1[[#This Row],[Age]],15)&amp; "-"&amp; FLOOR(Table2_1[[#This Row],[Age]],15)+14</f>
        <v>30-44</v>
      </c>
    </row>
    <row r="917" spans="1:20" x14ac:dyDescent="0.3">
      <c r="A917" s="18">
        <v>45490</v>
      </c>
      <c r="B917" s="17" t="s">
        <v>1757</v>
      </c>
      <c r="C917" s="17" t="s">
        <v>46</v>
      </c>
      <c r="D917" s="18">
        <v>36767</v>
      </c>
      <c r="E917" s="16" t="s">
        <v>33</v>
      </c>
      <c r="F917" s="31">
        <v>216</v>
      </c>
      <c r="G917" s="17" t="s">
        <v>27</v>
      </c>
      <c r="H917" s="17" t="s">
        <v>28</v>
      </c>
      <c r="I917" s="17" t="s">
        <v>17</v>
      </c>
      <c r="J917" s="27">
        <v>0.1</v>
      </c>
      <c r="K917" s="17" t="s">
        <v>927</v>
      </c>
      <c r="L917" s="32">
        <v>18</v>
      </c>
      <c r="M917" s="32">
        <f>_xlfn.XLOOKUP(Table2_1[[#This Row],[Product Code]],Product_Code,Unit_Price,0)</f>
        <v>22</v>
      </c>
      <c r="N917" s="31">
        <f>DATEDIF(Table2_1[[#This Row],[Buyer Date of Birth]],Table2_1[[#This Row],[Transaction  Date]],"Y")</f>
        <v>23</v>
      </c>
      <c r="O917" s="33">
        <v>3888</v>
      </c>
      <c r="P917" s="33">
        <f>Table2_1[[#This Row],[Quantity Purchased]]*Table2_1[[#This Row],[UnitPrice]]*(1-Table2_1[[#This Row],[Discount]])</f>
        <v>4276.8</v>
      </c>
      <c r="Q917" s="33">
        <f>Table2_1[[#This Row],[Revenue]]-Table2_1[[#This Row],[COGS]]</f>
        <v>388.80000000000018</v>
      </c>
      <c r="R917" s="39">
        <f>WEEKDAY(Table2_1[[#This Row],[Transaction  Date]])</f>
        <v>4</v>
      </c>
      <c r="S917" s="17" t="str">
        <f>IF(WEEKDAY(Table2_1[[#This Row],[Transaction  Date]],2)&lt;=5,"Weekday","Weekend")</f>
        <v>Weekday</v>
      </c>
      <c r="T917" s="37" t="str">
        <f>FLOOR(Table2_1[[#This Row],[Age]],15)&amp; "-"&amp; FLOOR(Table2_1[[#This Row],[Age]],15)+14</f>
        <v>15-29</v>
      </c>
    </row>
    <row r="918" spans="1:20" x14ac:dyDescent="0.3">
      <c r="A918" s="18">
        <v>45490</v>
      </c>
      <c r="B918" s="17" t="s">
        <v>1758</v>
      </c>
      <c r="C918" s="17" t="s">
        <v>38</v>
      </c>
      <c r="D918" s="18">
        <v>30505</v>
      </c>
      <c r="E918" s="16" t="s">
        <v>14</v>
      </c>
      <c r="F918" s="31">
        <v>188</v>
      </c>
      <c r="G918" s="17" t="s">
        <v>15</v>
      </c>
      <c r="H918" s="17" t="s">
        <v>48</v>
      </c>
      <c r="I918" s="17" t="s">
        <v>17</v>
      </c>
      <c r="J918" s="27">
        <v>0.1</v>
      </c>
      <c r="K918" s="17" t="s">
        <v>929</v>
      </c>
      <c r="L918" s="32">
        <v>10</v>
      </c>
      <c r="M918" s="32">
        <f>_xlfn.XLOOKUP(Table2_1[[#This Row],[Product Code]],Product_Code,Unit_Price,0)</f>
        <v>14</v>
      </c>
      <c r="N918" s="31">
        <f>DATEDIF(Table2_1[[#This Row],[Buyer Date of Birth]],Table2_1[[#This Row],[Transaction  Date]],"Y")</f>
        <v>41</v>
      </c>
      <c r="O918" s="33">
        <v>1880</v>
      </c>
      <c r="P918" s="33">
        <f>Table2_1[[#This Row],[Quantity Purchased]]*Table2_1[[#This Row],[UnitPrice]]*(1-Table2_1[[#This Row],[Discount]])</f>
        <v>2368.8000000000002</v>
      </c>
      <c r="Q918" s="33">
        <f>Table2_1[[#This Row],[Revenue]]-Table2_1[[#This Row],[COGS]]</f>
        <v>488.80000000000018</v>
      </c>
      <c r="R918" s="39">
        <f>WEEKDAY(Table2_1[[#This Row],[Transaction  Date]])</f>
        <v>4</v>
      </c>
      <c r="S918" s="17" t="str">
        <f>IF(WEEKDAY(Table2_1[[#This Row],[Transaction  Date]],2)&lt;=5,"Weekday","Weekend")</f>
        <v>Weekday</v>
      </c>
      <c r="T918" s="37" t="str">
        <f>FLOOR(Table2_1[[#This Row],[Age]],15)&amp; "-"&amp; FLOOR(Table2_1[[#This Row],[Age]],15)+14</f>
        <v>30-44</v>
      </c>
    </row>
    <row r="919" spans="1:20" x14ac:dyDescent="0.3">
      <c r="A919" s="18">
        <v>45490</v>
      </c>
      <c r="B919" s="17" t="s">
        <v>1759</v>
      </c>
      <c r="C919" s="17" t="s">
        <v>38</v>
      </c>
      <c r="D919" s="18">
        <v>21909</v>
      </c>
      <c r="E919" s="16" t="s">
        <v>33</v>
      </c>
      <c r="F919" s="31">
        <v>343</v>
      </c>
      <c r="G919" s="17" t="s">
        <v>64</v>
      </c>
      <c r="H919" s="17" t="s">
        <v>52</v>
      </c>
      <c r="I919" s="17" t="s">
        <v>23</v>
      </c>
      <c r="J919" s="27">
        <v>0.1</v>
      </c>
      <c r="K919" s="17" t="s">
        <v>933</v>
      </c>
      <c r="L919" s="32">
        <v>5</v>
      </c>
      <c r="M919" s="32">
        <f>_xlfn.XLOOKUP(Table2_1[[#This Row],[Product Code]],Product_Code,Unit_Price,0)</f>
        <v>7</v>
      </c>
      <c r="N919" s="31">
        <f>DATEDIF(Table2_1[[#This Row],[Buyer Date of Birth]],Table2_1[[#This Row],[Transaction  Date]],"Y")</f>
        <v>64</v>
      </c>
      <c r="O919" s="33">
        <v>1715</v>
      </c>
      <c r="P919" s="33">
        <f>Table2_1[[#This Row],[Quantity Purchased]]*Table2_1[[#This Row],[UnitPrice]]*(1-Table2_1[[#This Row],[Discount]])</f>
        <v>2160.9</v>
      </c>
      <c r="Q919" s="33">
        <f>Table2_1[[#This Row],[Revenue]]-Table2_1[[#This Row],[COGS]]</f>
        <v>445.90000000000009</v>
      </c>
      <c r="R919" s="39">
        <f>WEEKDAY(Table2_1[[#This Row],[Transaction  Date]])</f>
        <v>4</v>
      </c>
      <c r="S919" s="17" t="str">
        <f>IF(WEEKDAY(Table2_1[[#This Row],[Transaction  Date]],2)&lt;=5,"Weekday","Weekend")</f>
        <v>Weekday</v>
      </c>
      <c r="T919" s="37" t="str">
        <f>FLOOR(Table2_1[[#This Row],[Age]],15)&amp; "-"&amp; FLOOR(Table2_1[[#This Row],[Age]],15)+14</f>
        <v>60-74</v>
      </c>
    </row>
    <row r="920" spans="1:20" x14ac:dyDescent="0.3">
      <c r="A920" s="18">
        <v>45490</v>
      </c>
      <c r="B920" s="17" t="s">
        <v>1760</v>
      </c>
      <c r="C920" s="17" t="s">
        <v>83</v>
      </c>
      <c r="D920" s="18">
        <v>19713</v>
      </c>
      <c r="E920" s="16" t="s">
        <v>33</v>
      </c>
      <c r="F920" s="31">
        <v>75</v>
      </c>
      <c r="G920" s="17" t="s">
        <v>65</v>
      </c>
      <c r="H920" s="17" t="s">
        <v>28</v>
      </c>
      <c r="I920" s="17" t="s">
        <v>17</v>
      </c>
      <c r="J920" s="27">
        <v>0.1</v>
      </c>
      <c r="K920" s="17" t="s">
        <v>928</v>
      </c>
      <c r="L920" s="32">
        <v>3</v>
      </c>
      <c r="M920" s="32">
        <f>_xlfn.XLOOKUP(Table2_1[[#This Row],[Product Code]],Product_Code,Unit_Price,0)</f>
        <v>5</v>
      </c>
      <c r="N920" s="31">
        <f>DATEDIF(Table2_1[[#This Row],[Buyer Date of Birth]],Table2_1[[#This Row],[Transaction  Date]],"Y")</f>
        <v>70</v>
      </c>
      <c r="O920" s="33">
        <v>225</v>
      </c>
      <c r="P920" s="33">
        <f>Table2_1[[#This Row],[Quantity Purchased]]*Table2_1[[#This Row],[UnitPrice]]*(1-Table2_1[[#This Row],[Discount]])</f>
        <v>337.5</v>
      </c>
      <c r="Q920" s="33">
        <f>Table2_1[[#This Row],[Revenue]]-Table2_1[[#This Row],[COGS]]</f>
        <v>112.5</v>
      </c>
      <c r="R920" s="39">
        <f>WEEKDAY(Table2_1[[#This Row],[Transaction  Date]])</f>
        <v>4</v>
      </c>
      <c r="S920" s="17" t="str">
        <f>IF(WEEKDAY(Table2_1[[#This Row],[Transaction  Date]],2)&lt;=5,"Weekday","Weekend")</f>
        <v>Weekday</v>
      </c>
      <c r="T920" s="37" t="str">
        <f>FLOOR(Table2_1[[#This Row],[Age]],15)&amp; "-"&amp; FLOOR(Table2_1[[#This Row],[Age]],15)+14</f>
        <v>60-74</v>
      </c>
    </row>
    <row r="921" spans="1:20" x14ac:dyDescent="0.3">
      <c r="A921" s="18">
        <v>45490</v>
      </c>
      <c r="B921" s="17" t="s">
        <v>1761</v>
      </c>
      <c r="C921" s="17" t="s">
        <v>46</v>
      </c>
      <c r="D921" s="18">
        <v>27963</v>
      </c>
      <c r="E921" s="16" t="s">
        <v>33</v>
      </c>
      <c r="F921" s="31">
        <v>310</v>
      </c>
      <c r="G921" s="17" t="s">
        <v>27</v>
      </c>
      <c r="H921" s="17" t="s">
        <v>48</v>
      </c>
      <c r="I921" s="17" t="s">
        <v>17</v>
      </c>
      <c r="J921" s="27">
        <v>0.1</v>
      </c>
      <c r="K921" s="17" t="s">
        <v>927</v>
      </c>
      <c r="L921" s="32">
        <v>18</v>
      </c>
      <c r="M921" s="32">
        <f>_xlfn.XLOOKUP(Table2_1[[#This Row],[Product Code]],Product_Code,Unit_Price,0)</f>
        <v>22</v>
      </c>
      <c r="N921" s="31">
        <f>DATEDIF(Table2_1[[#This Row],[Buyer Date of Birth]],Table2_1[[#This Row],[Transaction  Date]],"Y")</f>
        <v>47</v>
      </c>
      <c r="O921" s="33">
        <v>5580</v>
      </c>
      <c r="P921" s="33">
        <f>Table2_1[[#This Row],[Quantity Purchased]]*Table2_1[[#This Row],[UnitPrice]]*(1-Table2_1[[#This Row],[Discount]])</f>
        <v>6138</v>
      </c>
      <c r="Q921" s="33">
        <f>Table2_1[[#This Row],[Revenue]]-Table2_1[[#This Row],[COGS]]</f>
        <v>558</v>
      </c>
      <c r="R921" s="39">
        <f>WEEKDAY(Table2_1[[#This Row],[Transaction  Date]])</f>
        <v>4</v>
      </c>
      <c r="S921" s="17" t="str">
        <f>IF(WEEKDAY(Table2_1[[#This Row],[Transaction  Date]],2)&lt;=5,"Weekday","Weekend")</f>
        <v>Weekday</v>
      </c>
      <c r="T921" s="37" t="str">
        <f>FLOOR(Table2_1[[#This Row],[Age]],15)&amp; "-"&amp; FLOOR(Table2_1[[#This Row],[Age]],15)+14</f>
        <v>45-59</v>
      </c>
    </row>
    <row r="922" spans="1:20" x14ac:dyDescent="0.3">
      <c r="A922" s="18">
        <v>45490</v>
      </c>
      <c r="B922" s="17" t="s">
        <v>1762</v>
      </c>
      <c r="C922" s="17" t="s">
        <v>78</v>
      </c>
      <c r="D922" s="18">
        <v>24553</v>
      </c>
      <c r="E922" s="16" t="s">
        <v>33</v>
      </c>
      <c r="F922" s="31">
        <v>435</v>
      </c>
      <c r="G922" s="17" t="s">
        <v>27</v>
      </c>
      <c r="H922" s="17" t="s">
        <v>52</v>
      </c>
      <c r="I922" s="17" t="s">
        <v>17</v>
      </c>
      <c r="J922" s="27">
        <v>0.1</v>
      </c>
      <c r="K922" s="17" t="s">
        <v>927</v>
      </c>
      <c r="L922" s="32">
        <v>18</v>
      </c>
      <c r="M922" s="32">
        <f>_xlfn.XLOOKUP(Table2_1[[#This Row],[Product Code]],Product_Code,Unit_Price,0)</f>
        <v>22</v>
      </c>
      <c r="N922" s="31">
        <f>DATEDIF(Table2_1[[#This Row],[Buyer Date of Birth]],Table2_1[[#This Row],[Transaction  Date]],"Y")</f>
        <v>57</v>
      </c>
      <c r="O922" s="33">
        <v>7830</v>
      </c>
      <c r="P922" s="33">
        <f>Table2_1[[#This Row],[Quantity Purchased]]*Table2_1[[#This Row],[UnitPrice]]*(1-Table2_1[[#This Row],[Discount]])</f>
        <v>8613</v>
      </c>
      <c r="Q922" s="33">
        <f>Table2_1[[#This Row],[Revenue]]-Table2_1[[#This Row],[COGS]]</f>
        <v>783</v>
      </c>
      <c r="R922" s="39">
        <f>WEEKDAY(Table2_1[[#This Row],[Transaction  Date]])</f>
        <v>4</v>
      </c>
      <c r="S922" s="17" t="str">
        <f>IF(WEEKDAY(Table2_1[[#This Row],[Transaction  Date]],2)&lt;=5,"Weekday","Weekend")</f>
        <v>Weekday</v>
      </c>
      <c r="T922" s="37" t="str">
        <f>FLOOR(Table2_1[[#This Row],[Age]],15)&amp; "-"&amp; FLOOR(Table2_1[[#This Row],[Age]],15)+14</f>
        <v>45-59</v>
      </c>
    </row>
    <row r="923" spans="1:20" x14ac:dyDescent="0.3">
      <c r="A923" s="18">
        <v>45491</v>
      </c>
      <c r="B923" s="17" t="s">
        <v>1763</v>
      </c>
      <c r="C923" s="17" t="s">
        <v>94</v>
      </c>
      <c r="D923" s="18">
        <v>26234</v>
      </c>
      <c r="E923" s="16" t="s">
        <v>68</v>
      </c>
      <c r="F923" s="31">
        <v>412</v>
      </c>
      <c r="G923" s="17" t="s">
        <v>64</v>
      </c>
      <c r="H923" s="17" t="s">
        <v>48</v>
      </c>
      <c r="I923" s="17" t="s">
        <v>17</v>
      </c>
      <c r="J923" s="27">
        <v>0.1</v>
      </c>
      <c r="K923" s="17" t="s">
        <v>933</v>
      </c>
      <c r="L923" s="32">
        <v>5</v>
      </c>
      <c r="M923" s="32">
        <f>_xlfn.XLOOKUP(Table2_1[[#This Row],[Product Code]],Product_Code,Unit_Price,0)</f>
        <v>7</v>
      </c>
      <c r="N923" s="31">
        <f>DATEDIF(Table2_1[[#This Row],[Buyer Date of Birth]],Table2_1[[#This Row],[Transaction  Date]],"Y")</f>
        <v>52</v>
      </c>
      <c r="O923" s="33">
        <v>2060</v>
      </c>
      <c r="P923" s="33">
        <f>Table2_1[[#This Row],[Quantity Purchased]]*Table2_1[[#This Row],[UnitPrice]]*(1-Table2_1[[#This Row],[Discount]])</f>
        <v>2595.6</v>
      </c>
      <c r="Q923" s="33">
        <f>Table2_1[[#This Row],[Revenue]]-Table2_1[[#This Row],[COGS]]</f>
        <v>535.59999999999991</v>
      </c>
      <c r="R923" s="39">
        <f>WEEKDAY(Table2_1[[#This Row],[Transaction  Date]])</f>
        <v>5</v>
      </c>
      <c r="S923" s="17" t="str">
        <f>IF(WEEKDAY(Table2_1[[#This Row],[Transaction  Date]],2)&lt;=5,"Weekday","Weekend")</f>
        <v>Weekday</v>
      </c>
      <c r="T923" s="37" t="str">
        <f>FLOOR(Table2_1[[#This Row],[Age]],15)&amp; "-"&amp; FLOOR(Table2_1[[#This Row],[Age]],15)+14</f>
        <v>45-59</v>
      </c>
    </row>
    <row r="924" spans="1:20" x14ac:dyDescent="0.3">
      <c r="A924" s="18">
        <v>45491</v>
      </c>
      <c r="B924" s="17" t="s">
        <v>1764</v>
      </c>
      <c r="C924" s="17" t="s">
        <v>13</v>
      </c>
      <c r="D924" s="18">
        <v>38400</v>
      </c>
      <c r="E924" s="16" t="s">
        <v>33</v>
      </c>
      <c r="F924" s="31">
        <v>125</v>
      </c>
      <c r="G924" s="17" t="s">
        <v>47</v>
      </c>
      <c r="H924" s="17" t="s">
        <v>28</v>
      </c>
      <c r="I924" s="17" t="s">
        <v>29</v>
      </c>
      <c r="J924" s="27">
        <v>0.1</v>
      </c>
      <c r="K924" s="17" t="s">
        <v>931</v>
      </c>
      <c r="L924" s="32">
        <v>7</v>
      </c>
      <c r="M924" s="32">
        <f>_xlfn.XLOOKUP(Table2_1[[#This Row],[Product Code]],Product_Code,Unit_Price,0)</f>
        <v>9</v>
      </c>
      <c r="N924" s="31">
        <f>DATEDIF(Table2_1[[#This Row],[Buyer Date of Birth]],Table2_1[[#This Row],[Transaction  Date]],"Y")</f>
        <v>19</v>
      </c>
      <c r="O924" s="33">
        <v>875</v>
      </c>
      <c r="P924" s="33">
        <f>Table2_1[[#This Row],[Quantity Purchased]]*Table2_1[[#This Row],[UnitPrice]]*(1-Table2_1[[#This Row],[Discount]])</f>
        <v>1012.5</v>
      </c>
      <c r="Q924" s="33">
        <f>Table2_1[[#This Row],[Revenue]]-Table2_1[[#This Row],[COGS]]</f>
        <v>137.5</v>
      </c>
      <c r="R924" s="39">
        <f>WEEKDAY(Table2_1[[#This Row],[Transaction  Date]])</f>
        <v>5</v>
      </c>
      <c r="S924" s="17" t="str">
        <f>IF(WEEKDAY(Table2_1[[#This Row],[Transaction  Date]],2)&lt;=5,"Weekday","Weekend")</f>
        <v>Weekday</v>
      </c>
      <c r="T924" s="37" t="str">
        <f>FLOOR(Table2_1[[#This Row],[Age]],15)&amp; "-"&amp; FLOOR(Table2_1[[#This Row],[Age]],15)+14</f>
        <v>15-29</v>
      </c>
    </row>
    <row r="925" spans="1:20" x14ac:dyDescent="0.3">
      <c r="A925" s="18">
        <v>45491</v>
      </c>
      <c r="B925" s="17" t="s">
        <v>1765</v>
      </c>
      <c r="C925" s="17" t="s">
        <v>32</v>
      </c>
      <c r="D925" s="18">
        <v>22815</v>
      </c>
      <c r="E925" s="16" t="s">
        <v>20</v>
      </c>
      <c r="F925" s="31">
        <v>316</v>
      </c>
      <c r="G925" s="17" t="s">
        <v>47</v>
      </c>
      <c r="H925" s="17" t="s">
        <v>48</v>
      </c>
      <c r="I925" s="17" t="s">
        <v>17</v>
      </c>
      <c r="J925" s="27">
        <v>0.1</v>
      </c>
      <c r="K925" s="17" t="s">
        <v>931</v>
      </c>
      <c r="L925" s="32">
        <v>7</v>
      </c>
      <c r="M925" s="32">
        <f>_xlfn.XLOOKUP(Table2_1[[#This Row],[Product Code]],Product_Code,Unit_Price,0)</f>
        <v>9</v>
      </c>
      <c r="N925" s="31">
        <f>DATEDIF(Table2_1[[#This Row],[Buyer Date of Birth]],Table2_1[[#This Row],[Transaction  Date]],"Y")</f>
        <v>62</v>
      </c>
      <c r="O925" s="33">
        <v>2212</v>
      </c>
      <c r="P925" s="33">
        <f>Table2_1[[#This Row],[Quantity Purchased]]*Table2_1[[#This Row],[UnitPrice]]*(1-Table2_1[[#This Row],[Discount]])</f>
        <v>2559.6</v>
      </c>
      <c r="Q925" s="33">
        <f>Table2_1[[#This Row],[Revenue]]-Table2_1[[#This Row],[COGS]]</f>
        <v>347.59999999999991</v>
      </c>
      <c r="R925" s="39">
        <f>WEEKDAY(Table2_1[[#This Row],[Transaction  Date]])</f>
        <v>5</v>
      </c>
      <c r="S925" s="17" t="str">
        <f>IF(WEEKDAY(Table2_1[[#This Row],[Transaction  Date]],2)&lt;=5,"Weekday","Weekend")</f>
        <v>Weekday</v>
      </c>
      <c r="T925" s="37" t="str">
        <f>FLOOR(Table2_1[[#This Row],[Age]],15)&amp; "-"&amp; FLOOR(Table2_1[[#This Row],[Age]],15)+14</f>
        <v>60-74</v>
      </c>
    </row>
    <row r="926" spans="1:20" x14ac:dyDescent="0.3">
      <c r="A926" s="18">
        <v>45491</v>
      </c>
      <c r="B926" s="17" t="s">
        <v>1766</v>
      </c>
      <c r="C926" s="17" t="s">
        <v>94</v>
      </c>
      <c r="D926" s="18">
        <v>34003</v>
      </c>
      <c r="E926" s="16" t="s">
        <v>14</v>
      </c>
      <c r="F926" s="31">
        <v>371</v>
      </c>
      <c r="G926" s="17" t="s">
        <v>34</v>
      </c>
      <c r="H926" s="17" t="s">
        <v>28</v>
      </c>
      <c r="I926" s="17" t="s">
        <v>17</v>
      </c>
      <c r="J926" s="27">
        <v>0.1</v>
      </c>
      <c r="K926" s="17" t="s">
        <v>930</v>
      </c>
      <c r="L926" s="32">
        <v>14</v>
      </c>
      <c r="M926" s="32">
        <f>_xlfn.XLOOKUP(Table2_1[[#This Row],[Product Code]],Product_Code,Unit_Price,0)</f>
        <v>28</v>
      </c>
      <c r="N926" s="31">
        <f>DATEDIF(Table2_1[[#This Row],[Buyer Date of Birth]],Table2_1[[#This Row],[Transaction  Date]],"Y")</f>
        <v>31</v>
      </c>
      <c r="O926" s="33">
        <v>5194</v>
      </c>
      <c r="P926" s="33">
        <f>Table2_1[[#This Row],[Quantity Purchased]]*Table2_1[[#This Row],[UnitPrice]]*(1-Table2_1[[#This Row],[Discount]])</f>
        <v>9349.2000000000007</v>
      </c>
      <c r="Q926" s="33">
        <f>Table2_1[[#This Row],[Revenue]]-Table2_1[[#This Row],[COGS]]</f>
        <v>4155.2000000000007</v>
      </c>
      <c r="R926" s="39">
        <f>WEEKDAY(Table2_1[[#This Row],[Transaction  Date]])</f>
        <v>5</v>
      </c>
      <c r="S926" s="17" t="str">
        <f>IF(WEEKDAY(Table2_1[[#This Row],[Transaction  Date]],2)&lt;=5,"Weekday","Weekend")</f>
        <v>Weekday</v>
      </c>
      <c r="T926" s="37" t="str">
        <f>FLOOR(Table2_1[[#This Row],[Age]],15)&amp; "-"&amp; FLOOR(Table2_1[[#This Row],[Age]],15)+14</f>
        <v>30-44</v>
      </c>
    </row>
    <row r="927" spans="1:20" x14ac:dyDescent="0.3">
      <c r="A927" s="18">
        <v>45491</v>
      </c>
      <c r="B927" s="17" t="s">
        <v>1767</v>
      </c>
      <c r="C927" s="17" t="s">
        <v>71</v>
      </c>
      <c r="D927" s="18" t="s">
        <v>32</v>
      </c>
      <c r="E927" s="16" t="s">
        <v>20</v>
      </c>
      <c r="F927" s="31">
        <v>162</v>
      </c>
      <c r="G927" s="17" t="s">
        <v>42</v>
      </c>
      <c r="H927" s="17" t="s">
        <v>43</v>
      </c>
      <c r="I927" s="17" t="s">
        <v>17</v>
      </c>
      <c r="J927" s="27">
        <v>0.1</v>
      </c>
      <c r="K927" s="17" t="s">
        <v>926</v>
      </c>
      <c r="L927" s="32">
        <v>10</v>
      </c>
      <c r="M927" s="32">
        <f>_xlfn.XLOOKUP(Table2_1[[#This Row],[Product Code]],Product_Code,Unit_Price,0)</f>
        <v>11</v>
      </c>
      <c r="N927" s="31" t="e">
        <f>DATEDIF(Table2_1[[#This Row],[Buyer Date of Birth]],Table2_1[[#This Row],[Transaction  Date]],"Y")</f>
        <v>#VALUE!</v>
      </c>
      <c r="O927" s="33">
        <v>1620</v>
      </c>
      <c r="P927" s="33">
        <f>Table2_1[[#This Row],[Quantity Purchased]]*Table2_1[[#This Row],[UnitPrice]]*(1-Table2_1[[#This Row],[Discount]])</f>
        <v>1603.8</v>
      </c>
      <c r="Q927" s="33">
        <f>Table2_1[[#This Row],[Revenue]]-Table2_1[[#This Row],[COGS]]</f>
        <v>-16.200000000000045</v>
      </c>
      <c r="R927" s="39">
        <f>WEEKDAY(Table2_1[[#This Row],[Transaction  Date]])</f>
        <v>5</v>
      </c>
      <c r="S927" s="17" t="str">
        <f>IF(WEEKDAY(Table2_1[[#This Row],[Transaction  Date]],2)&lt;=5,"Weekday","Weekend")</f>
        <v>Weekday</v>
      </c>
      <c r="T927" s="37" t="e">
        <f>FLOOR(Table2_1[[#This Row],[Age]],15)&amp; "-"&amp; FLOOR(Table2_1[[#This Row],[Age]],15)+14</f>
        <v>#VALUE!</v>
      </c>
    </row>
    <row r="928" spans="1:20" x14ac:dyDescent="0.3">
      <c r="A928" s="18">
        <v>45491</v>
      </c>
      <c r="B928" s="17" t="s">
        <v>1768</v>
      </c>
      <c r="C928" s="17" t="s">
        <v>55</v>
      </c>
      <c r="D928" s="18">
        <v>32585</v>
      </c>
      <c r="E928" s="16" t="s">
        <v>14</v>
      </c>
      <c r="F928" s="31">
        <v>86</v>
      </c>
      <c r="G928" s="17" t="s">
        <v>27</v>
      </c>
      <c r="H928" s="17" t="s">
        <v>35</v>
      </c>
      <c r="I928" s="17" t="s">
        <v>17</v>
      </c>
      <c r="J928" s="27">
        <v>0.1</v>
      </c>
      <c r="K928" s="17" t="s">
        <v>927</v>
      </c>
      <c r="L928" s="32">
        <v>18</v>
      </c>
      <c r="M928" s="32">
        <f>_xlfn.XLOOKUP(Table2_1[[#This Row],[Product Code]],Product_Code,Unit_Price,0)</f>
        <v>22</v>
      </c>
      <c r="N928" s="31">
        <f>DATEDIF(Table2_1[[#This Row],[Buyer Date of Birth]],Table2_1[[#This Row],[Transaction  Date]],"Y")</f>
        <v>35</v>
      </c>
      <c r="O928" s="33">
        <v>1548</v>
      </c>
      <c r="P928" s="33">
        <f>Table2_1[[#This Row],[Quantity Purchased]]*Table2_1[[#This Row],[UnitPrice]]*(1-Table2_1[[#This Row],[Discount]])</f>
        <v>1702.8</v>
      </c>
      <c r="Q928" s="33">
        <f>Table2_1[[#This Row],[Revenue]]-Table2_1[[#This Row],[COGS]]</f>
        <v>154.79999999999995</v>
      </c>
      <c r="R928" s="39">
        <f>WEEKDAY(Table2_1[[#This Row],[Transaction  Date]])</f>
        <v>5</v>
      </c>
      <c r="S928" s="17" t="str">
        <f>IF(WEEKDAY(Table2_1[[#This Row],[Transaction  Date]],2)&lt;=5,"Weekday","Weekend")</f>
        <v>Weekday</v>
      </c>
      <c r="T928" s="37" t="str">
        <f>FLOOR(Table2_1[[#This Row],[Age]],15)&amp; "-"&amp; FLOOR(Table2_1[[#This Row],[Age]],15)+14</f>
        <v>30-44</v>
      </c>
    </row>
    <row r="929" spans="1:20" x14ac:dyDescent="0.3">
      <c r="A929" s="18">
        <v>45491</v>
      </c>
      <c r="B929" s="17" t="s">
        <v>1769</v>
      </c>
      <c r="C929" s="17" t="s">
        <v>26</v>
      </c>
      <c r="D929" s="18">
        <v>38508</v>
      </c>
      <c r="E929" s="16" t="s">
        <v>68</v>
      </c>
      <c r="F929" s="31">
        <v>478</v>
      </c>
      <c r="G929" s="17" t="s">
        <v>21</v>
      </c>
      <c r="H929" s="17" t="s">
        <v>48</v>
      </c>
      <c r="I929" s="17" t="s">
        <v>17</v>
      </c>
      <c r="J929" s="27">
        <v>0.1</v>
      </c>
      <c r="K929" s="17" t="s">
        <v>934</v>
      </c>
      <c r="L929" s="32">
        <v>10</v>
      </c>
      <c r="M929" s="32">
        <f>_xlfn.XLOOKUP(Table2_1[[#This Row],[Product Code]],Product_Code,Unit_Price,0)</f>
        <v>45</v>
      </c>
      <c r="N929" s="31">
        <f>DATEDIF(Table2_1[[#This Row],[Buyer Date of Birth]],Table2_1[[#This Row],[Transaction  Date]],"Y")</f>
        <v>19</v>
      </c>
      <c r="O929" s="33">
        <v>4780</v>
      </c>
      <c r="P929" s="33">
        <f>Table2_1[[#This Row],[Quantity Purchased]]*Table2_1[[#This Row],[UnitPrice]]*(1-Table2_1[[#This Row],[Discount]])</f>
        <v>19359</v>
      </c>
      <c r="Q929" s="33">
        <f>Table2_1[[#This Row],[Revenue]]-Table2_1[[#This Row],[COGS]]</f>
        <v>14579</v>
      </c>
      <c r="R929" s="39">
        <f>WEEKDAY(Table2_1[[#This Row],[Transaction  Date]])</f>
        <v>5</v>
      </c>
      <c r="S929" s="17" t="str">
        <f>IF(WEEKDAY(Table2_1[[#This Row],[Transaction  Date]],2)&lt;=5,"Weekday","Weekend")</f>
        <v>Weekday</v>
      </c>
      <c r="T929" s="37" t="str">
        <f>FLOOR(Table2_1[[#This Row],[Age]],15)&amp; "-"&amp; FLOOR(Table2_1[[#This Row],[Age]],15)+14</f>
        <v>15-29</v>
      </c>
    </row>
    <row r="930" spans="1:20" x14ac:dyDescent="0.3">
      <c r="A930" s="18">
        <v>45492</v>
      </c>
      <c r="B930" s="17" t="s">
        <v>940</v>
      </c>
      <c r="C930" s="17" t="s">
        <v>13</v>
      </c>
      <c r="D930" s="18">
        <v>33975</v>
      </c>
      <c r="E930" s="16" t="s">
        <v>33</v>
      </c>
      <c r="F930" s="31">
        <v>177</v>
      </c>
      <c r="G930" s="17" t="s">
        <v>56</v>
      </c>
      <c r="H930" s="17" t="s">
        <v>52</v>
      </c>
      <c r="I930" s="17" t="s">
        <v>29</v>
      </c>
      <c r="J930" s="27">
        <v>0.1</v>
      </c>
      <c r="K930" s="17" t="s">
        <v>935</v>
      </c>
      <c r="L930" s="32">
        <v>18</v>
      </c>
      <c r="M930" s="32">
        <f>_xlfn.XLOOKUP(Table2_1[[#This Row],[Product Code]],Product_Code,Unit_Price,0)</f>
        <v>36</v>
      </c>
      <c r="N930" s="31">
        <f>DATEDIF(Table2_1[[#This Row],[Buyer Date of Birth]],Table2_1[[#This Row],[Transaction  Date]],"Y")</f>
        <v>31</v>
      </c>
      <c r="O930" s="33">
        <v>3186</v>
      </c>
      <c r="P930" s="33">
        <f>Table2_1[[#This Row],[Quantity Purchased]]*Table2_1[[#This Row],[UnitPrice]]*(1-Table2_1[[#This Row],[Discount]])</f>
        <v>5734.8</v>
      </c>
      <c r="Q930" s="33">
        <f>Table2_1[[#This Row],[Revenue]]-Table2_1[[#This Row],[COGS]]</f>
        <v>2548.8000000000002</v>
      </c>
      <c r="R930" s="39">
        <f>WEEKDAY(Table2_1[[#This Row],[Transaction  Date]])</f>
        <v>6</v>
      </c>
      <c r="S930" s="17" t="str">
        <f>IF(WEEKDAY(Table2_1[[#This Row],[Transaction  Date]],2)&lt;=5,"Weekday","Weekend")</f>
        <v>Weekday</v>
      </c>
      <c r="T930" s="37" t="str">
        <f>FLOOR(Table2_1[[#This Row],[Age]],15)&amp; "-"&amp; FLOOR(Table2_1[[#This Row],[Age]],15)+14</f>
        <v>30-44</v>
      </c>
    </row>
    <row r="931" spans="1:20" x14ac:dyDescent="0.3">
      <c r="A931" s="18">
        <v>45492</v>
      </c>
      <c r="B931" s="17" t="s">
        <v>1770</v>
      </c>
      <c r="C931" s="17" t="s">
        <v>51</v>
      </c>
      <c r="D931" s="18">
        <v>34853</v>
      </c>
      <c r="E931" s="16" t="s">
        <v>20</v>
      </c>
      <c r="F931" s="31">
        <v>78</v>
      </c>
      <c r="G931" s="17" t="s">
        <v>21</v>
      </c>
      <c r="H931" s="17" t="s">
        <v>52</v>
      </c>
      <c r="I931" s="17" t="s">
        <v>17</v>
      </c>
      <c r="J931" s="27">
        <v>0.1</v>
      </c>
      <c r="K931" s="17" t="s">
        <v>934</v>
      </c>
      <c r="L931" s="32">
        <v>10</v>
      </c>
      <c r="M931" s="32">
        <f>_xlfn.XLOOKUP(Table2_1[[#This Row],[Product Code]],Product_Code,Unit_Price,0)</f>
        <v>45</v>
      </c>
      <c r="N931" s="31">
        <f>DATEDIF(Table2_1[[#This Row],[Buyer Date of Birth]],Table2_1[[#This Row],[Transaction  Date]],"Y")</f>
        <v>29</v>
      </c>
      <c r="O931" s="33">
        <v>780</v>
      </c>
      <c r="P931" s="33">
        <f>Table2_1[[#This Row],[Quantity Purchased]]*Table2_1[[#This Row],[UnitPrice]]*(1-Table2_1[[#This Row],[Discount]])</f>
        <v>3159</v>
      </c>
      <c r="Q931" s="33">
        <f>Table2_1[[#This Row],[Revenue]]-Table2_1[[#This Row],[COGS]]</f>
        <v>2379</v>
      </c>
      <c r="R931" s="39">
        <f>WEEKDAY(Table2_1[[#This Row],[Transaction  Date]])</f>
        <v>6</v>
      </c>
      <c r="S931" s="17" t="str">
        <f>IF(WEEKDAY(Table2_1[[#This Row],[Transaction  Date]],2)&lt;=5,"Weekday","Weekend")</f>
        <v>Weekday</v>
      </c>
      <c r="T931" s="37" t="str">
        <f>FLOOR(Table2_1[[#This Row],[Age]],15)&amp; "-"&amp; FLOOR(Table2_1[[#This Row],[Age]],15)+14</f>
        <v>15-29</v>
      </c>
    </row>
    <row r="932" spans="1:20" x14ac:dyDescent="0.3">
      <c r="A932" s="18">
        <v>45492</v>
      </c>
      <c r="B932" s="17" t="s">
        <v>1771</v>
      </c>
      <c r="C932" s="17" t="s">
        <v>71</v>
      </c>
      <c r="D932" s="18">
        <v>18958</v>
      </c>
      <c r="E932" s="16" t="s">
        <v>33</v>
      </c>
      <c r="F932" s="31">
        <v>109</v>
      </c>
      <c r="G932" s="17" t="s">
        <v>47</v>
      </c>
      <c r="H932" s="17" t="s">
        <v>28</v>
      </c>
      <c r="I932" s="17" t="s">
        <v>17</v>
      </c>
      <c r="J932" s="27">
        <v>0.1</v>
      </c>
      <c r="K932" s="17" t="s">
        <v>931</v>
      </c>
      <c r="L932" s="32">
        <v>7</v>
      </c>
      <c r="M932" s="32">
        <f>_xlfn.XLOOKUP(Table2_1[[#This Row],[Product Code]],Product_Code,Unit_Price,0)</f>
        <v>9</v>
      </c>
      <c r="N932" s="31">
        <f>DATEDIF(Table2_1[[#This Row],[Buyer Date of Birth]],Table2_1[[#This Row],[Transaction  Date]],"Y")</f>
        <v>72</v>
      </c>
      <c r="O932" s="33">
        <v>763</v>
      </c>
      <c r="P932" s="33">
        <f>Table2_1[[#This Row],[Quantity Purchased]]*Table2_1[[#This Row],[UnitPrice]]*(1-Table2_1[[#This Row],[Discount]])</f>
        <v>882.9</v>
      </c>
      <c r="Q932" s="33">
        <f>Table2_1[[#This Row],[Revenue]]-Table2_1[[#This Row],[COGS]]</f>
        <v>119.89999999999998</v>
      </c>
      <c r="R932" s="39">
        <f>WEEKDAY(Table2_1[[#This Row],[Transaction  Date]])</f>
        <v>6</v>
      </c>
      <c r="S932" s="17" t="str">
        <f>IF(WEEKDAY(Table2_1[[#This Row],[Transaction  Date]],2)&lt;=5,"Weekday","Weekend")</f>
        <v>Weekday</v>
      </c>
      <c r="T932" s="37" t="str">
        <f>FLOOR(Table2_1[[#This Row],[Age]],15)&amp; "-"&amp; FLOOR(Table2_1[[#This Row],[Age]],15)+14</f>
        <v>60-74</v>
      </c>
    </row>
    <row r="933" spans="1:20" x14ac:dyDescent="0.3">
      <c r="A933" s="18">
        <v>45493</v>
      </c>
      <c r="B933" s="17" t="s">
        <v>1772</v>
      </c>
      <c r="C933" s="17" t="s">
        <v>46</v>
      </c>
      <c r="D933" s="18">
        <v>38395</v>
      </c>
      <c r="E933" s="16" t="s">
        <v>14</v>
      </c>
      <c r="F933" s="31">
        <v>13</v>
      </c>
      <c r="G933" s="17" t="s">
        <v>65</v>
      </c>
      <c r="H933" s="17" t="s">
        <v>39</v>
      </c>
      <c r="I933" s="17" t="s">
        <v>17</v>
      </c>
      <c r="J933" s="27">
        <v>0.1</v>
      </c>
      <c r="K933" s="17" t="s">
        <v>928</v>
      </c>
      <c r="L933" s="32">
        <v>3</v>
      </c>
      <c r="M933" s="32">
        <f>_xlfn.XLOOKUP(Table2_1[[#This Row],[Product Code]],Product_Code,Unit_Price,0)</f>
        <v>5</v>
      </c>
      <c r="N933" s="31">
        <f>DATEDIF(Table2_1[[#This Row],[Buyer Date of Birth]],Table2_1[[#This Row],[Transaction  Date]],"Y")</f>
        <v>19</v>
      </c>
      <c r="O933" s="33">
        <v>39</v>
      </c>
      <c r="P933" s="33">
        <f>Table2_1[[#This Row],[Quantity Purchased]]*Table2_1[[#This Row],[UnitPrice]]*(1-Table2_1[[#This Row],[Discount]])</f>
        <v>58.5</v>
      </c>
      <c r="Q933" s="33">
        <f>Table2_1[[#This Row],[Revenue]]-Table2_1[[#This Row],[COGS]]</f>
        <v>19.5</v>
      </c>
      <c r="R933" s="39">
        <f>WEEKDAY(Table2_1[[#This Row],[Transaction  Date]])</f>
        <v>7</v>
      </c>
      <c r="S933" s="17" t="str">
        <f>IF(WEEKDAY(Table2_1[[#This Row],[Transaction  Date]],2)&lt;=5,"Weekday","Weekend")</f>
        <v>Weekend</v>
      </c>
      <c r="T933" s="37" t="str">
        <f>FLOOR(Table2_1[[#This Row],[Age]],15)&amp; "-"&amp; FLOOR(Table2_1[[#This Row],[Age]],15)+14</f>
        <v>15-29</v>
      </c>
    </row>
    <row r="934" spans="1:20" x14ac:dyDescent="0.3">
      <c r="A934" s="18">
        <v>45493</v>
      </c>
      <c r="B934" s="17" t="s">
        <v>1773</v>
      </c>
      <c r="C934" s="17" t="s">
        <v>83</v>
      </c>
      <c r="D934" s="18">
        <v>23208</v>
      </c>
      <c r="E934" s="16" t="s">
        <v>14</v>
      </c>
      <c r="F934" s="31">
        <v>265</v>
      </c>
      <c r="G934" s="17" t="s">
        <v>27</v>
      </c>
      <c r="H934" s="17" t="s">
        <v>48</v>
      </c>
      <c r="I934" s="17" t="s">
        <v>17</v>
      </c>
      <c r="J934" s="27">
        <v>0.1</v>
      </c>
      <c r="K934" s="17" t="s">
        <v>927</v>
      </c>
      <c r="L934" s="32">
        <v>18</v>
      </c>
      <c r="M934" s="32">
        <f>_xlfn.XLOOKUP(Table2_1[[#This Row],[Product Code]],Product_Code,Unit_Price,0)</f>
        <v>22</v>
      </c>
      <c r="N934" s="31">
        <f>DATEDIF(Table2_1[[#This Row],[Buyer Date of Birth]],Table2_1[[#This Row],[Transaction  Date]],"Y")</f>
        <v>61</v>
      </c>
      <c r="O934" s="33">
        <v>4770</v>
      </c>
      <c r="P934" s="33">
        <f>Table2_1[[#This Row],[Quantity Purchased]]*Table2_1[[#This Row],[UnitPrice]]*(1-Table2_1[[#This Row],[Discount]])</f>
        <v>5247</v>
      </c>
      <c r="Q934" s="33">
        <f>Table2_1[[#This Row],[Revenue]]-Table2_1[[#This Row],[COGS]]</f>
        <v>477</v>
      </c>
      <c r="R934" s="39">
        <f>WEEKDAY(Table2_1[[#This Row],[Transaction  Date]])</f>
        <v>7</v>
      </c>
      <c r="S934" s="17" t="str">
        <f>IF(WEEKDAY(Table2_1[[#This Row],[Transaction  Date]],2)&lt;=5,"Weekday","Weekend")</f>
        <v>Weekend</v>
      </c>
      <c r="T934" s="37" t="str">
        <f>FLOOR(Table2_1[[#This Row],[Age]],15)&amp; "-"&amp; FLOOR(Table2_1[[#This Row],[Age]],15)+14</f>
        <v>60-74</v>
      </c>
    </row>
    <row r="935" spans="1:20" x14ac:dyDescent="0.3">
      <c r="A935" s="18">
        <v>45493</v>
      </c>
      <c r="B935" s="17" t="s">
        <v>1774</v>
      </c>
      <c r="C935" s="17" t="s">
        <v>13</v>
      </c>
      <c r="D935" s="18">
        <v>26275</v>
      </c>
      <c r="E935" s="16" t="s">
        <v>20</v>
      </c>
      <c r="F935" s="31">
        <v>183</v>
      </c>
      <c r="G935" s="17" t="s">
        <v>34</v>
      </c>
      <c r="H935" s="17" t="s">
        <v>39</v>
      </c>
      <c r="I935" s="17" t="s">
        <v>17</v>
      </c>
      <c r="J935" s="27">
        <v>0.1</v>
      </c>
      <c r="K935" s="17" t="s">
        <v>930</v>
      </c>
      <c r="L935" s="32">
        <v>14</v>
      </c>
      <c r="M935" s="32">
        <f>_xlfn.XLOOKUP(Table2_1[[#This Row],[Product Code]],Product_Code,Unit_Price,0)</f>
        <v>28</v>
      </c>
      <c r="N935" s="31">
        <f>DATEDIF(Table2_1[[#This Row],[Buyer Date of Birth]],Table2_1[[#This Row],[Transaction  Date]],"Y")</f>
        <v>52</v>
      </c>
      <c r="O935" s="33">
        <v>2562</v>
      </c>
      <c r="P935" s="33">
        <f>Table2_1[[#This Row],[Quantity Purchased]]*Table2_1[[#This Row],[UnitPrice]]*(1-Table2_1[[#This Row],[Discount]])</f>
        <v>4611.6000000000004</v>
      </c>
      <c r="Q935" s="33">
        <f>Table2_1[[#This Row],[Revenue]]-Table2_1[[#This Row],[COGS]]</f>
        <v>2049.6000000000004</v>
      </c>
      <c r="R935" s="39">
        <f>WEEKDAY(Table2_1[[#This Row],[Transaction  Date]])</f>
        <v>7</v>
      </c>
      <c r="S935" s="17" t="str">
        <f>IF(WEEKDAY(Table2_1[[#This Row],[Transaction  Date]],2)&lt;=5,"Weekday","Weekend")</f>
        <v>Weekend</v>
      </c>
      <c r="T935" s="37" t="str">
        <f>FLOOR(Table2_1[[#This Row],[Age]],15)&amp; "-"&amp; FLOOR(Table2_1[[#This Row],[Age]],15)+14</f>
        <v>45-59</v>
      </c>
    </row>
    <row r="936" spans="1:20" x14ac:dyDescent="0.3">
      <c r="A936" s="18">
        <v>45494</v>
      </c>
      <c r="B936" s="17" t="s">
        <v>1775</v>
      </c>
      <c r="C936" s="17" t="s">
        <v>38</v>
      </c>
      <c r="D936" s="18">
        <v>23513</v>
      </c>
      <c r="E936" s="16" t="s">
        <v>14</v>
      </c>
      <c r="F936" s="31">
        <v>129</v>
      </c>
      <c r="G936" s="17" t="s">
        <v>34</v>
      </c>
      <c r="H936" s="17" t="s">
        <v>48</v>
      </c>
      <c r="I936" s="17" t="s">
        <v>17</v>
      </c>
      <c r="J936" s="27">
        <v>0.1</v>
      </c>
      <c r="K936" s="17" t="s">
        <v>930</v>
      </c>
      <c r="L936" s="32">
        <v>14</v>
      </c>
      <c r="M936" s="32">
        <f>_xlfn.XLOOKUP(Table2_1[[#This Row],[Product Code]],Product_Code,Unit_Price,0)</f>
        <v>28</v>
      </c>
      <c r="N936" s="31">
        <f>DATEDIF(Table2_1[[#This Row],[Buyer Date of Birth]],Table2_1[[#This Row],[Transaction  Date]],"Y")</f>
        <v>60</v>
      </c>
      <c r="O936" s="33">
        <v>1806</v>
      </c>
      <c r="P936" s="33">
        <f>Table2_1[[#This Row],[Quantity Purchased]]*Table2_1[[#This Row],[UnitPrice]]*(1-Table2_1[[#This Row],[Discount]])</f>
        <v>3250.8</v>
      </c>
      <c r="Q936" s="33">
        <f>Table2_1[[#This Row],[Revenue]]-Table2_1[[#This Row],[COGS]]</f>
        <v>1444.8000000000002</v>
      </c>
      <c r="R936" s="39">
        <f>WEEKDAY(Table2_1[[#This Row],[Transaction  Date]])</f>
        <v>1</v>
      </c>
      <c r="S936" s="17" t="str">
        <f>IF(WEEKDAY(Table2_1[[#This Row],[Transaction  Date]],2)&lt;=5,"Weekday","Weekend")</f>
        <v>Weekend</v>
      </c>
      <c r="T936" s="37" t="str">
        <f>FLOOR(Table2_1[[#This Row],[Age]],15)&amp; "-"&amp; FLOOR(Table2_1[[#This Row],[Age]],15)+14</f>
        <v>60-74</v>
      </c>
    </row>
    <row r="937" spans="1:20" x14ac:dyDescent="0.3">
      <c r="A937" s="18">
        <v>45494</v>
      </c>
      <c r="B937" s="17" t="s">
        <v>1776</v>
      </c>
      <c r="C937" s="17" t="s">
        <v>94</v>
      </c>
      <c r="D937" s="18">
        <v>38402</v>
      </c>
      <c r="E937" s="16" t="s">
        <v>20</v>
      </c>
      <c r="F937" s="31">
        <v>485</v>
      </c>
      <c r="G937" s="17" t="s">
        <v>42</v>
      </c>
      <c r="H937" s="17" t="s">
        <v>35</v>
      </c>
      <c r="I937" s="17" t="s">
        <v>17</v>
      </c>
      <c r="J937" s="27">
        <v>0.1</v>
      </c>
      <c r="K937" s="17" t="s">
        <v>926</v>
      </c>
      <c r="L937" s="32">
        <v>10</v>
      </c>
      <c r="M937" s="32">
        <f>_xlfn.XLOOKUP(Table2_1[[#This Row],[Product Code]],Product_Code,Unit_Price,0)</f>
        <v>11</v>
      </c>
      <c r="N937" s="31">
        <f>DATEDIF(Table2_1[[#This Row],[Buyer Date of Birth]],Table2_1[[#This Row],[Transaction  Date]],"Y")</f>
        <v>19</v>
      </c>
      <c r="O937" s="33">
        <v>4850</v>
      </c>
      <c r="P937" s="33">
        <f>Table2_1[[#This Row],[Quantity Purchased]]*Table2_1[[#This Row],[UnitPrice]]*(1-Table2_1[[#This Row],[Discount]])</f>
        <v>4801.5</v>
      </c>
      <c r="Q937" s="33">
        <f>Table2_1[[#This Row],[Revenue]]-Table2_1[[#This Row],[COGS]]</f>
        <v>-48.5</v>
      </c>
      <c r="R937" s="39">
        <f>WEEKDAY(Table2_1[[#This Row],[Transaction  Date]])</f>
        <v>1</v>
      </c>
      <c r="S937" s="17" t="str">
        <f>IF(WEEKDAY(Table2_1[[#This Row],[Transaction  Date]],2)&lt;=5,"Weekday","Weekend")</f>
        <v>Weekend</v>
      </c>
      <c r="T937" s="37" t="str">
        <f>FLOOR(Table2_1[[#This Row],[Age]],15)&amp; "-"&amp; FLOOR(Table2_1[[#This Row],[Age]],15)+14</f>
        <v>15-29</v>
      </c>
    </row>
    <row r="938" spans="1:20" x14ac:dyDescent="0.3">
      <c r="A938" s="18">
        <v>45494</v>
      </c>
      <c r="B938" s="17" t="s">
        <v>1777</v>
      </c>
      <c r="C938" s="17" t="s">
        <v>55</v>
      </c>
      <c r="D938" s="18">
        <v>36853</v>
      </c>
      <c r="E938" s="16" t="s">
        <v>68</v>
      </c>
      <c r="F938" s="31">
        <v>317</v>
      </c>
      <c r="G938" s="17" t="s">
        <v>34</v>
      </c>
      <c r="H938" s="17" t="s">
        <v>28</v>
      </c>
      <c r="I938" s="17" t="s">
        <v>17</v>
      </c>
      <c r="J938" s="27">
        <v>0.1</v>
      </c>
      <c r="K938" s="17" t="s">
        <v>930</v>
      </c>
      <c r="L938" s="32">
        <v>14</v>
      </c>
      <c r="M938" s="32">
        <f>_xlfn.XLOOKUP(Table2_1[[#This Row],[Product Code]],Product_Code,Unit_Price,0)</f>
        <v>28</v>
      </c>
      <c r="N938" s="31">
        <f>DATEDIF(Table2_1[[#This Row],[Buyer Date of Birth]],Table2_1[[#This Row],[Transaction  Date]],"Y")</f>
        <v>23</v>
      </c>
      <c r="O938" s="33">
        <v>4438</v>
      </c>
      <c r="P938" s="33">
        <f>Table2_1[[#This Row],[Quantity Purchased]]*Table2_1[[#This Row],[UnitPrice]]*(1-Table2_1[[#This Row],[Discount]])</f>
        <v>7988.4000000000005</v>
      </c>
      <c r="Q938" s="33">
        <f>Table2_1[[#This Row],[Revenue]]-Table2_1[[#This Row],[COGS]]</f>
        <v>3550.4000000000005</v>
      </c>
      <c r="R938" s="39">
        <f>WEEKDAY(Table2_1[[#This Row],[Transaction  Date]])</f>
        <v>1</v>
      </c>
      <c r="S938" s="17" t="str">
        <f>IF(WEEKDAY(Table2_1[[#This Row],[Transaction  Date]],2)&lt;=5,"Weekday","Weekend")</f>
        <v>Weekend</v>
      </c>
      <c r="T938" s="37" t="str">
        <f>FLOOR(Table2_1[[#This Row],[Age]],15)&amp; "-"&amp; FLOOR(Table2_1[[#This Row],[Age]],15)+14</f>
        <v>15-29</v>
      </c>
    </row>
    <row r="939" spans="1:20" x14ac:dyDescent="0.3">
      <c r="A939" s="18">
        <v>45494</v>
      </c>
      <c r="B939" s="17" t="s">
        <v>1778</v>
      </c>
      <c r="C939" s="17" t="s">
        <v>78</v>
      </c>
      <c r="D939" s="18">
        <v>26250</v>
      </c>
      <c r="E939" s="16" t="s">
        <v>33</v>
      </c>
      <c r="F939" s="31">
        <v>457</v>
      </c>
      <c r="G939" s="17" t="s">
        <v>64</v>
      </c>
      <c r="H939" s="17" t="s">
        <v>52</v>
      </c>
      <c r="I939" s="17" t="s">
        <v>23</v>
      </c>
      <c r="J939" s="27">
        <v>0.1</v>
      </c>
      <c r="K939" s="17" t="s">
        <v>933</v>
      </c>
      <c r="L939" s="32">
        <v>5</v>
      </c>
      <c r="M939" s="32">
        <f>_xlfn.XLOOKUP(Table2_1[[#This Row],[Product Code]],Product_Code,Unit_Price,0)</f>
        <v>7</v>
      </c>
      <c r="N939" s="31">
        <f>DATEDIF(Table2_1[[#This Row],[Buyer Date of Birth]],Table2_1[[#This Row],[Transaction  Date]],"Y")</f>
        <v>52</v>
      </c>
      <c r="O939" s="33">
        <v>2285</v>
      </c>
      <c r="P939" s="33">
        <f>Table2_1[[#This Row],[Quantity Purchased]]*Table2_1[[#This Row],[UnitPrice]]*(1-Table2_1[[#This Row],[Discount]])</f>
        <v>2879.1</v>
      </c>
      <c r="Q939" s="33">
        <f>Table2_1[[#This Row],[Revenue]]-Table2_1[[#This Row],[COGS]]</f>
        <v>594.09999999999991</v>
      </c>
      <c r="R939" s="39">
        <f>WEEKDAY(Table2_1[[#This Row],[Transaction  Date]])</f>
        <v>1</v>
      </c>
      <c r="S939" s="17" t="str">
        <f>IF(WEEKDAY(Table2_1[[#This Row],[Transaction  Date]],2)&lt;=5,"Weekday","Weekend")</f>
        <v>Weekend</v>
      </c>
      <c r="T939" s="37" t="str">
        <f>FLOOR(Table2_1[[#This Row],[Age]],15)&amp; "-"&amp; FLOOR(Table2_1[[#This Row],[Age]],15)+14</f>
        <v>45-59</v>
      </c>
    </row>
    <row r="940" spans="1:20" x14ac:dyDescent="0.3">
      <c r="A940" s="18">
        <v>45494</v>
      </c>
      <c r="B940" s="17" t="s">
        <v>1779</v>
      </c>
      <c r="C940" s="17" t="s">
        <v>26</v>
      </c>
      <c r="D940" s="18">
        <v>17363</v>
      </c>
      <c r="E940" s="16" t="s">
        <v>68</v>
      </c>
      <c r="F940" s="31">
        <v>387</v>
      </c>
      <c r="G940" s="17" t="s">
        <v>59</v>
      </c>
      <c r="H940" s="17" t="s">
        <v>39</v>
      </c>
      <c r="I940" s="17" t="s">
        <v>17</v>
      </c>
      <c r="J940" s="27">
        <v>0.1</v>
      </c>
      <c r="K940" s="17" t="s">
        <v>932</v>
      </c>
      <c r="L940" s="32">
        <v>19</v>
      </c>
      <c r="M940" s="32">
        <f>_xlfn.XLOOKUP(Table2_1[[#This Row],[Product Code]],Product_Code,Unit_Price,0)</f>
        <v>23</v>
      </c>
      <c r="N940" s="31">
        <f>DATEDIF(Table2_1[[#This Row],[Buyer Date of Birth]],Table2_1[[#This Row],[Transaction  Date]],"Y")</f>
        <v>77</v>
      </c>
      <c r="O940" s="33">
        <v>7353</v>
      </c>
      <c r="P940" s="33">
        <f>Table2_1[[#This Row],[Quantity Purchased]]*Table2_1[[#This Row],[UnitPrice]]*(1-Table2_1[[#This Row],[Discount]])</f>
        <v>8010.9000000000005</v>
      </c>
      <c r="Q940" s="33">
        <f>Table2_1[[#This Row],[Revenue]]-Table2_1[[#This Row],[COGS]]</f>
        <v>657.90000000000055</v>
      </c>
      <c r="R940" s="39">
        <f>WEEKDAY(Table2_1[[#This Row],[Transaction  Date]])</f>
        <v>1</v>
      </c>
      <c r="S940" s="17" t="str">
        <f>IF(WEEKDAY(Table2_1[[#This Row],[Transaction  Date]],2)&lt;=5,"Weekday","Weekend")</f>
        <v>Weekend</v>
      </c>
      <c r="T940" s="37" t="str">
        <f>FLOOR(Table2_1[[#This Row],[Age]],15)&amp; "-"&amp; FLOOR(Table2_1[[#This Row],[Age]],15)+14</f>
        <v>75-89</v>
      </c>
    </row>
    <row r="941" spans="1:20" x14ac:dyDescent="0.3">
      <c r="A941" s="18">
        <v>45494</v>
      </c>
      <c r="B941" s="17" t="s">
        <v>1780</v>
      </c>
      <c r="C941" s="17" t="s">
        <v>71</v>
      </c>
      <c r="D941" s="18">
        <v>19022</v>
      </c>
      <c r="E941" s="16" t="s">
        <v>14</v>
      </c>
      <c r="F941" s="31">
        <v>231</v>
      </c>
      <c r="G941" s="17" t="s">
        <v>27</v>
      </c>
      <c r="H941" s="17" t="s">
        <v>52</v>
      </c>
      <c r="I941" s="17" t="s">
        <v>17</v>
      </c>
      <c r="J941" s="27">
        <v>0.1</v>
      </c>
      <c r="K941" s="17" t="s">
        <v>927</v>
      </c>
      <c r="L941" s="32">
        <v>18</v>
      </c>
      <c r="M941" s="32">
        <f>_xlfn.XLOOKUP(Table2_1[[#This Row],[Product Code]],Product_Code,Unit_Price,0)</f>
        <v>22</v>
      </c>
      <c r="N941" s="31">
        <f>DATEDIF(Table2_1[[#This Row],[Buyer Date of Birth]],Table2_1[[#This Row],[Transaction  Date]],"Y")</f>
        <v>72</v>
      </c>
      <c r="O941" s="33">
        <v>4158</v>
      </c>
      <c r="P941" s="33">
        <f>Table2_1[[#This Row],[Quantity Purchased]]*Table2_1[[#This Row],[UnitPrice]]*(1-Table2_1[[#This Row],[Discount]])</f>
        <v>4573.8</v>
      </c>
      <c r="Q941" s="33">
        <f>Table2_1[[#This Row],[Revenue]]-Table2_1[[#This Row],[COGS]]</f>
        <v>415.80000000000018</v>
      </c>
      <c r="R941" s="39">
        <f>WEEKDAY(Table2_1[[#This Row],[Transaction  Date]])</f>
        <v>1</v>
      </c>
      <c r="S941" s="17" t="str">
        <f>IF(WEEKDAY(Table2_1[[#This Row],[Transaction  Date]],2)&lt;=5,"Weekday","Weekend")</f>
        <v>Weekend</v>
      </c>
      <c r="T941" s="37" t="str">
        <f>FLOOR(Table2_1[[#This Row],[Age]],15)&amp; "-"&amp; FLOOR(Table2_1[[#This Row],[Age]],15)+14</f>
        <v>60-74</v>
      </c>
    </row>
    <row r="942" spans="1:20" x14ac:dyDescent="0.3">
      <c r="A942" s="18">
        <v>45494</v>
      </c>
      <c r="B942" s="17" t="s">
        <v>1781</v>
      </c>
      <c r="C942" s="17" t="s">
        <v>71</v>
      </c>
      <c r="D942" s="18">
        <v>32105</v>
      </c>
      <c r="E942" s="16" t="s">
        <v>20</v>
      </c>
      <c r="F942" s="31">
        <v>291</v>
      </c>
      <c r="G942" s="17" t="s">
        <v>15</v>
      </c>
      <c r="H942" s="17" t="s">
        <v>39</v>
      </c>
      <c r="I942" s="17" t="s">
        <v>17</v>
      </c>
      <c r="J942" s="27">
        <v>0.1</v>
      </c>
      <c r="K942" s="17" t="s">
        <v>929</v>
      </c>
      <c r="L942" s="32">
        <v>10</v>
      </c>
      <c r="M942" s="32">
        <f>_xlfn.XLOOKUP(Table2_1[[#This Row],[Product Code]],Product_Code,Unit_Price,0)</f>
        <v>14</v>
      </c>
      <c r="N942" s="31">
        <f>DATEDIF(Table2_1[[#This Row],[Buyer Date of Birth]],Table2_1[[#This Row],[Transaction  Date]],"Y")</f>
        <v>36</v>
      </c>
      <c r="O942" s="33">
        <v>2910</v>
      </c>
      <c r="P942" s="33">
        <f>Table2_1[[#This Row],[Quantity Purchased]]*Table2_1[[#This Row],[UnitPrice]]*(1-Table2_1[[#This Row],[Discount]])</f>
        <v>3666.6</v>
      </c>
      <c r="Q942" s="33">
        <f>Table2_1[[#This Row],[Revenue]]-Table2_1[[#This Row],[COGS]]</f>
        <v>756.59999999999991</v>
      </c>
      <c r="R942" s="39">
        <f>WEEKDAY(Table2_1[[#This Row],[Transaction  Date]])</f>
        <v>1</v>
      </c>
      <c r="S942" s="17" t="str">
        <f>IF(WEEKDAY(Table2_1[[#This Row],[Transaction  Date]],2)&lt;=5,"Weekday","Weekend")</f>
        <v>Weekend</v>
      </c>
      <c r="T942" s="37" t="str">
        <f>FLOOR(Table2_1[[#This Row],[Age]],15)&amp; "-"&amp; FLOOR(Table2_1[[#This Row],[Age]],15)+14</f>
        <v>30-44</v>
      </c>
    </row>
    <row r="943" spans="1:20" x14ac:dyDescent="0.3">
      <c r="A943" s="18">
        <v>45494</v>
      </c>
      <c r="B943" s="17" t="s">
        <v>1782</v>
      </c>
      <c r="C943" s="17" t="s">
        <v>94</v>
      </c>
      <c r="D943" s="18">
        <v>26221</v>
      </c>
      <c r="E943" s="16" t="s">
        <v>20</v>
      </c>
      <c r="F943" s="31">
        <v>321</v>
      </c>
      <c r="G943" s="17" t="s">
        <v>21</v>
      </c>
      <c r="H943" s="17" t="s">
        <v>52</v>
      </c>
      <c r="I943" s="17" t="s">
        <v>17</v>
      </c>
      <c r="J943" s="27">
        <v>0.1</v>
      </c>
      <c r="K943" s="17" t="s">
        <v>934</v>
      </c>
      <c r="L943" s="32">
        <v>10</v>
      </c>
      <c r="M943" s="32">
        <f>_xlfn.XLOOKUP(Table2_1[[#This Row],[Product Code]],Product_Code,Unit_Price,0)</f>
        <v>45</v>
      </c>
      <c r="N943" s="31">
        <f>DATEDIF(Table2_1[[#This Row],[Buyer Date of Birth]],Table2_1[[#This Row],[Transaction  Date]],"Y")</f>
        <v>52</v>
      </c>
      <c r="O943" s="33">
        <v>3210</v>
      </c>
      <c r="P943" s="33">
        <f>Table2_1[[#This Row],[Quantity Purchased]]*Table2_1[[#This Row],[UnitPrice]]*(1-Table2_1[[#This Row],[Discount]])</f>
        <v>13000.5</v>
      </c>
      <c r="Q943" s="33">
        <f>Table2_1[[#This Row],[Revenue]]-Table2_1[[#This Row],[COGS]]</f>
        <v>9790.5</v>
      </c>
      <c r="R943" s="39">
        <f>WEEKDAY(Table2_1[[#This Row],[Transaction  Date]])</f>
        <v>1</v>
      </c>
      <c r="S943" s="17" t="str">
        <f>IF(WEEKDAY(Table2_1[[#This Row],[Transaction  Date]],2)&lt;=5,"Weekday","Weekend")</f>
        <v>Weekend</v>
      </c>
      <c r="T943" s="37" t="str">
        <f>FLOOR(Table2_1[[#This Row],[Age]],15)&amp; "-"&amp; FLOOR(Table2_1[[#This Row],[Age]],15)+14</f>
        <v>45-59</v>
      </c>
    </row>
    <row r="944" spans="1:20" x14ac:dyDescent="0.3">
      <c r="A944" s="18">
        <v>45495</v>
      </c>
      <c r="B944" s="17" t="s">
        <v>1783</v>
      </c>
      <c r="C944" s="17" t="s">
        <v>78</v>
      </c>
      <c r="D944" s="18">
        <v>34372</v>
      </c>
      <c r="E944" s="16" t="s">
        <v>33</v>
      </c>
      <c r="F944" s="31">
        <v>197</v>
      </c>
      <c r="G944" s="17" t="s">
        <v>65</v>
      </c>
      <c r="H944" s="17" t="s">
        <v>35</v>
      </c>
      <c r="I944" s="17" t="s">
        <v>17</v>
      </c>
      <c r="J944" s="27">
        <v>0.1</v>
      </c>
      <c r="K944" s="17" t="s">
        <v>928</v>
      </c>
      <c r="L944" s="32">
        <v>3</v>
      </c>
      <c r="M944" s="32">
        <f>_xlfn.XLOOKUP(Table2_1[[#This Row],[Product Code]],Product_Code,Unit_Price,0)</f>
        <v>5</v>
      </c>
      <c r="N944" s="31">
        <f>DATEDIF(Table2_1[[#This Row],[Buyer Date of Birth]],Table2_1[[#This Row],[Transaction  Date]],"Y")</f>
        <v>30</v>
      </c>
      <c r="O944" s="33">
        <v>591</v>
      </c>
      <c r="P944" s="33">
        <f>Table2_1[[#This Row],[Quantity Purchased]]*Table2_1[[#This Row],[UnitPrice]]*(1-Table2_1[[#This Row],[Discount]])</f>
        <v>886.5</v>
      </c>
      <c r="Q944" s="33">
        <f>Table2_1[[#This Row],[Revenue]]-Table2_1[[#This Row],[COGS]]</f>
        <v>295.5</v>
      </c>
      <c r="R944" s="39">
        <f>WEEKDAY(Table2_1[[#This Row],[Transaction  Date]])</f>
        <v>2</v>
      </c>
      <c r="S944" s="17" t="str">
        <f>IF(WEEKDAY(Table2_1[[#This Row],[Transaction  Date]],2)&lt;=5,"Weekday","Weekend")</f>
        <v>Weekday</v>
      </c>
      <c r="T944" s="37" t="str">
        <f>FLOOR(Table2_1[[#This Row],[Age]],15)&amp; "-"&amp; FLOOR(Table2_1[[#This Row],[Age]],15)+14</f>
        <v>30-44</v>
      </c>
    </row>
    <row r="945" spans="1:20" x14ac:dyDescent="0.3">
      <c r="A945" s="18">
        <v>45495</v>
      </c>
      <c r="B945" s="17" t="s">
        <v>1784</v>
      </c>
      <c r="C945" s="17" t="s">
        <v>71</v>
      </c>
      <c r="D945" s="18">
        <v>24953</v>
      </c>
      <c r="E945" s="16" t="s">
        <v>68</v>
      </c>
      <c r="F945" s="31">
        <v>270</v>
      </c>
      <c r="G945" s="17" t="s">
        <v>59</v>
      </c>
      <c r="H945" s="17" t="s">
        <v>52</v>
      </c>
      <c r="I945" s="17" t="s">
        <v>17</v>
      </c>
      <c r="J945" s="27">
        <v>0.1</v>
      </c>
      <c r="K945" s="17" t="s">
        <v>932</v>
      </c>
      <c r="L945" s="32">
        <v>19</v>
      </c>
      <c r="M945" s="32">
        <f>_xlfn.XLOOKUP(Table2_1[[#This Row],[Product Code]],Product_Code,Unit_Price,0)</f>
        <v>23</v>
      </c>
      <c r="N945" s="31">
        <f>DATEDIF(Table2_1[[#This Row],[Buyer Date of Birth]],Table2_1[[#This Row],[Transaction  Date]],"Y")</f>
        <v>56</v>
      </c>
      <c r="O945" s="33">
        <v>5130</v>
      </c>
      <c r="P945" s="33">
        <f>Table2_1[[#This Row],[Quantity Purchased]]*Table2_1[[#This Row],[UnitPrice]]*(1-Table2_1[[#This Row],[Discount]])</f>
        <v>5589</v>
      </c>
      <c r="Q945" s="33">
        <f>Table2_1[[#This Row],[Revenue]]-Table2_1[[#This Row],[COGS]]</f>
        <v>459</v>
      </c>
      <c r="R945" s="39">
        <f>WEEKDAY(Table2_1[[#This Row],[Transaction  Date]])</f>
        <v>2</v>
      </c>
      <c r="S945" s="17" t="str">
        <f>IF(WEEKDAY(Table2_1[[#This Row],[Transaction  Date]],2)&lt;=5,"Weekday","Weekend")</f>
        <v>Weekday</v>
      </c>
      <c r="T945" s="37" t="str">
        <f>FLOOR(Table2_1[[#This Row],[Age]],15)&amp; "-"&amp; FLOOR(Table2_1[[#This Row],[Age]],15)+14</f>
        <v>45-59</v>
      </c>
    </row>
    <row r="946" spans="1:20" x14ac:dyDescent="0.3">
      <c r="A946" s="18">
        <v>45495</v>
      </c>
      <c r="B946" s="17" t="s">
        <v>1785</v>
      </c>
      <c r="C946" s="17" t="s">
        <v>46</v>
      </c>
      <c r="D946" s="18">
        <v>31397</v>
      </c>
      <c r="E946" s="16" t="s">
        <v>33</v>
      </c>
      <c r="F946" s="31">
        <v>286</v>
      </c>
      <c r="G946" s="17" t="s">
        <v>42</v>
      </c>
      <c r="H946" s="17" t="s">
        <v>43</v>
      </c>
      <c r="I946" s="17" t="s">
        <v>17</v>
      </c>
      <c r="J946" s="27">
        <v>0.1</v>
      </c>
      <c r="K946" s="17" t="s">
        <v>926</v>
      </c>
      <c r="L946" s="32">
        <v>10</v>
      </c>
      <c r="M946" s="32">
        <f>_xlfn.XLOOKUP(Table2_1[[#This Row],[Product Code]],Product_Code,Unit_Price,0)</f>
        <v>11</v>
      </c>
      <c r="N946" s="31">
        <f>DATEDIF(Table2_1[[#This Row],[Buyer Date of Birth]],Table2_1[[#This Row],[Transaction  Date]],"Y")</f>
        <v>38</v>
      </c>
      <c r="O946" s="33">
        <v>2860</v>
      </c>
      <c r="P946" s="33">
        <f>Table2_1[[#This Row],[Quantity Purchased]]*Table2_1[[#This Row],[UnitPrice]]*(1-Table2_1[[#This Row],[Discount]])</f>
        <v>2831.4</v>
      </c>
      <c r="Q946" s="33">
        <f>Table2_1[[#This Row],[Revenue]]-Table2_1[[#This Row],[COGS]]</f>
        <v>-28.599999999999909</v>
      </c>
      <c r="R946" s="39">
        <f>WEEKDAY(Table2_1[[#This Row],[Transaction  Date]])</f>
        <v>2</v>
      </c>
      <c r="S946" s="17" t="str">
        <f>IF(WEEKDAY(Table2_1[[#This Row],[Transaction  Date]],2)&lt;=5,"Weekday","Weekend")</f>
        <v>Weekday</v>
      </c>
      <c r="T946" s="37" t="str">
        <f>FLOOR(Table2_1[[#This Row],[Age]],15)&amp; "-"&amp; FLOOR(Table2_1[[#This Row],[Age]],15)+14</f>
        <v>30-44</v>
      </c>
    </row>
    <row r="947" spans="1:20" x14ac:dyDescent="0.3">
      <c r="A947" s="18">
        <v>45495</v>
      </c>
      <c r="B947" s="17" t="s">
        <v>1786</v>
      </c>
      <c r="C947" s="17" t="s">
        <v>55</v>
      </c>
      <c r="D947" s="18">
        <v>32939</v>
      </c>
      <c r="E947" s="16" t="s">
        <v>14</v>
      </c>
      <c r="F947" s="31">
        <v>108</v>
      </c>
      <c r="G947" s="17" t="s">
        <v>47</v>
      </c>
      <c r="H947" s="17" t="s">
        <v>32</v>
      </c>
      <c r="I947" s="17" t="s">
        <v>23</v>
      </c>
      <c r="J947" s="27">
        <v>0.1</v>
      </c>
      <c r="K947" s="17" t="s">
        <v>931</v>
      </c>
      <c r="L947" s="32">
        <v>7</v>
      </c>
      <c r="M947" s="32">
        <f>_xlfn.XLOOKUP(Table2_1[[#This Row],[Product Code]],Product_Code,Unit_Price,0)</f>
        <v>9</v>
      </c>
      <c r="N947" s="31">
        <f>DATEDIF(Table2_1[[#This Row],[Buyer Date of Birth]],Table2_1[[#This Row],[Transaction  Date]],"Y")</f>
        <v>34</v>
      </c>
      <c r="O947" s="33">
        <v>756</v>
      </c>
      <c r="P947" s="33">
        <f>Table2_1[[#This Row],[Quantity Purchased]]*Table2_1[[#This Row],[UnitPrice]]*(1-Table2_1[[#This Row],[Discount]])</f>
        <v>874.80000000000007</v>
      </c>
      <c r="Q947" s="33">
        <f>Table2_1[[#This Row],[Revenue]]-Table2_1[[#This Row],[COGS]]</f>
        <v>118.80000000000007</v>
      </c>
      <c r="R947" s="39">
        <f>WEEKDAY(Table2_1[[#This Row],[Transaction  Date]])</f>
        <v>2</v>
      </c>
      <c r="S947" s="17" t="str">
        <f>IF(WEEKDAY(Table2_1[[#This Row],[Transaction  Date]],2)&lt;=5,"Weekday","Weekend")</f>
        <v>Weekday</v>
      </c>
      <c r="T947" s="37" t="str">
        <f>FLOOR(Table2_1[[#This Row],[Age]],15)&amp; "-"&amp; FLOOR(Table2_1[[#This Row],[Age]],15)+14</f>
        <v>30-44</v>
      </c>
    </row>
    <row r="948" spans="1:20" x14ac:dyDescent="0.3">
      <c r="A948" s="18">
        <v>45495</v>
      </c>
      <c r="B948" s="17" t="s">
        <v>1787</v>
      </c>
      <c r="C948" s="17" t="s">
        <v>83</v>
      </c>
      <c r="D948" s="18">
        <v>30652</v>
      </c>
      <c r="E948" s="16" t="s">
        <v>14</v>
      </c>
      <c r="F948" s="31">
        <v>79</v>
      </c>
      <c r="G948" s="17" t="s">
        <v>42</v>
      </c>
      <c r="H948" s="17" t="s">
        <v>48</v>
      </c>
      <c r="I948" s="17" t="s">
        <v>17</v>
      </c>
      <c r="J948" s="27">
        <v>0.1</v>
      </c>
      <c r="K948" s="17" t="s">
        <v>926</v>
      </c>
      <c r="L948" s="32">
        <v>10</v>
      </c>
      <c r="M948" s="32">
        <f>_xlfn.XLOOKUP(Table2_1[[#This Row],[Product Code]],Product_Code,Unit_Price,0)</f>
        <v>11</v>
      </c>
      <c r="N948" s="31">
        <f>DATEDIF(Table2_1[[#This Row],[Buyer Date of Birth]],Table2_1[[#This Row],[Transaction  Date]],"Y")</f>
        <v>40</v>
      </c>
      <c r="O948" s="33">
        <v>790</v>
      </c>
      <c r="P948" s="33">
        <f>Table2_1[[#This Row],[Quantity Purchased]]*Table2_1[[#This Row],[UnitPrice]]*(1-Table2_1[[#This Row],[Discount]])</f>
        <v>782.1</v>
      </c>
      <c r="Q948" s="33">
        <f>Table2_1[[#This Row],[Revenue]]-Table2_1[[#This Row],[COGS]]</f>
        <v>-7.8999999999999773</v>
      </c>
      <c r="R948" s="39">
        <f>WEEKDAY(Table2_1[[#This Row],[Transaction  Date]])</f>
        <v>2</v>
      </c>
      <c r="S948" s="17" t="str">
        <f>IF(WEEKDAY(Table2_1[[#This Row],[Transaction  Date]],2)&lt;=5,"Weekday","Weekend")</f>
        <v>Weekday</v>
      </c>
      <c r="T948" s="37" t="str">
        <f>FLOOR(Table2_1[[#This Row],[Age]],15)&amp; "-"&amp; FLOOR(Table2_1[[#This Row],[Age]],15)+14</f>
        <v>30-44</v>
      </c>
    </row>
    <row r="949" spans="1:20" x14ac:dyDescent="0.3">
      <c r="A949" s="18">
        <v>45495</v>
      </c>
      <c r="B949" s="17" t="s">
        <v>1788</v>
      </c>
      <c r="C949" s="17" t="s">
        <v>55</v>
      </c>
      <c r="D949" s="18">
        <v>26224</v>
      </c>
      <c r="E949" s="16" t="s">
        <v>33</v>
      </c>
      <c r="F949" s="31">
        <v>191</v>
      </c>
      <c r="G949" s="17" t="s">
        <v>56</v>
      </c>
      <c r="H949" s="17" t="s">
        <v>52</v>
      </c>
      <c r="I949" s="17" t="s">
        <v>17</v>
      </c>
      <c r="J949" s="27">
        <v>0.1</v>
      </c>
      <c r="K949" s="17" t="s">
        <v>935</v>
      </c>
      <c r="L949" s="32">
        <v>18</v>
      </c>
      <c r="M949" s="32">
        <f>_xlfn.XLOOKUP(Table2_1[[#This Row],[Product Code]],Product_Code,Unit_Price,0)</f>
        <v>36</v>
      </c>
      <c r="N949" s="31">
        <f>DATEDIF(Table2_1[[#This Row],[Buyer Date of Birth]],Table2_1[[#This Row],[Transaction  Date]],"Y")</f>
        <v>52</v>
      </c>
      <c r="O949" s="33">
        <v>3438</v>
      </c>
      <c r="P949" s="33">
        <f>Table2_1[[#This Row],[Quantity Purchased]]*Table2_1[[#This Row],[UnitPrice]]*(1-Table2_1[[#This Row],[Discount]])</f>
        <v>6188.4000000000005</v>
      </c>
      <c r="Q949" s="33">
        <f>Table2_1[[#This Row],[Revenue]]-Table2_1[[#This Row],[COGS]]</f>
        <v>2750.4000000000005</v>
      </c>
      <c r="R949" s="39">
        <f>WEEKDAY(Table2_1[[#This Row],[Transaction  Date]])</f>
        <v>2</v>
      </c>
      <c r="S949" s="17" t="str">
        <f>IF(WEEKDAY(Table2_1[[#This Row],[Transaction  Date]],2)&lt;=5,"Weekday","Weekend")</f>
        <v>Weekday</v>
      </c>
      <c r="T949" s="37" t="str">
        <f>FLOOR(Table2_1[[#This Row],[Age]],15)&amp; "-"&amp; FLOOR(Table2_1[[#This Row],[Age]],15)+14</f>
        <v>45-59</v>
      </c>
    </row>
    <row r="950" spans="1:20" x14ac:dyDescent="0.3">
      <c r="A950" s="18">
        <v>45495</v>
      </c>
      <c r="B950" s="17" t="s">
        <v>1789</v>
      </c>
      <c r="C950" s="17" t="s">
        <v>38</v>
      </c>
      <c r="D950" s="18">
        <v>28927</v>
      </c>
      <c r="E950" s="16" t="s">
        <v>33</v>
      </c>
      <c r="F950" s="31">
        <v>235</v>
      </c>
      <c r="G950" s="17" t="s">
        <v>34</v>
      </c>
      <c r="H950" s="17" t="s">
        <v>52</v>
      </c>
      <c r="I950" s="17" t="s">
        <v>17</v>
      </c>
      <c r="J950" s="27">
        <v>0.1</v>
      </c>
      <c r="K950" s="17" t="s">
        <v>930</v>
      </c>
      <c r="L950" s="32">
        <v>14</v>
      </c>
      <c r="M950" s="32">
        <f>_xlfn.XLOOKUP(Table2_1[[#This Row],[Product Code]],Product_Code,Unit_Price,0)</f>
        <v>28</v>
      </c>
      <c r="N950" s="31">
        <f>DATEDIF(Table2_1[[#This Row],[Buyer Date of Birth]],Table2_1[[#This Row],[Transaction  Date]],"Y")</f>
        <v>45</v>
      </c>
      <c r="O950" s="33">
        <v>3290</v>
      </c>
      <c r="P950" s="33">
        <f>Table2_1[[#This Row],[Quantity Purchased]]*Table2_1[[#This Row],[UnitPrice]]*(1-Table2_1[[#This Row],[Discount]])</f>
        <v>5922</v>
      </c>
      <c r="Q950" s="33">
        <f>Table2_1[[#This Row],[Revenue]]-Table2_1[[#This Row],[COGS]]</f>
        <v>2632</v>
      </c>
      <c r="R950" s="39">
        <f>WEEKDAY(Table2_1[[#This Row],[Transaction  Date]])</f>
        <v>2</v>
      </c>
      <c r="S950" s="17" t="str">
        <f>IF(WEEKDAY(Table2_1[[#This Row],[Transaction  Date]],2)&lt;=5,"Weekday","Weekend")</f>
        <v>Weekday</v>
      </c>
      <c r="T950" s="37" t="str">
        <f>FLOOR(Table2_1[[#This Row],[Age]],15)&amp; "-"&amp; FLOOR(Table2_1[[#This Row],[Age]],15)+14</f>
        <v>45-59</v>
      </c>
    </row>
    <row r="951" spans="1:20" x14ac:dyDescent="0.3">
      <c r="A951" s="18">
        <v>45496</v>
      </c>
      <c r="B951" s="17" t="s">
        <v>1790</v>
      </c>
      <c r="C951" s="17" t="s">
        <v>94</v>
      </c>
      <c r="D951" s="18">
        <v>28240</v>
      </c>
      <c r="E951" s="16" t="s">
        <v>68</v>
      </c>
      <c r="F951" s="31">
        <v>268</v>
      </c>
      <c r="G951" s="17" t="s">
        <v>42</v>
      </c>
      <c r="H951" s="17" t="s">
        <v>52</v>
      </c>
      <c r="I951" s="17" t="s">
        <v>17</v>
      </c>
      <c r="J951" s="27">
        <v>0.1</v>
      </c>
      <c r="K951" s="17" t="s">
        <v>926</v>
      </c>
      <c r="L951" s="32">
        <v>10</v>
      </c>
      <c r="M951" s="32">
        <f>_xlfn.XLOOKUP(Table2_1[[#This Row],[Product Code]],Product_Code,Unit_Price,0)</f>
        <v>11</v>
      </c>
      <c r="N951" s="31">
        <f>DATEDIF(Table2_1[[#This Row],[Buyer Date of Birth]],Table2_1[[#This Row],[Transaction  Date]],"Y")</f>
        <v>47</v>
      </c>
      <c r="O951" s="33">
        <v>2680</v>
      </c>
      <c r="P951" s="33">
        <f>Table2_1[[#This Row],[Quantity Purchased]]*Table2_1[[#This Row],[UnitPrice]]*(1-Table2_1[[#This Row],[Discount]])</f>
        <v>2653.2000000000003</v>
      </c>
      <c r="Q951" s="33">
        <f>Table2_1[[#This Row],[Revenue]]-Table2_1[[#This Row],[COGS]]</f>
        <v>-26.799999999999727</v>
      </c>
      <c r="R951" s="39">
        <f>WEEKDAY(Table2_1[[#This Row],[Transaction  Date]])</f>
        <v>3</v>
      </c>
      <c r="S951" s="17" t="str">
        <f>IF(WEEKDAY(Table2_1[[#This Row],[Transaction  Date]],2)&lt;=5,"Weekday","Weekend")</f>
        <v>Weekday</v>
      </c>
      <c r="T951" s="37" t="str">
        <f>FLOOR(Table2_1[[#This Row],[Age]],15)&amp; "-"&amp; FLOOR(Table2_1[[#This Row],[Age]],15)+14</f>
        <v>45-59</v>
      </c>
    </row>
    <row r="952" spans="1:20" x14ac:dyDescent="0.3">
      <c r="A952" s="18">
        <v>45496</v>
      </c>
      <c r="B952" s="17" t="s">
        <v>1791</v>
      </c>
      <c r="C952" s="17" t="s">
        <v>46</v>
      </c>
      <c r="D952" s="18">
        <v>23071</v>
      </c>
      <c r="E952" s="16" t="s">
        <v>33</v>
      </c>
      <c r="F952" s="31">
        <v>127</v>
      </c>
      <c r="G952" s="17" t="s">
        <v>64</v>
      </c>
      <c r="H952" s="17" t="s">
        <v>39</v>
      </c>
      <c r="I952" s="17" t="s">
        <v>17</v>
      </c>
      <c r="J952" s="27">
        <v>0.1</v>
      </c>
      <c r="K952" s="17" t="s">
        <v>933</v>
      </c>
      <c r="L952" s="32">
        <v>5</v>
      </c>
      <c r="M952" s="32">
        <f>_xlfn.XLOOKUP(Table2_1[[#This Row],[Product Code]],Product_Code,Unit_Price,0)</f>
        <v>7</v>
      </c>
      <c r="N952" s="31">
        <f>DATEDIF(Table2_1[[#This Row],[Buyer Date of Birth]],Table2_1[[#This Row],[Transaction  Date]],"Y")</f>
        <v>61</v>
      </c>
      <c r="O952" s="33">
        <v>635</v>
      </c>
      <c r="P952" s="33">
        <f>Table2_1[[#This Row],[Quantity Purchased]]*Table2_1[[#This Row],[UnitPrice]]*(1-Table2_1[[#This Row],[Discount]])</f>
        <v>800.1</v>
      </c>
      <c r="Q952" s="33">
        <f>Table2_1[[#This Row],[Revenue]]-Table2_1[[#This Row],[COGS]]</f>
        <v>165.10000000000002</v>
      </c>
      <c r="R952" s="39">
        <f>WEEKDAY(Table2_1[[#This Row],[Transaction  Date]])</f>
        <v>3</v>
      </c>
      <c r="S952" s="17" t="str">
        <f>IF(WEEKDAY(Table2_1[[#This Row],[Transaction  Date]],2)&lt;=5,"Weekday","Weekend")</f>
        <v>Weekday</v>
      </c>
      <c r="T952" s="37" t="str">
        <f>FLOOR(Table2_1[[#This Row],[Age]],15)&amp; "-"&amp; FLOOR(Table2_1[[#This Row],[Age]],15)+14</f>
        <v>60-74</v>
      </c>
    </row>
    <row r="953" spans="1:20" x14ac:dyDescent="0.3">
      <c r="A953" s="18">
        <v>45496</v>
      </c>
      <c r="B953" s="17" t="s">
        <v>1792</v>
      </c>
      <c r="C953" s="17" t="s">
        <v>51</v>
      </c>
      <c r="D953" s="18">
        <v>31390</v>
      </c>
      <c r="E953" s="16" t="s">
        <v>68</v>
      </c>
      <c r="F953" s="31">
        <v>324</v>
      </c>
      <c r="G953" s="17" t="s">
        <v>65</v>
      </c>
      <c r="H953" s="17" t="s">
        <v>32</v>
      </c>
      <c r="I953" s="17" t="s">
        <v>17</v>
      </c>
      <c r="J953" s="27">
        <v>0.1</v>
      </c>
      <c r="K953" s="17" t="s">
        <v>928</v>
      </c>
      <c r="L953" s="32">
        <v>3</v>
      </c>
      <c r="M953" s="32">
        <f>_xlfn.XLOOKUP(Table2_1[[#This Row],[Product Code]],Product_Code,Unit_Price,0)</f>
        <v>5</v>
      </c>
      <c r="N953" s="31">
        <f>DATEDIF(Table2_1[[#This Row],[Buyer Date of Birth]],Table2_1[[#This Row],[Transaction  Date]],"Y")</f>
        <v>38</v>
      </c>
      <c r="O953" s="33">
        <v>972</v>
      </c>
      <c r="P953" s="33">
        <f>Table2_1[[#This Row],[Quantity Purchased]]*Table2_1[[#This Row],[UnitPrice]]*(1-Table2_1[[#This Row],[Discount]])</f>
        <v>1458</v>
      </c>
      <c r="Q953" s="33">
        <f>Table2_1[[#This Row],[Revenue]]-Table2_1[[#This Row],[COGS]]</f>
        <v>486</v>
      </c>
      <c r="R953" s="39">
        <f>WEEKDAY(Table2_1[[#This Row],[Transaction  Date]])</f>
        <v>3</v>
      </c>
      <c r="S953" s="17" t="str">
        <f>IF(WEEKDAY(Table2_1[[#This Row],[Transaction  Date]],2)&lt;=5,"Weekday","Weekend")</f>
        <v>Weekday</v>
      </c>
      <c r="T953" s="37" t="str">
        <f>FLOOR(Table2_1[[#This Row],[Age]],15)&amp; "-"&amp; FLOOR(Table2_1[[#This Row],[Age]],15)+14</f>
        <v>30-44</v>
      </c>
    </row>
    <row r="954" spans="1:20" x14ac:dyDescent="0.3">
      <c r="A954" s="18">
        <v>45497</v>
      </c>
      <c r="B954" s="17" t="s">
        <v>1793</v>
      </c>
      <c r="C954" s="17" t="s">
        <v>55</v>
      </c>
      <c r="D954" s="18">
        <v>29348</v>
      </c>
      <c r="E954" s="16" t="s">
        <v>14</v>
      </c>
      <c r="F954" s="31">
        <v>345</v>
      </c>
      <c r="G954" s="17" t="s">
        <v>65</v>
      </c>
      <c r="H954" s="17" t="s">
        <v>48</v>
      </c>
      <c r="I954" s="17" t="s">
        <v>17</v>
      </c>
      <c r="J954" s="27">
        <v>0.1</v>
      </c>
      <c r="K954" s="17" t="s">
        <v>928</v>
      </c>
      <c r="L954" s="32">
        <v>3</v>
      </c>
      <c r="M954" s="32">
        <f>_xlfn.XLOOKUP(Table2_1[[#This Row],[Product Code]],Product_Code,Unit_Price,0)</f>
        <v>5</v>
      </c>
      <c r="N954" s="31">
        <f>DATEDIF(Table2_1[[#This Row],[Buyer Date of Birth]],Table2_1[[#This Row],[Transaction  Date]],"Y")</f>
        <v>44</v>
      </c>
      <c r="O954" s="33">
        <v>1035</v>
      </c>
      <c r="P954" s="33">
        <f>Table2_1[[#This Row],[Quantity Purchased]]*Table2_1[[#This Row],[UnitPrice]]*(1-Table2_1[[#This Row],[Discount]])</f>
        <v>1552.5</v>
      </c>
      <c r="Q954" s="33">
        <f>Table2_1[[#This Row],[Revenue]]-Table2_1[[#This Row],[COGS]]</f>
        <v>517.5</v>
      </c>
      <c r="R954" s="39">
        <f>WEEKDAY(Table2_1[[#This Row],[Transaction  Date]])</f>
        <v>4</v>
      </c>
      <c r="S954" s="17" t="str">
        <f>IF(WEEKDAY(Table2_1[[#This Row],[Transaction  Date]],2)&lt;=5,"Weekday","Weekend")</f>
        <v>Weekday</v>
      </c>
      <c r="T954" s="37" t="str">
        <f>FLOOR(Table2_1[[#This Row],[Age]],15)&amp; "-"&amp; FLOOR(Table2_1[[#This Row],[Age]],15)+14</f>
        <v>30-44</v>
      </c>
    </row>
    <row r="955" spans="1:20" x14ac:dyDescent="0.3">
      <c r="A955" s="18">
        <v>45497</v>
      </c>
      <c r="B955" s="17" t="s">
        <v>1794</v>
      </c>
      <c r="C955" s="17" t="s">
        <v>32</v>
      </c>
      <c r="D955" s="18">
        <v>38914</v>
      </c>
      <c r="E955" s="16" t="s">
        <v>68</v>
      </c>
      <c r="F955" s="31">
        <v>98</v>
      </c>
      <c r="G955" s="17" t="s">
        <v>65</v>
      </c>
      <c r="H955" s="17" t="s">
        <v>35</v>
      </c>
      <c r="I955" s="17" t="s">
        <v>17</v>
      </c>
      <c r="J955" s="27">
        <v>0.1</v>
      </c>
      <c r="K955" s="17" t="s">
        <v>928</v>
      </c>
      <c r="L955" s="32">
        <v>3</v>
      </c>
      <c r="M955" s="32">
        <f>_xlfn.XLOOKUP(Table2_1[[#This Row],[Product Code]],Product_Code,Unit_Price,0)</f>
        <v>5</v>
      </c>
      <c r="N955" s="31">
        <f>DATEDIF(Table2_1[[#This Row],[Buyer Date of Birth]],Table2_1[[#This Row],[Transaction  Date]],"Y")</f>
        <v>18</v>
      </c>
      <c r="O955" s="33">
        <v>294</v>
      </c>
      <c r="P955" s="33">
        <f>Table2_1[[#This Row],[Quantity Purchased]]*Table2_1[[#This Row],[UnitPrice]]*(1-Table2_1[[#This Row],[Discount]])</f>
        <v>441</v>
      </c>
      <c r="Q955" s="33">
        <f>Table2_1[[#This Row],[Revenue]]-Table2_1[[#This Row],[COGS]]</f>
        <v>147</v>
      </c>
      <c r="R955" s="39">
        <f>WEEKDAY(Table2_1[[#This Row],[Transaction  Date]])</f>
        <v>4</v>
      </c>
      <c r="S955" s="17" t="str">
        <f>IF(WEEKDAY(Table2_1[[#This Row],[Transaction  Date]],2)&lt;=5,"Weekday","Weekend")</f>
        <v>Weekday</v>
      </c>
      <c r="T955" s="37" t="str">
        <f>FLOOR(Table2_1[[#This Row],[Age]],15)&amp; "-"&amp; FLOOR(Table2_1[[#This Row],[Age]],15)+14</f>
        <v>15-29</v>
      </c>
    </row>
    <row r="956" spans="1:20" x14ac:dyDescent="0.3">
      <c r="A956" s="18">
        <v>45497</v>
      </c>
      <c r="B956" s="17" t="s">
        <v>1893</v>
      </c>
      <c r="C956" s="17" t="s">
        <v>83</v>
      </c>
      <c r="D956" s="18">
        <v>36316</v>
      </c>
      <c r="E956" s="16" t="s">
        <v>68</v>
      </c>
      <c r="F956" s="31">
        <v>407</v>
      </c>
      <c r="G956" s="17" t="s">
        <v>59</v>
      </c>
      <c r="H956" s="17" t="s">
        <v>43</v>
      </c>
      <c r="I956" s="17" t="s">
        <v>17</v>
      </c>
      <c r="J956" s="27">
        <v>0.1</v>
      </c>
      <c r="K956" s="17" t="s">
        <v>932</v>
      </c>
      <c r="L956" s="32">
        <v>19</v>
      </c>
      <c r="M956" s="32">
        <f>_xlfn.XLOOKUP(Table2_1[[#This Row],[Product Code]],Product_Code,Unit_Price,0)</f>
        <v>23</v>
      </c>
      <c r="N956" s="31">
        <f>DATEDIF(Table2_1[[#This Row],[Buyer Date of Birth]],Table2_1[[#This Row],[Transaction  Date]],"Y")</f>
        <v>25</v>
      </c>
      <c r="O956" s="33">
        <v>7733</v>
      </c>
      <c r="P956" s="33">
        <f>Table2_1[[#This Row],[Quantity Purchased]]*Table2_1[[#This Row],[UnitPrice]]*(1-Table2_1[[#This Row],[Discount]])</f>
        <v>8424.9</v>
      </c>
      <c r="Q956" s="33">
        <f>Table2_1[[#This Row],[Revenue]]-Table2_1[[#This Row],[COGS]]</f>
        <v>691.89999999999964</v>
      </c>
      <c r="R956" s="39">
        <f>WEEKDAY(Table2_1[[#This Row],[Transaction  Date]])</f>
        <v>4</v>
      </c>
      <c r="S956" s="17" t="str">
        <f>IF(WEEKDAY(Table2_1[[#This Row],[Transaction  Date]],2)&lt;=5,"Weekday","Weekend")</f>
        <v>Weekday</v>
      </c>
      <c r="T956" s="37" t="str">
        <f>FLOOR(Table2_1[[#This Row],[Age]],15)&amp; "-"&amp; FLOOR(Table2_1[[#This Row],[Age]],15)+14</f>
        <v>15-29</v>
      </c>
    </row>
    <row r="957" spans="1:20" x14ac:dyDescent="0.3">
      <c r="A957" s="18">
        <v>45497</v>
      </c>
      <c r="B957" s="17" t="s">
        <v>1795</v>
      </c>
      <c r="C957" s="17" t="s">
        <v>71</v>
      </c>
      <c r="D957" s="18">
        <v>20478</v>
      </c>
      <c r="E957" s="16" t="s">
        <v>20</v>
      </c>
      <c r="F957" s="31">
        <v>402</v>
      </c>
      <c r="G957" s="17" t="s">
        <v>34</v>
      </c>
      <c r="H957" s="17" t="s">
        <v>28</v>
      </c>
      <c r="I957" s="17" t="s">
        <v>17</v>
      </c>
      <c r="J957" s="27">
        <v>0.1</v>
      </c>
      <c r="K957" s="17" t="s">
        <v>930</v>
      </c>
      <c r="L957" s="32">
        <v>14</v>
      </c>
      <c r="M957" s="32">
        <f>_xlfn.XLOOKUP(Table2_1[[#This Row],[Product Code]],Product_Code,Unit_Price,0)</f>
        <v>28</v>
      </c>
      <c r="N957" s="31">
        <f>DATEDIF(Table2_1[[#This Row],[Buyer Date of Birth]],Table2_1[[#This Row],[Transaction  Date]],"Y")</f>
        <v>68</v>
      </c>
      <c r="O957" s="33">
        <v>5628</v>
      </c>
      <c r="P957" s="33">
        <f>Table2_1[[#This Row],[Quantity Purchased]]*Table2_1[[#This Row],[UnitPrice]]*(1-Table2_1[[#This Row],[Discount]])</f>
        <v>10130.4</v>
      </c>
      <c r="Q957" s="33">
        <f>Table2_1[[#This Row],[Revenue]]-Table2_1[[#This Row],[COGS]]</f>
        <v>4502.3999999999996</v>
      </c>
      <c r="R957" s="39">
        <f>WEEKDAY(Table2_1[[#This Row],[Transaction  Date]])</f>
        <v>4</v>
      </c>
      <c r="S957" s="17" t="str">
        <f>IF(WEEKDAY(Table2_1[[#This Row],[Transaction  Date]],2)&lt;=5,"Weekday","Weekend")</f>
        <v>Weekday</v>
      </c>
      <c r="T957" s="37" t="str">
        <f>FLOOR(Table2_1[[#This Row],[Age]],15)&amp; "-"&amp; FLOOR(Table2_1[[#This Row],[Age]],15)+14</f>
        <v>60-74</v>
      </c>
    </row>
    <row r="958" spans="1:20" x14ac:dyDescent="0.3">
      <c r="A958" s="18">
        <v>45497</v>
      </c>
      <c r="B958" s="17" t="s">
        <v>1796</v>
      </c>
      <c r="C958" s="17" t="s">
        <v>83</v>
      </c>
      <c r="D958" s="18">
        <v>24946</v>
      </c>
      <c r="E958" s="16" t="s">
        <v>20</v>
      </c>
      <c r="F958" s="31">
        <v>48</v>
      </c>
      <c r="G958" s="17" t="s">
        <v>21</v>
      </c>
      <c r="H958" s="17" t="s">
        <v>52</v>
      </c>
      <c r="I958" s="17" t="s">
        <v>17</v>
      </c>
      <c r="J958" s="27">
        <v>0.1</v>
      </c>
      <c r="K958" s="17" t="s">
        <v>934</v>
      </c>
      <c r="L958" s="32">
        <v>10</v>
      </c>
      <c r="M958" s="32">
        <f>_xlfn.XLOOKUP(Table2_1[[#This Row],[Product Code]],Product_Code,Unit_Price,0)</f>
        <v>45</v>
      </c>
      <c r="N958" s="31">
        <f>DATEDIF(Table2_1[[#This Row],[Buyer Date of Birth]],Table2_1[[#This Row],[Transaction  Date]],"Y")</f>
        <v>56</v>
      </c>
      <c r="O958" s="33">
        <v>480</v>
      </c>
      <c r="P958" s="33">
        <f>Table2_1[[#This Row],[Quantity Purchased]]*Table2_1[[#This Row],[UnitPrice]]*(1-Table2_1[[#This Row],[Discount]])</f>
        <v>1944</v>
      </c>
      <c r="Q958" s="33">
        <f>Table2_1[[#This Row],[Revenue]]-Table2_1[[#This Row],[COGS]]</f>
        <v>1464</v>
      </c>
      <c r="R958" s="39">
        <f>WEEKDAY(Table2_1[[#This Row],[Transaction  Date]])</f>
        <v>4</v>
      </c>
      <c r="S958" s="17" t="str">
        <f>IF(WEEKDAY(Table2_1[[#This Row],[Transaction  Date]],2)&lt;=5,"Weekday","Weekend")</f>
        <v>Weekday</v>
      </c>
      <c r="T958" s="37" t="str">
        <f>FLOOR(Table2_1[[#This Row],[Age]],15)&amp; "-"&amp; FLOOR(Table2_1[[#This Row],[Age]],15)+14</f>
        <v>45-59</v>
      </c>
    </row>
    <row r="959" spans="1:20" x14ac:dyDescent="0.3">
      <c r="A959" s="18">
        <v>45498</v>
      </c>
      <c r="B959" s="17" t="s">
        <v>1797</v>
      </c>
      <c r="C959" s="17" t="s">
        <v>55</v>
      </c>
      <c r="D959" s="18">
        <v>28076</v>
      </c>
      <c r="E959" s="16" t="s">
        <v>14</v>
      </c>
      <c r="F959" s="31">
        <v>82</v>
      </c>
      <c r="G959" s="17" t="s">
        <v>56</v>
      </c>
      <c r="H959" s="17" t="s">
        <v>48</v>
      </c>
      <c r="I959" s="17" t="s">
        <v>17</v>
      </c>
      <c r="J959" s="27">
        <v>0.1</v>
      </c>
      <c r="K959" s="17" t="s">
        <v>935</v>
      </c>
      <c r="L959" s="32">
        <v>18</v>
      </c>
      <c r="M959" s="32">
        <f>_xlfn.XLOOKUP(Table2_1[[#This Row],[Product Code]],Product_Code,Unit_Price,0)</f>
        <v>36</v>
      </c>
      <c r="N959" s="31">
        <f>DATEDIF(Table2_1[[#This Row],[Buyer Date of Birth]],Table2_1[[#This Row],[Transaction  Date]],"Y")</f>
        <v>47</v>
      </c>
      <c r="O959" s="33">
        <v>1476</v>
      </c>
      <c r="P959" s="33">
        <f>Table2_1[[#This Row],[Quantity Purchased]]*Table2_1[[#This Row],[UnitPrice]]*(1-Table2_1[[#This Row],[Discount]])</f>
        <v>2656.8</v>
      </c>
      <c r="Q959" s="33">
        <f>Table2_1[[#This Row],[Revenue]]-Table2_1[[#This Row],[COGS]]</f>
        <v>1180.8000000000002</v>
      </c>
      <c r="R959" s="39">
        <f>WEEKDAY(Table2_1[[#This Row],[Transaction  Date]])</f>
        <v>5</v>
      </c>
      <c r="S959" s="17" t="str">
        <f>IF(WEEKDAY(Table2_1[[#This Row],[Transaction  Date]],2)&lt;=5,"Weekday","Weekend")</f>
        <v>Weekday</v>
      </c>
      <c r="T959" s="37" t="str">
        <f>FLOOR(Table2_1[[#This Row],[Age]],15)&amp; "-"&amp; FLOOR(Table2_1[[#This Row],[Age]],15)+14</f>
        <v>45-59</v>
      </c>
    </row>
    <row r="960" spans="1:20" x14ac:dyDescent="0.3">
      <c r="A960" s="18">
        <v>45498</v>
      </c>
      <c r="B960" s="17" t="s">
        <v>1894</v>
      </c>
      <c r="C960" s="17" t="s">
        <v>83</v>
      </c>
      <c r="D960" s="18">
        <v>32793</v>
      </c>
      <c r="E960" s="16" t="s">
        <v>33</v>
      </c>
      <c r="F960" s="31">
        <v>69</v>
      </c>
      <c r="G960" s="17" t="s">
        <v>15</v>
      </c>
      <c r="H960" s="17" t="s">
        <v>52</v>
      </c>
      <c r="I960" s="17" t="s">
        <v>23</v>
      </c>
      <c r="J960" s="27">
        <v>0.1</v>
      </c>
      <c r="K960" s="17" t="s">
        <v>929</v>
      </c>
      <c r="L960" s="32">
        <v>10</v>
      </c>
      <c r="M960" s="32">
        <f>_xlfn.XLOOKUP(Table2_1[[#This Row],[Product Code]],Product_Code,Unit_Price,0)</f>
        <v>14</v>
      </c>
      <c r="N960" s="31">
        <f>DATEDIF(Table2_1[[#This Row],[Buyer Date of Birth]],Table2_1[[#This Row],[Transaction  Date]],"Y")</f>
        <v>34</v>
      </c>
      <c r="O960" s="33">
        <v>690</v>
      </c>
      <c r="P960" s="33">
        <f>Table2_1[[#This Row],[Quantity Purchased]]*Table2_1[[#This Row],[UnitPrice]]*(1-Table2_1[[#This Row],[Discount]])</f>
        <v>869.4</v>
      </c>
      <c r="Q960" s="33">
        <f>Table2_1[[#This Row],[Revenue]]-Table2_1[[#This Row],[COGS]]</f>
        <v>179.39999999999998</v>
      </c>
      <c r="R960" s="39">
        <f>WEEKDAY(Table2_1[[#This Row],[Transaction  Date]])</f>
        <v>5</v>
      </c>
      <c r="S960" s="17" t="str">
        <f>IF(WEEKDAY(Table2_1[[#This Row],[Transaction  Date]],2)&lt;=5,"Weekday","Weekend")</f>
        <v>Weekday</v>
      </c>
      <c r="T960" s="37" t="str">
        <f>FLOOR(Table2_1[[#This Row],[Age]],15)&amp; "-"&amp; FLOOR(Table2_1[[#This Row],[Age]],15)+14</f>
        <v>30-44</v>
      </c>
    </row>
    <row r="961" spans="1:20" x14ac:dyDescent="0.3">
      <c r="A961" s="18">
        <v>45499</v>
      </c>
      <c r="B961" s="17" t="s">
        <v>1895</v>
      </c>
      <c r="C961" s="17" t="s">
        <v>71</v>
      </c>
      <c r="D961" s="18">
        <v>25425</v>
      </c>
      <c r="E961" s="16" t="s">
        <v>20</v>
      </c>
      <c r="F961" s="31">
        <v>400</v>
      </c>
      <c r="G961" s="17" t="s">
        <v>64</v>
      </c>
      <c r="H961" s="17" t="s">
        <v>43</v>
      </c>
      <c r="I961" s="17" t="s">
        <v>23</v>
      </c>
      <c r="J961" s="27">
        <v>0.1</v>
      </c>
      <c r="K961" s="17" t="s">
        <v>933</v>
      </c>
      <c r="L961" s="32">
        <v>5</v>
      </c>
      <c r="M961" s="32">
        <f>_xlfn.XLOOKUP(Table2_1[[#This Row],[Product Code]],Product_Code,Unit_Price,0)</f>
        <v>7</v>
      </c>
      <c r="N961" s="31">
        <f>DATEDIF(Table2_1[[#This Row],[Buyer Date of Birth]],Table2_1[[#This Row],[Transaction  Date]],"Y")</f>
        <v>54</v>
      </c>
      <c r="O961" s="33">
        <v>2000</v>
      </c>
      <c r="P961" s="33">
        <f>Table2_1[[#This Row],[Quantity Purchased]]*Table2_1[[#This Row],[UnitPrice]]*(1-Table2_1[[#This Row],[Discount]])</f>
        <v>2520</v>
      </c>
      <c r="Q961" s="33">
        <f>Table2_1[[#This Row],[Revenue]]-Table2_1[[#This Row],[COGS]]</f>
        <v>520</v>
      </c>
      <c r="R961" s="39">
        <f>WEEKDAY(Table2_1[[#This Row],[Transaction  Date]])</f>
        <v>6</v>
      </c>
      <c r="S961" s="17" t="str">
        <f>IF(WEEKDAY(Table2_1[[#This Row],[Transaction  Date]],2)&lt;=5,"Weekday","Weekend")</f>
        <v>Weekday</v>
      </c>
      <c r="T961" s="37" t="str">
        <f>FLOOR(Table2_1[[#This Row],[Age]],15)&amp; "-"&amp; FLOOR(Table2_1[[#This Row],[Age]],15)+14</f>
        <v>45-59</v>
      </c>
    </row>
    <row r="962" spans="1:20" x14ac:dyDescent="0.3">
      <c r="A962" s="18">
        <v>45499</v>
      </c>
      <c r="B962" s="17" t="s">
        <v>1798</v>
      </c>
      <c r="C962" s="17" t="s">
        <v>55</v>
      </c>
      <c r="D962" s="18">
        <v>22140</v>
      </c>
      <c r="E962" s="16" t="s">
        <v>20</v>
      </c>
      <c r="F962" s="31">
        <v>156</v>
      </c>
      <c r="G962" s="17" t="s">
        <v>34</v>
      </c>
      <c r="H962" s="17" t="s">
        <v>52</v>
      </c>
      <c r="I962" s="17" t="s">
        <v>17</v>
      </c>
      <c r="J962" s="27">
        <v>0.1</v>
      </c>
      <c r="K962" s="17" t="s">
        <v>930</v>
      </c>
      <c r="L962" s="32">
        <v>14</v>
      </c>
      <c r="M962" s="32">
        <f>_xlfn.XLOOKUP(Table2_1[[#This Row],[Product Code]],Product_Code,Unit_Price,0)</f>
        <v>28</v>
      </c>
      <c r="N962" s="31">
        <f>DATEDIF(Table2_1[[#This Row],[Buyer Date of Birth]],Table2_1[[#This Row],[Transaction  Date]],"Y")</f>
        <v>63</v>
      </c>
      <c r="O962" s="33">
        <v>2184</v>
      </c>
      <c r="P962" s="33">
        <f>Table2_1[[#This Row],[Quantity Purchased]]*Table2_1[[#This Row],[UnitPrice]]*(1-Table2_1[[#This Row],[Discount]])</f>
        <v>3931.2000000000003</v>
      </c>
      <c r="Q962" s="33">
        <f>Table2_1[[#This Row],[Revenue]]-Table2_1[[#This Row],[COGS]]</f>
        <v>1747.2000000000003</v>
      </c>
      <c r="R962" s="39">
        <f>WEEKDAY(Table2_1[[#This Row],[Transaction  Date]])</f>
        <v>6</v>
      </c>
      <c r="S962" s="17" t="str">
        <f>IF(WEEKDAY(Table2_1[[#This Row],[Transaction  Date]],2)&lt;=5,"Weekday","Weekend")</f>
        <v>Weekday</v>
      </c>
      <c r="T962" s="37" t="str">
        <f>FLOOR(Table2_1[[#This Row],[Age]],15)&amp; "-"&amp; FLOOR(Table2_1[[#This Row],[Age]],15)+14</f>
        <v>60-74</v>
      </c>
    </row>
    <row r="963" spans="1:20" x14ac:dyDescent="0.3">
      <c r="A963" s="18">
        <v>45499</v>
      </c>
      <c r="B963" s="17" t="s">
        <v>1799</v>
      </c>
      <c r="C963" s="17" t="s">
        <v>83</v>
      </c>
      <c r="D963" s="18">
        <v>32425</v>
      </c>
      <c r="E963" s="16" t="s">
        <v>20</v>
      </c>
      <c r="F963" s="31">
        <v>383</v>
      </c>
      <c r="G963" s="17" t="s">
        <v>65</v>
      </c>
      <c r="H963" s="17" t="s">
        <v>39</v>
      </c>
      <c r="I963" s="17" t="s">
        <v>17</v>
      </c>
      <c r="J963" s="27">
        <v>0.1</v>
      </c>
      <c r="K963" s="17" t="s">
        <v>928</v>
      </c>
      <c r="L963" s="32">
        <v>3</v>
      </c>
      <c r="M963" s="32">
        <f>_xlfn.XLOOKUP(Table2_1[[#This Row],[Product Code]],Product_Code,Unit_Price,0)</f>
        <v>5</v>
      </c>
      <c r="N963" s="31">
        <f>DATEDIF(Table2_1[[#This Row],[Buyer Date of Birth]],Table2_1[[#This Row],[Transaction  Date]],"Y")</f>
        <v>35</v>
      </c>
      <c r="O963" s="33">
        <v>1149</v>
      </c>
      <c r="P963" s="33">
        <f>Table2_1[[#This Row],[Quantity Purchased]]*Table2_1[[#This Row],[UnitPrice]]*(1-Table2_1[[#This Row],[Discount]])</f>
        <v>1723.5</v>
      </c>
      <c r="Q963" s="33">
        <f>Table2_1[[#This Row],[Revenue]]-Table2_1[[#This Row],[COGS]]</f>
        <v>574.5</v>
      </c>
      <c r="R963" s="39">
        <f>WEEKDAY(Table2_1[[#This Row],[Transaction  Date]])</f>
        <v>6</v>
      </c>
      <c r="S963" s="17" t="str">
        <f>IF(WEEKDAY(Table2_1[[#This Row],[Transaction  Date]],2)&lt;=5,"Weekday","Weekend")</f>
        <v>Weekday</v>
      </c>
      <c r="T963" s="37" t="str">
        <f>FLOOR(Table2_1[[#This Row],[Age]],15)&amp; "-"&amp; FLOOR(Table2_1[[#This Row],[Age]],15)+14</f>
        <v>30-44</v>
      </c>
    </row>
    <row r="964" spans="1:20" x14ac:dyDescent="0.3">
      <c r="A964" s="18">
        <v>45499</v>
      </c>
      <c r="B964" s="17" t="s">
        <v>1800</v>
      </c>
      <c r="C964" s="17" t="s">
        <v>55</v>
      </c>
      <c r="D964" s="18">
        <v>36438</v>
      </c>
      <c r="E964" s="16" t="s">
        <v>33</v>
      </c>
      <c r="F964" s="31">
        <v>414</v>
      </c>
      <c r="G964" s="17" t="s">
        <v>15</v>
      </c>
      <c r="H964" s="17" t="s">
        <v>48</v>
      </c>
      <c r="I964" s="17" t="s">
        <v>17</v>
      </c>
      <c r="J964" s="27">
        <v>0.1</v>
      </c>
      <c r="K964" s="17" t="s">
        <v>929</v>
      </c>
      <c r="L964" s="32">
        <v>10</v>
      </c>
      <c r="M964" s="32">
        <f>_xlfn.XLOOKUP(Table2_1[[#This Row],[Product Code]],Product_Code,Unit_Price,0)</f>
        <v>14</v>
      </c>
      <c r="N964" s="31">
        <f>DATEDIF(Table2_1[[#This Row],[Buyer Date of Birth]],Table2_1[[#This Row],[Transaction  Date]],"Y")</f>
        <v>24</v>
      </c>
      <c r="O964" s="33">
        <v>4140</v>
      </c>
      <c r="P964" s="33">
        <f>Table2_1[[#This Row],[Quantity Purchased]]*Table2_1[[#This Row],[UnitPrice]]*(1-Table2_1[[#This Row],[Discount]])</f>
        <v>5216.4000000000005</v>
      </c>
      <c r="Q964" s="33">
        <f>Table2_1[[#This Row],[Revenue]]-Table2_1[[#This Row],[COGS]]</f>
        <v>1076.4000000000005</v>
      </c>
      <c r="R964" s="39">
        <f>WEEKDAY(Table2_1[[#This Row],[Transaction  Date]])</f>
        <v>6</v>
      </c>
      <c r="S964" s="17" t="str">
        <f>IF(WEEKDAY(Table2_1[[#This Row],[Transaction  Date]],2)&lt;=5,"Weekday","Weekend")</f>
        <v>Weekday</v>
      </c>
      <c r="T964" s="37" t="str">
        <f>FLOOR(Table2_1[[#This Row],[Age]],15)&amp; "-"&amp; FLOOR(Table2_1[[#This Row],[Age]],15)+14</f>
        <v>15-29</v>
      </c>
    </row>
    <row r="965" spans="1:20" x14ac:dyDescent="0.3">
      <c r="A965" s="18">
        <v>45499</v>
      </c>
      <c r="B965" s="17" t="s">
        <v>1801</v>
      </c>
      <c r="C965" s="17" t="s">
        <v>26</v>
      </c>
      <c r="D965" s="18">
        <v>19109</v>
      </c>
      <c r="E965" s="16" t="s">
        <v>68</v>
      </c>
      <c r="F965" s="31">
        <v>130</v>
      </c>
      <c r="G965" s="17" t="s">
        <v>59</v>
      </c>
      <c r="H965" s="17" t="s">
        <v>48</v>
      </c>
      <c r="I965" s="17" t="s">
        <v>17</v>
      </c>
      <c r="J965" s="27">
        <v>0.1</v>
      </c>
      <c r="K965" s="17" t="s">
        <v>932</v>
      </c>
      <c r="L965" s="32">
        <v>19</v>
      </c>
      <c r="M965" s="32">
        <f>_xlfn.XLOOKUP(Table2_1[[#This Row],[Product Code]],Product_Code,Unit_Price,0)</f>
        <v>23</v>
      </c>
      <c r="N965" s="31">
        <f>DATEDIF(Table2_1[[#This Row],[Buyer Date of Birth]],Table2_1[[#This Row],[Transaction  Date]],"Y")</f>
        <v>72</v>
      </c>
      <c r="O965" s="33">
        <v>2470</v>
      </c>
      <c r="P965" s="33">
        <f>Table2_1[[#This Row],[Quantity Purchased]]*Table2_1[[#This Row],[UnitPrice]]*(1-Table2_1[[#This Row],[Discount]])</f>
        <v>2691</v>
      </c>
      <c r="Q965" s="33">
        <f>Table2_1[[#This Row],[Revenue]]-Table2_1[[#This Row],[COGS]]</f>
        <v>221</v>
      </c>
      <c r="R965" s="39">
        <f>WEEKDAY(Table2_1[[#This Row],[Transaction  Date]])</f>
        <v>6</v>
      </c>
      <c r="S965" s="17" t="str">
        <f>IF(WEEKDAY(Table2_1[[#This Row],[Transaction  Date]],2)&lt;=5,"Weekday","Weekend")</f>
        <v>Weekday</v>
      </c>
      <c r="T965" s="37" t="str">
        <f>FLOOR(Table2_1[[#This Row],[Age]],15)&amp; "-"&amp; FLOOR(Table2_1[[#This Row],[Age]],15)+14</f>
        <v>60-74</v>
      </c>
    </row>
    <row r="966" spans="1:20" x14ac:dyDescent="0.3">
      <c r="A966" s="18">
        <v>45499</v>
      </c>
      <c r="B966" s="17" t="s">
        <v>1802</v>
      </c>
      <c r="C966" s="17" t="s">
        <v>32</v>
      </c>
      <c r="D966" s="18">
        <v>36226</v>
      </c>
      <c r="E966" s="16" t="s">
        <v>68</v>
      </c>
      <c r="F966" s="31">
        <v>159</v>
      </c>
      <c r="G966" s="17" t="s">
        <v>59</v>
      </c>
      <c r="H966" s="17" t="s">
        <v>52</v>
      </c>
      <c r="I966" s="17" t="s">
        <v>17</v>
      </c>
      <c r="J966" s="27">
        <v>0.1</v>
      </c>
      <c r="K966" s="17" t="s">
        <v>932</v>
      </c>
      <c r="L966" s="32">
        <v>19</v>
      </c>
      <c r="M966" s="32">
        <f>_xlfn.XLOOKUP(Table2_1[[#This Row],[Product Code]],Product_Code,Unit_Price,0)</f>
        <v>23</v>
      </c>
      <c r="N966" s="31">
        <f>DATEDIF(Table2_1[[#This Row],[Buyer Date of Birth]],Table2_1[[#This Row],[Transaction  Date]],"Y")</f>
        <v>25</v>
      </c>
      <c r="O966" s="33">
        <v>3021</v>
      </c>
      <c r="P966" s="33">
        <f>Table2_1[[#This Row],[Quantity Purchased]]*Table2_1[[#This Row],[UnitPrice]]*(1-Table2_1[[#This Row],[Discount]])</f>
        <v>3291.3</v>
      </c>
      <c r="Q966" s="33">
        <f>Table2_1[[#This Row],[Revenue]]-Table2_1[[#This Row],[COGS]]</f>
        <v>270.30000000000018</v>
      </c>
      <c r="R966" s="39">
        <f>WEEKDAY(Table2_1[[#This Row],[Transaction  Date]])</f>
        <v>6</v>
      </c>
      <c r="S966" s="17" t="str">
        <f>IF(WEEKDAY(Table2_1[[#This Row],[Transaction  Date]],2)&lt;=5,"Weekday","Weekend")</f>
        <v>Weekday</v>
      </c>
      <c r="T966" s="37" t="str">
        <f>FLOOR(Table2_1[[#This Row],[Age]],15)&amp; "-"&amp; FLOOR(Table2_1[[#This Row],[Age]],15)+14</f>
        <v>15-29</v>
      </c>
    </row>
    <row r="967" spans="1:20" x14ac:dyDescent="0.3">
      <c r="A967" s="18">
        <v>45499</v>
      </c>
      <c r="B967" s="17" t="s">
        <v>1803</v>
      </c>
      <c r="C967" s="17" t="s">
        <v>13</v>
      </c>
      <c r="D967" s="18">
        <v>23566</v>
      </c>
      <c r="E967" s="16" t="s">
        <v>33</v>
      </c>
      <c r="F967" s="31">
        <v>259</v>
      </c>
      <c r="G967" s="17" t="s">
        <v>56</v>
      </c>
      <c r="H967" s="17" t="s">
        <v>39</v>
      </c>
      <c r="I967" s="17" t="s">
        <v>17</v>
      </c>
      <c r="J967" s="27">
        <v>0.1</v>
      </c>
      <c r="K967" s="17" t="s">
        <v>935</v>
      </c>
      <c r="L967" s="32">
        <v>18</v>
      </c>
      <c r="M967" s="32">
        <f>_xlfn.XLOOKUP(Table2_1[[#This Row],[Product Code]],Product_Code,Unit_Price,0)</f>
        <v>36</v>
      </c>
      <c r="N967" s="31">
        <f>DATEDIF(Table2_1[[#This Row],[Buyer Date of Birth]],Table2_1[[#This Row],[Transaction  Date]],"Y")</f>
        <v>60</v>
      </c>
      <c r="O967" s="33">
        <v>4662</v>
      </c>
      <c r="P967" s="33">
        <f>Table2_1[[#This Row],[Quantity Purchased]]*Table2_1[[#This Row],[UnitPrice]]*(1-Table2_1[[#This Row],[Discount]])</f>
        <v>8391.6</v>
      </c>
      <c r="Q967" s="33">
        <f>Table2_1[[#This Row],[Revenue]]-Table2_1[[#This Row],[COGS]]</f>
        <v>3729.6000000000004</v>
      </c>
      <c r="R967" s="39">
        <f>WEEKDAY(Table2_1[[#This Row],[Transaction  Date]])</f>
        <v>6</v>
      </c>
      <c r="S967" s="17" t="str">
        <f>IF(WEEKDAY(Table2_1[[#This Row],[Transaction  Date]],2)&lt;=5,"Weekday","Weekend")</f>
        <v>Weekday</v>
      </c>
      <c r="T967" s="37" t="str">
        <f>FLOOR(Table2_1[[#This Row],[Age]],15)&amp; "-"&amp; FLOOR(Table2_1[[#This Row],[Age]],15)+14</f>
        <v>60-74</v>
      </c>
    </row>
    <row r="968" spans="1:20" x14ac:dyDescent="0.3">
      <c r="A968" s="18">
        <v>45500</v>
      </c>
      <c r="B968" s="17" t="s">
        <v>940</v>
      </c>
      <c r="C968" s="17" t="s">
        <v>13</v>
      </c>
      <c r="D968" s="18">
        <v>21285</v>
      </c>
      <c r="E968" s="16" t="s">
        <v>14</v>
      </c>
      <c r="F968" s="31">
        <v>270</v>
      </c>
      <c r="G968" s="17" t="s">
        <v>56</v>
      </c>
      <c r="H968" s="17" t="s">
        <v>43</v>
      </c>
      <c r="I968" s="17" t="s">
        <v>17</v>
      </c>
      <c r="J968" s="27">
        <v>0.1</v>
      </c>
      <c r="K968" s="17" t="s">
        <v>935</v>
      </c>
      <c r="L968" s="32">
        <v>18</v>
      </c>
      <c r="M968" s="32">
        <f>_xlfn.XLOOKUP(Table2_1[[#This Row],[Product Code]],Product_Code,Unit_Price,0)</f>
        <v>36</v>
      </c>
      <c r="N968" s="31">
        <f>DATEDIF(Table2_1[[#This Row],[Buyer Date of Birth]],Table2_1[[#This Row],[Transaction  Date]],"Y")</f>
        <v>66</v>
      </c>
      <c r="O968" s="33">
        <v>4860</v>
      </c>
      <c r="P968" s="33">
        <f>Table2_1[[#This Row],[Quantity Purchased]]*Table2_1[[#This Row],[UnitPrice]]*(1-Table2_1[[#This Row],[Discount]])</f>
        <v>8748</v>
      </c>
      <c r="Q968" s="33">
        <f>Table2_1[[#This Row],[Revenue]]-Table2_1[[#This Row],[COGS]]</f>
        <v>3888</v>
      </c>
      <c r="R968" s="39">
        <f>WEEKDAY(Table2_1[[#This Row],[Transaction  Date]])</f>
        <v>7</v>
      </c>
      <c r="S968" s="17" t="str">
        <f>IF(WEEKDAY(Table2_1[[#This Row],[Transaction  Date]],2)&lt;=5,"Weekday","Weekend")</f>
        <v>Weekend</v>
      </c>
      <c r="T968" s="37" t="str">
        <f>FLOOR(Table2_1[[#This Row],[Age]],15)&amp; "-"&amp; FLOOR(Table2_1[[#This Row],[Age]],15)+14</f>
        <v>60-74</v>
      </c>
    </row>
    <row r="969" spans="1:20" x14ac:dyDescent="0.3">
      <c r="A969" s="18">
        <v>45500</v>
      </c>
      <c r="B969" s="17" t="s">
        <v>1804</v>
      </c>
      <c r="C969" s="17" t="s">
        <v>55</v>
      </c>
      <c r="D969" s="18">
        <v>26695</v>
      </c>
      <c r="E969" s="16" t="s">
        <v>20</v>
      </c>
      <c r="F969" s="31">
        <v>410</v>
      </c>
      <c r="G969" s="17" t="s">
        <v>59</v>
      </c>
      <c r="H969" s="17" t="s">
        <v>48</v>
      </c>
      <c r="I969" s="17" t="s">
        <v>17</v>
      </c>
      <c r="J969" s="27">
        <v>0.1</v>
      </c>
      <c r="K969" s="17" t="s">
        <v>932</v>
      </c>
      <c r="L969" s="32">
        <v>19</v>
      </c>
      <c r="M969" s="32">
        <f>_xlfn.XLOOKUP(Table2_1[[#This Row],[Product Code]],Product_Code,Unit_Price,0)</f>
        <v>23</v>
      </c>
      <c r="N969" s="31">
        <f>DATEDIF(Table2_1[[#This Row],[Buyer Date of Birth]],Table2_1[[#This Row],[Transaction  Date]],"Y")</f>
        <v>51</v>
      </c>
      <c r="O969" s="33">
        <v>7790</v>
      </c>
      <c r="P969" s="33">
        <f>Table2_1[[#This Row],[Quantity Purchased]]*Table2_1[[#This Row],[UnitPrice]]*(1-Table2_1[[#This Row],[Discount]])</f>
        <v>8487</v>
      </c>
      <c r="Q969" s="33">
        <f>Table2_1[[#This Row],[Revenue]]-Table2_1[[#This Row],[COGS]]</f>
        <v>697</v>
      </c>
      <c r="R969" s="39">
        <f>WEEKDAY(Table2_1[[#This Row],[Transaction  Date]])</f>
        <v>7</v>
      </c>
      <c r="S969" s="17" t="str">
        <f>IF(WEEKDAY(Table2_1[[#This Row],[Transaction  Date]],2)&lt;=5,"Weekday","Weekend")</f>
        <v>Weekend</v>
      </c>
      <c r="T969" s="37" t="str">
        <f>FLOOR(Table2_1[[#This Row],[Age]],15)&amp; "-"&amp; FLOOR(Table2_1[[#This Row],[Age]],15)+14</f>
        <v>45-59</v>
      </c>
    </row>
    <row r="970" spans="1:20" x14ac:dyDescent="0.3">
      <c r="A970" s="18">
        <v>45500</v>
      </c>
      <c r="B970" s="17" t="s">
        <v>1896</v>
      </c>
      <c r="C970" s="17" t="s">
        <v>13</v>
      </c>
      <c r="D970" s="18">
        <v>17786</v>
      </c>
      <c r="E970" s="16" t="s">
        <v>20</v>
      </c>
      <c r="F970" s="31">
        <v>297</v>
      </c>
      <c r="G970" s="17" t="s">
        <v>27</v>
      </c>
      <c r="H970" s="17" t="s">
        <v>52</v>
      </c>
      <c r="I970" s="17" t="s">
        <v>17</v>
      </c>
      <c r="J970" s="27">
        <v>0.1</v>
      </c>
      <c r="K970" s="17" t="s">
        <v>927</v>
      </c>
      <c r="L970" s="32">
        <v>18</v>
      </c>
      <c r="M970" s="32">
        <f>_xlfn.XLOOKUP(Table2_1[[#This Row],[Product Code]],Product_Code,Unit_Price,0)</f>
        <v>22</v>
      </c>
      <c r="N970" s="31">
        <f>DATEDIF(Table2_1[[#This Row],[Buyer Date of Birth]],Table2_1[[#This Row],[Transaction  Date]],"Y")</f>
        <v>75</v>
      </c>
      <c r="O970" s="33">
        <v>5346</v>
      </c>
      <c r="P970" s="33">
        <f>Table2_1[[#This Row],[Quantity Purchased]]*Table2_1[[#This Row],[UnitPrice]]*(1-Table2_1[[#This Row],[Discount]])</f>
        <v>5880.6</v>
      </c>
      <c r="Q970" s="33">
        <f>Table2_1[[#This Row],[Revenue]]-Table2_1[[#This Row],[COGS]]</f>
        <v>534.60000000000036</v>
      </c>
      <c r="R970" s="39">
        <f>WEEKDAY(Table2_1[[#This Row],[Transaction  Date]])</f>
        <v>7</v>
      </c>
      <c r="S970" s="17" t="str">
        <f>IF(WEEKDAY(Table2_1[[#This Row],[Transaction  Date]],2)&lt;=5,"Weekday","Weekend")</f>
        <v>Weekend</v>
      </c>
      <c r="T970" s="37" t="str">
        <f>FLOOR(Table2_1[[#This Row],[Age]],15)&amp; "-"&amp; FLOOR(Table2_1[[#This Row],[Age]],15)+14</f>
        <v>75-89</v>
      </c>
    </row>
    <row r="971" spans="1:20" x14ac:dyDescent="0.3">
      <c r="A971" s="18">
        <v>45500</v>
      </c>
      <c r="B971" s="17" t="s">
        <v>1805</v>
      </c>
      <c r="C971" s="17" t="s">
        <v>78</v>
      </c>
      <c r="D971" s="18">
        <v>17123</v>
      </c>
      <c r="E971" s="16" t="s">
        <v>68</v>
      </c>
      <c r="F971" s="31">
        <v>66</v>
      </c>
      <c r="G971" s="17" t="s">
        <v>47</v>
      </c>
      <c r="H971" s="17" t="s">
        <v>52</v>
      </c>
      <c r="I971" s="17" t="s">
        <v>17</v>
      </c>
      <c r="J971" s="27">
        <v>0.1</v>
      </c>
      <c r="K971" s="17" t="s">
        <v>931</v>
      </c>
      <c r="L971" s="32">
        <v>7</v>
      </c>
      <c r="M971" s="32">
        <f>_xlfn.XLOOKUP(Table2_1[[#This Row],[Product Code]],Product_Code,Unit_Price,0)</f>
        <v>9</v>
      </c>
      <c r="N971" s="31">
        <f>DATEDIF(Table2_1[[#This Row],[Buyer Date of Birth]],Table2_1[[#This Row],[Transaction  Date]],"Y")</f>
        <v>77</v>
      </c>
      <c r="O971" s="33">
        <v>462</v>
      </c>
      <c r="P971" s="33">
        <f>Table2_1[[#This Row],[Quantity Purchased]]*Table2_1[[#This Row],[UnitPrice]]*(1-Table2_1[[#This Row],[Discount]])</f>
        <v>534.6</v>
      </c>
      <c r="Q971" s="33">
        <f>Table2_1[[#This Row],[Revenue]]-Table2_1[[#This Row],[COGS]]</f>
        <v>72.600000000000023</v>
      </c>
      <c r="R971" s="39">
        <f>WEEKDAY(Table2_1[[#This Row],[Transaction  Date]])</f>
        <v>7</v>
      </c>
      <c r="S971" s="17" t="str">
        <f>IF(WEEKDAY(Table2_1[[#This Row],[Transaction  Date]],2)&lt;=5,"Weekday","Weekend")</f>
        <v>Weekend</v>
      </c>
      <c r="T971" s="37" t="str">
        <f>FLOOR(Table2_1[[#This Row],[Age]],15)&amp; "-"&amp; FLOOR(Table2_1[[#This Row],[Age]],15)+14</f>
        <v>75-89</v>
      </c>
    </row>
    <row r="972" spans="1:20" x14ac:dyDescent="0.3">
      <c r="A972" s="18">
        <v>45501</v>
      </c>
      <c r="B972" s="17" t="s">
        <v>1806</v>
      </c>
      <c r="C972" s="17" t="s">
        <v>32</v>
      </c>
      <c r="D972" s="18">
        <v>26659</v>
      </c>
      <c r="E972" s="16" t="s">
        <v>33</v>
      </c>
      <c r="F972" s="31">
        <v>60</v>
      </c>
      <c r="G972" s="17" t="s">
        <v>56</v>
      </c>
      <c r="H972" s="17" t="s">
        <v>39</v>
      </c>
      <c r="I972" s="17" t="s">
        <v>29</v>
      </c>
      <c r="J972" s="27">
        <v>0.1</v>
      </c>
      <c r="K972" s="17" t="s">
        <v>935</v>
      </c>
      <c r="L972" s="32">
        <v>18</v>
      </c>
      <c r="M972" s="32">
        <f>_xlfn.XLOOKUP(Table2_1[[#This Row],[Product Code]],Product_Code,Unit_Price,0)</f>
        <v>36</v>
      </c>
      <c r="N972" s="31">
        <f>DATEDIF(Table2_1[[#This Row],[Buyer Date of Birth]],Table2_1[[#This Row],[Transaction  Date]],"Y")</f>
        <v>51</v>
      </c>
      <c r="O972" s="33">
        <v>1080</v>
      </c>
      <c r="P972" s="33">
        <f>Table2_1[[#This Row],[Quantity Purchased]]*Table2_1[[#This Row],[UnitPrice]]*(1-Table2_1[[#This Row],[Discount]])</f>
        <v>1944</v>
      </c>
      <c r="Q972" s="33">
        <f>Table2_1[[#This Row],[Revenue]]-Table2_1[[#This Row],[COGS]]</f>
        <v>864</v>
      </c>
      <c r="R972" s="39">
        <f>WEEKDAY(Table2_1[[#This Row],[Transaction  Date]])</f>
        <v>1</v>
      </c>
      <c r="S972" s="17" t="str">
        <f>IF(WEEKDAY(Table2_1[[#This Row],[Transaction  Date]],2)&lt;=5,"Weekday","Weekend")</f>
        <v>Weekend</v>
      </c>
      <c r="T972" s="37" t="str">
        <f>FLOOR(Table2_1[[#This Row],[Age]],15)&amp; "-"&amp; FLOOR(Table2_1[[#This Row],[Age]],15)+14</f>
        <v>45-59</v>
      </c>
    </row>
    <row r="973" spans="1:20" x14ac:dyDescent="0.3">
      <c r="A973" s="18">
        <v>45501</v>
      </c>
      <c r="B973" s="17" t="s">
        <v>1807</v>
      </c>
      <c r="C973" s="17" t="s">
        <v>94</v>
      </c>
      <c r="D973" s="18">
        <v>20739</v>
      </c>
      <c r="E973" s="16" t="s">
        <v>68</v>
      </c>
      <c r="F973" s="31">
        <v>153</v>
      </c>
      <c r="G973" s="17" t="s">
        <v>34</v>
      </c>
      <c r="H973" s="17" t="s">
        <v>52</v>
      </c>
      <c r="I973" s="17" t="s">
        <v>17</v>
      </c>
      <c r="J973" s="27">
        <v>0.1</v>
      </c>
      <c r="K973" s="17" t="s">
        <v>930</v>
      </c>
      <c r="L973" s="32">
        <v>14</v>
      </c>
      <c r="M973" s="32">
        <f>_xlfn.XLOOKUP(Table2_1[[#This Row],[Product Code]],Product_Code,Unit_Price,0)</f>
        <v>28</v>
      </c>
      <c r="N973" s="31">
        <f>DATEDIF(Table2_1[[#This Row],[Buyer Date of Birth]],Table2_1[[#This Row],[Transaction  Date]],"Y")</f>
        <v>67</v>
      </c>
      <c r="O973" s="33">
        <v>2142</v>
      </c>
      <c r="P973" s="33">
        <f>Table2_1[[#This Row],[Quantity Purchased]]*Table2_1[[#This Row],[UnitPrice]]*(1-Table2_1[[#This Row],[Discount]])</f>
        <v>3855.6</v>
      </c>
      <c r="Q973" s="33">
        <f>Table2_1[[#This Row],[Revenue]]-Table2_1[[#This Row],[COGS]]</f>
        <v>1713.6</v>
      </c>
      <c r="R973" s="39">
        <f>WEEKDAY(Table2_1[[#This Row],[Transaction  Date]])</f>
        <v>1</v>
      </c>
      <c r="S973" s="17" t="str">
        <f>IF(WEEKDAY(Table2_1[[#This Row],[Transaction  Date]],2)&lt;=5,"Weekday","Weekend")</f>
        <v>Weekend</v>
      </c>
      <c r="T973" s="37" t="str">
        <f>FLOOR(Table2_1[[#This Row],[Age]],15)&amp; "-"&amp; FLOOR(Table2_1[[#This Row],[Age]],15)+14</f>
        <v>60-74</v>
      </c>
    </row>
    <row r="974" spans="1:20" x14ac:dyDescent="0.3">
      <c r="A974" s="18">
        <v>45501</v>
      </c>
      <c r="B974" s="17" t="s">
        <v>1808</v>
      </c>
      <c r="C974" s="17" t="s">
        <v>71</v>
      </c>
      <c r="D974" s="18">
        <v>26256</v>
      </c>
      <c r="E974" s="16" t="s">
        <v>33</v>
      </c>
      <c r="F974" s="31">
        <v>78</v>
      </c>
      <c r="G974" s="17" t="s">
        <v>59</v>
      </c>
      <c r="H974" s="17" t="s">
        <v>48</v>
      </c>
      <c r="I974" s="17" t="s">
        <v>17</v>
      </c>
      <c r="J974" s="27">
        <v>0.1</v>
      </c>
      <c r="K974" s="17" t="s">
        <v>932</v>
      </c>
      <c r="L974" s="32">
        <v>19</v>
      </c>
      <c r="M974" s="32">
        <f>_xlfn.XLOOKUP(Table2_1[[#This Row],[Product Code]],Product_Code,Unit_Price,0)</f>
        <v>23</v>
      </c>
      <c r="N974" s="31">
        <f>DATEDIF(Table2_1[[#This Row],[Buyer Date of Birth]],Table2_1[[#This Row],[Transaction  Date]],"Y")</f>
        <v>52</v>
      </c>
      <c r="O974" s="33">
        <v>1482</v>
      </c>
      <c r="P974" s="33">
        <f>Table2_1[[#This Row],[Quantity Purchased]]*Table2_1[[#This Row],[UnitPrice]]*(1-Table2_1[[#This Row],[Discount]])</f>
        <v>1614.6000000000001</v>
      </c>
      <c r="Q974" s="33">
        <f>Table2_1[[#This Row],[Revenue]]-Table2_1[[#This Row],[COGS]]</f>
        <v>132.60000000000014</v>
      </c>
      <c r="R974" s="39">
        <f>WEEKDAY(Table2_1[[#This Row],[Transaction  Date]])</f>
        <v>1</v>
      </c>
      <c r="S974" s="17" t="str">
        <f>IF(WEEKDAY(Table2_1[[#This Row],[Transaction  Date]],2)&lt;=5,"Weekday","Weekend")</f>
        <v>Weekend</v>
      </c>
      <c r="T974" s="37" t="str">
        <f>FLOOR(Table2_1[[#This Row],[Age]],15)&amp; "-"&amp; FLOOR(Table2_1[[#This Row],[Age]],15)+14</f>
        <v>45-59</v>
      </c>
    </row>
    <row r="975" spans="1:20" x14ac:dyDescent="0.3">
      <c r="A975" s="18">
        <v>45501</v>
      </c>
      <c r="B975" s="17" t="s">
        <v>1809</v>
      </c>
      <c r="C975" s="17" t="s">
        <v>13</v>
      </c>
      <c r="D975" s="18">
        <v>20235</v>
      </c>
      <c r="E975" s="16" t="s">
        <v>68</v>
      </c>
      <c r="F975" s="31">
        <v>450</v>
      </c>
      <c r="G975" s="17" t="s">
        <v>34</v>
      </c>
      <c r="H975" s="17" t="s">
        <v>52</v>
      </c>
      <c r="I975" s="17" t="s">
        <v>17</v>
      </c>
      <c r="J975" s="27">
        <v>0.1</v>
      </c>
      <c r="K975" s="17" t="s">
        <v>930</v>
      </c>
      <c r="L975" s="32">
        <v>14</v>
      </c>
      <c r="M975" s="32">
        <f>_xlfn.XLOOKUP(Table2_1[[#This Row],[Product Code]],Product_Code,Unit_Price,0)</f>
        <v>28</v>
      </c>
      <c r="N975" s="31">
        <f>DATEDIF(Table2_1[[#This Row],[Buyer Date of Birth]],Table2_1[[#This Row],[Transaction  Date]],"Y")</f>
        <v>69</v>
      </c>
      <c r="O975" s="33">
        <v>6300</v>
      </c>
      <c r="P975" s="33">
        <f>Table2_1[[#This Row],[Quantity Purchased]]*Table2_1[[#This Row],[UnitPrice]]*(1-Table2_1[[#This Row],[Discount]])</f>
        <v>11340</v>
      </c>
      <c r="Q975" s="33">
        <f>Table2_1[[#This Row],[Revenue]]-Table2_1[[#This Row],[COGS]]</f>
        <v>5040</v>
      </c>
      <c r="R975" s="39">
        <f>WEEKDAY(Table2_1[[#This Row],[Transaction  Date]])</f>
        <v>1</v>
      </c>
      <c r="S975" s="17" t="str">
        <f>IF(WEEKDAY(Table2_1[[#This Row],[Transaction  Date]],2)&lt;=5,"Weekday","Weekend")</f>
        <v>Weekend</v>
      </c>
      <c r="T975" s="37" t="str">
        <f>FLOOR(Table2_1[[#This Row],[Age]],15)&amp; "-"&amp; FLOOR(Table2_1[[#This Row],[Age]],15)+14</f>
        <v>60-74</v>
      </c>
    </row>
    <row r="976" spans="1:20" x14ac:dyDescent="0.3">
      <c r="A976" s="18">
        <v>45501</v>
      </c>
      <c r="B976" s="17" t="s">
        <v>1810</v>
      </c>
      <c r="C976" s="17" t="s">
        <v>71</v>
      </c>
      <c r="D976" s="18">
        <v>20420</v>
      </c>
      <c r="E976" s="16" t="s">
        <v>33</v>
      </c>
      <c r="F976" s="31">
        <v>405</v>
      </c>
      <c r="G976" s="17" t="s">
        <v>27</v>
      </c>
      <c r="H976" s="17" t="s">
        <v>48</v>
      </c>
      <c r="I976" s="17" t="s">
        <v>17</v>
      </c>
      <c r="J976" s="27">
        <v>0.1</v>
      </c>
      <c r="K976" s="17" t="s">
        <v>927</v>
      </c>
      <c r="L976" s="32">
        <v>18</v>
      </c>
      <c r="M976" s="32">
        <f>_xlfn.XLOOKUP(Table2_1[[#This Row],[Product Code]],Product_Code,Unit_Price,0)</f>
        <v>22</v>
      </c>
      <c r="N976" s="31">
        <f>DATEDIF(Table2_1[[#This Row],[Buyer Date of Birth]],Table2_1[[#This Row],[Transaction  Date]],"Y")</f>
        <v>68</v>
      </c>
      <c r="O976" s="33">
        <v>7290</v>
      </c>
      <c r="P976" s="33">
        <f>Table2_1[[#This Row],[Quantity Purchased]]*Table2_1[[#This Row],[UnitPrice]]*(1-Table2_1[[#This Row],[Discount]])</f>
        <v>8019</v>
      </c>
      <c r="Q976" s="33">
        <f>Table2_1[[#This Row],[Revenue]]-Table2_1[[#This Row],[COGS]]</f>
        <v>729</v>
      </c>
      <c r="R976" s="39">
        <f>WEEKDAY(Table2_1[[#This Row],[Transaction  Date]])</f>
        <v>1</v>
      </c>
      <c r="S976" s="17" t="str">
        <f>IF(WEEKDAY(Table2_1[[#This Row],[Transaction  Date]],2)&lt;=5,"Weekday","Weekend")</f>
        <v>Weekend</v>
      </c>
      <c r="T976" s="37" t="str">
        <f>FLOOR(Table2_1[[#This Row],[Age]],15)&amp; "-"&amp; FLOOR(Table2_1[[#This Row],[Age]],15)+14</f>
        <v>60-74</v>
      </c>
    </row>
    <row r="977" spans="1:20" x14ac:dyDescent="0.3">
      <c r="A977" s="18">
        <v>45501</v>
      </c>
      <c r="B977" s="17" t="s">
        <v>1811</v>
      </c>
      <c r="C977" s="17" t="s">
        <v>55</v>
      </c>
      <c r="D977" s="18">
        <v>35571</v>
      </c>
      <c r="E977" s="16" t="s">
        <v>68</v>
      </c>
      <c r="F977" s="31">
        <v>53</v>
      </c>
      <c r="G977" s="17" t="s">
        <v>64</v>
      </c>
      <c r="H977" s="17" t="s">
        <v>52</v>
      </c>
      <c r="I977" s="17" t="s">
        <v>17</v>
      </c>
      <c r="J977" s="27">
        <v>0.1</v>
      </c>
      <c r="K977" s="17" t="s">
        <v>933</v>
      </c>
      <c r="L977" s="32">
        <v>5</v>
      </c>
      <c r="M977" s="32">
        <f>_xlfn.XLOOKUP(Table2_1[[#This Row],[Product Code]],Product_Code,Unit_Price,0)</f>
        <v>7</v>
      </c>
      <c r="N977" s="31">
        <f>DATEDIF(Table2_1[[#This Row],[Buyer Date of Birth]],Table2_1[[#This Row],[Transaction  Date]],"Y")</f>
        <v>27</v>
      </c>
      <c r="O977" s="33">
        <v>265</v>
      </c>
      <c r="P977" s="33">
        <f>Table2_1[[#This Row],[Quantity Purchased]]*Table2_1[[#This Row],[UnitPrice]]*(1-Table2_1[[#This Row],[Discount]])</f>
        <v>333.90000000000003</v>
      </c>
      <c r="Q977" s="33">
        <f>Table2_1[[#This Row],[Revenue]]-Table2_1[[#This Row],[COGS]]</f>
        <v>68.900000000000034</v>
      </c>
      <c r="R977" s="39">
        <f>WEEKDAY(Table2_1[[#This Row],[Transaction  Date]])</f>
        <v>1</v>
      </c>
      <c r="S977" s="17" t="str">
        <f>IF(WEEKDAY(Table2_1[[#This Row],[Transaction  Date]],2)&lt;=5,"Weekday","Weekend")</f>
        <v>Weekend</v>
      </c>
      <c r="T977" s="37" t="str">
        <f>FLOOR(Table2_1[[#This Row],[Age]],15)&amp; "-"&amp; FLOOR(Table2_1[[#This Row],[Age]],15)+14</f>
        <v>15-29</v>
      </c>
    </row>
    <row r="978" spans="1:20" x14ac:dyDescent="0.3">
      <c r="A978" s="18">
        <v>45502</v>
      </c>
      <c r="B978" s="17" t="s">
        <v>1812</v>
      </c>
      <c r="C978" s="17" t="s">
        <v>71</v>
      </c>
      <c r="D978" s="18">
        <v>18657</v>
      </c>
      <c r="E978" s="16" t="s">
        <v>68</v>
      </c>
      <c r="F978" s="31">
        <v>431</v>
      </c>
      <c r="G978" s="17" t="s">
        <v>56</v>
      </c>
      <c r="H978" s="17" t="s">
        <v>43</v>
      </c>
      <c r="I978" s="17" t="s">
        <v>17</v>
      </c>
      <c r="J978" s="27">
        <v>0.1</v>
      </c>
      <c r="K978" s="17" t="s">
        <v>935</v>
      </c>
      <c r="L978" s="32">
        <v>18</v>
      </c>
      <c r="M978" s="32">
        <f>_xlfn.XLOOKUP(Table2_1[[#This Row],[Product Code]],Product_Code,Unit_Price,0)</f>
        <v>36</v>
      </c>
      <c r="N978" s="31">
        <f>DATEDIF(Table2_1[[#This Row],[Buyer Date of Birth]],Table2_1[[#This Row],[Transaction  Date]],"Y")</f>
        <v>73</v>
      </c>
      <c r="O978" s="33">
        <v>7758</v>
      </c>
      <c r="P978" s="33">
        <f>Table2_1[[#This Row],[Quantity Purchased]]*Table2_1[[#This Row],[UnitPrice]]*(1-Table2_1[[#This Row],[Discount]])</f>
        <v>13964.4</v>
      </c>
      <c r="Q978" s="33">
        <f>Table2_1[[#This Row],[Revenue]]-Table2_1[[#This Row],[COGS]]</f>
        <v>6206.4</v>
      </c>
      <c r="R978" s="39">
        <f>WEEKDAY(Table2_1[[#This Row],[Transaction  Date]])</f>
        <v>2</v>
      </c>
      <c r="S978" s="17" t="str">
        <f>IF(WEEKDAY(Table2_1[[#This Row],[Transaction  Date]],2)&lt;=5,"Weekday","Weekend")</f>
        <v>Weekday</v>
      </c>
      <c r="T978" s="37" t="str">
        <f>FLOOR(Table2_1[[#This Row],[Age]],15)&amp; "-"&amp; FLOOR(Table2_1[[#This Row],[Age]],15)+14</f>
        <v>60-74</v>
      </c>
    </row>
    <row r="979" spans="1:20" x14ac:dyDescent="0.3">
      <c r="A979" s="18">
        <v>45502</v>
      </c>
      <c r="B979" s="17" t="s">
        <v>1813</v>
      </c>
      <c r="C979" s="17" t="s">
        <v>26</v>
      </c>
      <c r="D979" s="18">
        <v>21819</v>
      </c>
      <c r="E979" s="16" t="s">
        <v>33</v>
      </c>
      <c r="F979" s="31">
        <v>376</v>
      </c>
      <c r="G979" s="17" t="s">
        <v>65</v>
      </c>
      <c r="H979" s="17" t="s">
        <v>28</v>
      </c>
      <c r="I979" s="17" t="s">
        <v>17</v>
      </c>
      <c r="J979" s="27">
        <v>0.1</v>
      </c>
      <c r="K979" s="17" t="s">
        <v>928</v>
      </c>
      <c r="L979" s="32">
        <v>3</v>
      </c>
      <c r="M979" s="32">
        <f>_xlfn.XLOOKUP(Table2_1[[#This Row],[Product Code]],Product_Code,Unit_Price,0)</f>
        <v>5</v>
      </c>
      <c r="N979" s="31">
        <f>DATEDIF(Table2_1[[#This Row],[Buyer Date of Birth]],Table2_1[[#This Row],[Transaction  Date]],"Y")</f>
        <v>64</v>
      </c>
      <c r="O979" s="33">
        <v>1128</v>
      </c>
      <c r="P979" s="33">
        <f>Table2_1[[#This Row],[Quantity Purchased]]*Table2_1[[#This Row],[UnitPrice]]*(1-Table2_1[[#This Row],[Discount]])</f>
        <v>1692</v>
      </c>
      <c r="Q979" s="33">
        <f>Table2_1[[#This Row],[Revenue]]-Table2_1[[#This Row],[COGS]]</f>
        <v>564</v>
      </c>
      <c r="R979" s="39">
        <f>WEEKDAY(Table2_1[[#This Row],[Transaction  Date]])</f>
        <v>2</v>
      </c>
      <c r="S979" s="17" t="str">
        <f>IF(WEEKDAY(Table2_1[[#This Row],[Transaction  Date]],2)&lt;=5,"Weekday","Weekend")</f>
        <v>Weekday</v>
      </c>
      <c r="T979" s="37" t="str">
        <f>FLOOR(Table2_1[[#This Row],[Age]],15)&amp; "-"&amp; FLOOR(Table2_1[[#This Row],[Age]],15)+14</f>
        <v>60-74</v>
      </c>
    </row>
    <row r="980" spans="1:20" x14ac:dyDescent="0.3">
      <c r="A980" s="18">
        <v>45502</v>
      </c>
      <c r="B980" s="17" t="s">
        <v>1814</v>
      </c>
      <c r="C980" s="17" t="s">
        <v>38</v>
      </c>
      <c r="D980" s="18">
        <v>24047</v>
      </c>
      <c r="E980" s="16" t="s">
        <v>14</v>
      </c>
      <c r="F980" s="31">
        <v>334</v>
      </c>
      <c r="G980" s="17" t="s">
        <v>21</v>
      </c>
      <c r="H980" s="17" t="s">
        <v>48</v>
      </c>
      <c r="I980" s="17" t="s">
        <v>17</v>
      </c>
      <c r="J980" s="27">
        <v>0.1</v>
      </c>
      <c r="K980" s="17" t="s">
        <v>934</v>
      </c>
      <c r="L980" s="32">
        <v>10</v>
      </c>
      <c r="M980" s="32">
        <f>_xlfn.XLOOKUP(Table2_1[[#This Row],[Product Code]],Product_Code,Unit_Price,0)</f>
        <v>45</v>
      </c>
      <c r="N980" s="31">
        <f>DATEDIF(Table2_1[[#This Row],[Buyer Date of Birth]],Table2_1[[#This Row],[Transaction  Date]],"Y")</f>
        <v>58</v>
      </c>
      <c r="O980" s="33">
        <v>3340</v>
      </c>
      <c r="P980" s="33">
        <f>Table2_1[[#This Row],[Quantity Purchased]]*Table2_1[[#This Row],[UnitPrice]]*(1-Table2_1[[#This Row],[Discount]])</f>
        <v>13527</v>
      </c>
      <c r="Q980" s="33">
        <f>Table2_1[[#This Row],[Revenue]]-Table2_1[[#This Row],[COGS]]</f>
        <v>10187</v>
      </c>
      <c r="R980" s="39">
        <f>WEEKDAY(Table2_1[[#This Row],[Transaction  Date]])</f>
        <v>2</v>
      </c>
      <c r="S980" s="17" t="str">
        <f>IF(WEEKDAY(Table2_1[[#This Row],[Transaction  Date]],2)&lt;=5,"Weekday","Weekend")</f>
        <v>Weekday</v>
      </c>
      <c r="T980" s="37" t="str">
        <f>FLOOR(Table2_1[[#This Row],[Age]],15)&amp; "-"&amp; FLOOR(Table2_1[[#This Row],[Age]],15)+14</f>
        <v>45-59</v>
      </c>
    </row>
    <row r="981" spans="1:20" x14ac:dyDescent="0.3">
      <c r="A981" s="18">
        <v>45502</v>
      </c>
      <c r="B981" s="17" t="s">
        <v>1815</v>
      </c>
      <c r="C981" s="17" t="s">
        <v>55</v>
      </c>
      <c r="D981" s="18">
        <v>24623</v>
      </c>
      <c r="E981" s="16" t="s">
        <v>14</v>
      </c>
      <c r="F981" s="31">
        <v>83</v>
      </c>
      <c r="G981" s="17" t="s">
        <v>27</v>
      </c>
      <c r="H981" s="17" t="s">
        <v>48</v>
      </c>
      <c r="I981" s="17" t="s">
        <v>17</v>
      </c>
      <c r="J981" s="27">
        <v>0.1</v>
      </c>
      <c r="K981" s="17" t="s">
        <v>927</v>
      </c>
      <c r="L981" s="32">
        <v>18</v>
      </c>
      <c r="M981" s="32">
        <f>_xlfn.XLOOKUP(Table2_1[[#This Row],[Product Code]],Product_Code,Unit_Price,0)</f>
        <v>22</v>
      </c>
      <c r="N981" s="31">
        <f>DATEDIF(Table2_1[[#This Row],[Buyer Date of Birth]],Table2_1[[#This Row],[Transaction  Date]],"Y")</f>
        <v>57</v>
      </c>
      <c r="O981" s="33">
        <v>1494</v>
      </c>
      <c r="P981" s="33">
        <f>Table2_1[[#This Row],[Quantity Purchased]]*Table2_1[[#This Row],[UnitPrice]]*(1-Table2_1[[#This Row],[Discount]])</f>
        <v>1643.4</v>
      </c>
      <c r="Q981" s="33">
        <f>Table2_1[[#This Row],[Revenue]]-Table2_1[[#This Row],[COGS]]</f>
        <v>149.40000000000009</v>
      </c>
      <c r="R981" s="39">
        <f>WEEKDAY(Table2_1[[#This Row],[Transaction  Date]])</f>
        <v>2</v>
      </c>
      <c r="S981" s="17" t="str">
        <f>IF(WEEKDAY(Table2_1[[#This Row],[Transaction  Date]],2)&lt;=5,"Weekday","Weekend")</f>
        <v>Weekday</v>
      </c>
      <c r="T981" s="37" t="str">
        <f>FLOOR(Table2_1[[#This Row],[Age]],15)&amp; "-"&amp; FLOOR(Table2_1[[#This Row],[Age]],15)+14</f>
        <v>45-59</v>
      </c>
    </row>
    <row r="982" spans="1:20" x14ac:dyDescent="0.3">
      <c r="A982" s="18">
        <v>45502</v>
      </c>
      <c r="B982" s="17" t="s">
        <v>1816</v>
      </c>
      <c r="C982" s="17" t="s">
        <v>78</v>
      </c>
      <c r="D982" s="18">
        <v>28411</v>
      </c>
      <c r="E982" s="16" t="s">
        <v>14</v>
      </c>
      <c r="F982" s="31">
        <v>266</v>
      </c>
      <c r="G982" s="17" t="s">
        <v>47</v>
      </c>
      <c r="H982" s="17" t="s">
        <v>48</v>
      </c>
      <c r="I982" s="17" t="s">
        <v>17</v>
      </c>
      <c r="J982" s="27">
        <v>0.1</v>
      </c>
      <c r="K982" s="17" t="s">
        <v>931</v>
      </c>
      <c r="L982" s="32">
        <v>7</v>
      </c>
      <c r="M982" s="32">
        <f>_xlfn.XLOOKUP(Table2_1[[#This Row],[Product Code]],Product_Code,Unit_Price,0)</f>
        <v>9</v>
      </c>
      <c r="N982" s="31">
        <f>DATEDIF(Table2_1[[#This Row],[Buyer Date of Birth]],Table2_1[[#This Row],[Transaction  Date]],"Y")</f>
        <v>46</v>
      </c>
      <c r="O982" s="33">
        <v>1862</v>
      </c>
      <c r="P982" s="33">
        <f>Table2_1[[#This Row],[Quantity Purchased]]*Table2_1[[#This Row],[UnitPrice]]*(1-Table2_1[[#This Row],[Discount]])</f>
        <v>2154.6</v>
      </c>
      <c r="Q982" s="33">
        <f>Table2_1[[#This Row],[Revenue]]-Table2_1[[#This Row],[COGS]]</f>
        <v>292.59999999999991</v>
      </c>
      <c r="R982" s="39">
        <f>WEEKDAY(Table2_1[[#This Row],[Transaction  Date]])</f>
        <v>2</v>
      </c>
      <c r="S982" s="17" t="str">
        <f>IF(WEEKDAY(Table2_1[[#This Row],[Transaction  Date]],2)&lt;=5,"Weekday","Weekend")</f>
        <v>Weekday</v>
      </c>
      <c r="T982" s="37" t="str">
        <f>FLOOR(Table2_1[[#This Row],[Age]],15)&amp; "-"&amp; FLOOR(Table2_1[[#This Row],[Age]],15)+14</f>
        <v>45-59</v>
      </c>
    </row>
    <row r="983" spans="1:20" x14ac:dyDescent="0.3">
      <c r="A983" s="18">
        <v>45503</v>
      </c>
      <c r="B983" s="17" t="s">
        <v>1897</v>
      </c>
      <c r="C983" s="17" t="s">
        <v>38</v>
      </c>
      <c r="D983" s="18">
        <v>23982</v>
      </c>
      <c r="E983" s="16" t="s">
        <v>68</v>
      </c>
      <c r="F983" s="31">
        <v>395</v>
      </c>
      <c r="G983" s="17" t="s">
        <v>27</v>
      </c>
      <c r="H983" s="17" t="s">
        <v>48</v>
      </c>
      <c r="I983" s="17" t="s">
        <v>29</v>
      </c>
      <c r="J983" s="27">
        <v>0.1</v>
      </c>
      <c r="K983" s="17" t="s">
        <v>927</v>
      </c>
      <c r="L983" s="32">
        <v>18</v>
      </c>
      <c r="M983" s="32">
        <f>_xlfn.XLOOKUP(Table2_1[[#This Row],[Product Code]],Product_Code,Unit_Price,0)</f>
        <v>22</v>
      </c>
      <c r="N983" s="31">
        <f>DATEDIF(Table2_1[[#This Row],[Buyer Date of Birth]],Table2_1[[#This Row],[Transaction  Date]],"Y")</f>
        <v>58</v>
      </c>
      <c r="O983" s="33">
        <v>7110</v>
      </c>
      <c r="P983" s="33">
        <f>Table2_1[[#This Row],[Quantity Purchased]]*Table2_1[[#This Row],[UnitPrice]]*(1-Table2_1[[#This Row],[Discount]])</f>
        <v>7821</v>
      </c>
      <c r="Q983" s="33">
        <f>Table2_1[[#This Row],[Revenue]]-Table2_1[[#This Row],[COGS]]</f>
        <v>711</v>
      </c>
      <c r="R983" s="39">
        <f>WEEKDAY(Table2_1[[#This Row],[Transaction  Date]])</f>
        <v>3</v>
      </c>
      <c r="S983" s="17" t="str">
        <f>IF(WEEKDAY(Table2_1[[#This Row],[Transaction  Date]],2)&lt;=5,"Weekday","Weekend")</f>
        <v>Weekday</v>
      </c>
      <c r="T983" s="37" t="str">
        <f>FLOOR(Table2_1[[#This Row],[Age]],15)&amp; "-"&amp; FLOOR(Table2_1[[#This Row],[Age]],15)+14</f>
        <v>45-59</v>
      </c>
    </row>
    <row r="984" spans="1:20" x14ac:dyDescent="0.3">
      <c r="A984" s="18">
        <v>45503</v>
      </c>
      <c r="B984" s="17" t="s">
        <v>1898</v>
      </c>
      <c r="C984" s="17" t="s">
        <v>78</v>
      </c>
      <c r="D984" s="18">
        <v>33430</v>
      </c>
      <c r="E984" s="16" t="s">
        <v>33</v>
      </c>
      <c r="F984" s="31">
        <v>444</v>
      </c>
      <c r="G984" s="17" t="s">
        <v>59</v>
      </c>
      <c r="H984" s="17" t="s">
        <v>48</v>
      </c>
      <c r="I984" s="17" t="s">
        <v>29</v>
      </c>
      <c r="J984" s="27">
        <v>0.1</v>
      </c>
      <c r="K984" s="17" t="s">
        <v>932</v>
      </c>
      <c r="L984" s="32">
        <v>19</v>
      </c>
      <c r="M984" s="32">
        <f>_xlfn.XLOOKUP(Table2_1[[#This Row],[Product Code]],Product_Code,Unit_Price,0)</f>
        <v>23</v>
      </c>
      <c r="N984" s="31">
        <f>DATEDIF(Table2_1[[#This Row],[Buyer Date of Birth]],Table2_1[[#This Row],[Transaction  Date]],"Y")</f>
        <v>33</v>
      </c>
      <c r="O984" s="33">
        <v>8436</v>
      </c>
      <c r="P984" s="33">
        <f>Table2_1[[#This Row],[Quantity Purchased]]*Table2_1[[#This Row],[UnitPrice]]*(1-Table2_1[[#This Row],[Discount]])</f>
        <v>9190.8000000000011</v>
      </c>
      <c r="Q984" s="33">
        <f>Table2_1[[#This Row],[Revenue]]-Table2_1[[#This Row],[COGS]]</f>
        <v>754.80000000000109</v>
      </c>
      <c r="R984" s="39">
        <f>WEEKDAY(Table2_1[[#This Row],[Transaction  Date]])</f>
        <v>3</v>
      </c>
      <c r="S984" s="17" t="str">
        <f>IF(WEEKDAY(Table2_1[[#This Row],[Transaction  Date]],2)&lt;=5,"Weekday","Weekend")</f>
        <v>Weekday</v>
      </c>
      <c r="T984" s="37" t="str">
        <f>FLOOR(Table2_1[[#This Row],[Age]],15)&amp; "-"&amp; FLOOR(Table2_1[[#This Row],[Age]],15)+14</f>
        <v>30-44</v>
      </c>
    </row>
    <row r="985" spans="1:20" x14ac:dyDescent="0.3">
      <c r="A985" s="18">
        <v>45503</v>
      </c>
      <c r="B985" s="17" t="s">
        <v>1817</v>
      </c>
      <c r="C985" s="17" t="s">
        <v>38</v>
      </c>
      <c r="D985" s="18">
        <v>28970</v>
      </c>
      <c r="E985" s="16" t="s">
        <v>33</v>
      </c>
      <c r="F985" s="31">
        <v>500</v>
      </c>
      <c r="G985" s="17" t="s">
        <v>21</v>
      </c>
      <c r="H985" s="17" t="s">
        <v>43</v>
      </c>
      <c r="I985" s="17" t="s">
        <v>17</v>
      </c>
      <c r="J985" s="27">
        <v>0.1</v>
      </c>
      <c r="K985" s="17" t="s">
        <v>934</v>
      </c>
      <c r="L985" s="32">
        <v>10</v>
      </c>
      <c r="M985" s="32">
        <f>_xlfn.XLOOKUP(Table2_1[[#This Row],[Product Code]],Product_Code,Unit_Price,0)</f>
        <v>45</v>
      </c>
      <c r="N985" s="31">
        <f>DATEDIF(Table2_1[[#This Row],[Buyer Date of Birth]],Table2_1[[#This Row],[Transaction  Date]],"Y")</f>
        <v>45</v>
      </c>
      <c r="O985" s="33">
        <v>5000</v>
      </c>
      <c r="P985" s="33">
        <f>Table2_1[[#This Row],[Quantity Purchased]]*Table2_1[[#This Row],[UnitPrice]]*(1-Table2_1[[#This Row],[Discount]])</f>
        <v>20250</v>
      </c>
      <c r="Q985" s="33">
        <f>Table2_1[[#This Row],[Revenue]]-Table2_1[[#This Row],[COGS]]</f>
        <v>15250</v>
      </c>
      <c r="R985" s="39">
        <f>WEEKDAY(Table2_1[[#This Row],[Transaction  Date]])</f>
        <v>3</v>
      </c>
      <c r="S985" s="17" t="str">
        <f>IF(WEEKDAY(Table2_1[[#This Row],[Transaction  Date]],2)&lt;=5,"Weekday","Weekend")</f>
        <v>Weekday</v>
      </c>
      <c r="T985" s="37" t="str">
        <f>FLOOR(Table2_1[[#This Row],[Age]],15)&amp; "-"&amp; FLOOR(Table2_1[[#This Row],[Age]],15)+14</f>
        <v>45-59</v>
      </c>
    </row>
    <row r="986" spans="1:20" x14ac:dyDescent="0.3">
      <c r="A986" s="18">
        <v>45503</v>
      </c>
      <c r="B986" s="17" t="s">
        <v>1818</v>
      </c>
      <c r="C986" s="17" t="s">
        <v>46</v>
      </c>
      <c r="D986" s="18">
        <v>34549</v>
      </c>
      <c r="E986" s="16" t="s">
        <v>68</v>
      </c>
      <c r="F986" s="31">
        <v>196</v>
      </c>
      <c r="G986" s="17" t="s">
        <v>56</v>
      </c>
      <c r="H986" s="17" t="s">
        <v>48</v>
      </c>
      <c r="I986" s="17" t="s">
        <v>17</v>
      </c>
      <c r="J986" s="27">
        <v>0.1</v>
      </c>
      <c r="K986" s="17" t="s">
        <v>935</v>
      </c>
      <c r="L986" s="32">
        <v>18</v>
      </c>
      <c r="M986" s="32">
        <f>_xlfn.XLOOKUP(Table2_1[[#This Row],[Product Code]],Product_Code,Unit_Price,0)</f>
        <v>36</v>
      </c>
      <c r="N986" s="31">
        <f>DATEDIF(Table2_1[[#This Row],[Buyer Date of Birth]],Table2_1[[#This Row],[Transaction  Date]],"Y")</f>
        <v>29</v>
      </c>
      <c r="O986" s="33">
        <v>3528</v>
      </c>
      <c r="P986" s="33">
        <f>Table2_1[[#This Row],[Quantity Purchased]]*Table2_1[[#This Row],[UnitPrice]]*(1-Table2_1[[#This Row],[Discount]])</f>
        <v>6350.4000000000005</v>
      </c>
      <c r="Q986" s="33">
        <f>Table2_1[[#This Row],[Revenue]]-Table2_1[[#This Row],[COGS]]</f>
        <v>2822.4000000000005</v>
      </c>
      <c r="R986" s="39">
        <f>WEEKDAY(Table2_1[[#This Row],[Transaction  Date]])</f>
        <v>3</v>
      </c>
      <c r="S986" s="17" t="str">
        <f>IF(WEEKDAY(Table2_1[[#This Row],[Transaction  Date]],2)&lt;=5,"Weekday","Weekend")</f>
        <v>Weekday</v>
      </c>
      <c r="T986" s="37" t="str">
        <f>FLOOR(Table2_1[[#This Row],[Age]],15)&amp; "-"&amp; FLOOR(Table2_1[[#This Row],[Age]],15)+14</f>
        <v>15-29</v>
      </c>
    </row>
    <row r="987" spans="1:20" x14ac:dyDescent="0.3">
      <c r="A987" s="18">
        <v>45504</v>
      </c>
      <c r="B987" s="17" t="s">
        <v>1819</v>
      </c>
      <c r="C987" s="17" t="s">
        <v>51</v>
      </c>
      <c r="D987" s="18">
        <v>32604</v>
      </c>
      <c r="E987" s="16" t="s">
        <v>20</v>
      </c>
      <c r="F987" s="31">
        <v>212</v>
      </c>
      <c r="G987" s="17" t="s">
        <v>65</v>
      </c>
      <c r="H987" s="17" t="s">
        <v>52</v>
      </c>
      <c r="I987" s="17" t="s">
        <v>17</v>
      </c>
      <c r="J987" s="27">
        <v>0.1</v>
      </c>
      <c r="K987" s="17" t="s">
        <v>928</v>
      </c>
      <c r="L987" s="32">
        <v>3</v>
      </c>
      <c r="M987" s="32">
        <f>_xlfn.XLOOKUP(Table2_1[[#This Row],[Product Code]],Product_Code,Unit_Price,0)</f>
        <v>5</v>
      </c>
      <c r="N987" s="31">
        <f>DATEDIF(Table2_1[[#This Row],[Buyer Date of Birth]],Table2_1[[#This Row],[Transaction  Date]],"Y")</f>
        <v>35</v>
      </c>
      <c r="O987" s="33">
        <v>636</v>
      </c>
      <c r="P987" s="33">
        <f>Table2_1[[#This Row],[Quantity Purchased]]*Table2_1[[#This Row],[UnitPrice]]*(1-Table2_1[[#This Row],[Discount]])</f>
        <v>954</v>
      </c>
      <c r="Q987" s="33">
        <f>Table2_1[[#This Row],[Revenue]]-Table2_1[[#This Row],[COGS]]</f>
        <v>318</v>
      </c>
      <c r="R987" s="39">
        <f>WEEKDAY(Table2_1[[#This Row],[Transaction  Date]])</f>
        <v>4</v>
      </c>
      <c r="S987" s="17" t="str">
        <f>IF(WEEKDAY(Table2_1[[#This Row],[Transaction  Date]],2)&lt;=5,"Weekday","Weekend")</f>
        <v>Weekday</v>
      </c>
      <c r="T987" s="37" t="str">
        <f>FLOOR(Table2_1[[#This Row],[Age]],15)&amp; "-"&amp; FLOOR(Table2_1[[#This Row],[Age]],15)+14</f>
        <v>30-44</v>
      </c>
    </row>
    <row r="988" spans="1:20" x14ac:dyDescent="0.3">
      <c r="A988" s="18">
        <v>45504</v>
      </c>
      <c r="B988" s="17" t="s">
        <v>1820</v>
      </c>
      <c r="C988" s="17" t="s">
        <v>38</v>
      </c>
      <c r="D988" s="18">
        <v>27390</v>
      </c>
      <c r="E988" s="16" t="s">
        <v>33</v>
      </c>
      <c r="F988" s="31">
        <v>261</v>
      </c>
      <c r="G988" s="17" t="s">
        <v>15</v>
      </c>
      <c r="H988" s="17" t="s">
        <v>48</v>
      </c>
      <c r="I988" s="17" t="s">
        <v>29</v>
      </c>
      <c r="J988" s="27">
        <v>0.1</v>
      </c>
      <c r="K988" s="17" t="s">
        <v>929</v>
      </c>
      <c r="L988" s="32">
        <v>10</v>
      </c>
      <c r="M988" s="32">
        <f>_xlfn.XLOOKUP(Table2_1[[#This Row],[Product Code]],Product_Code,Unit_Price,0)</f>
        <v>14</v>
      </c>
      <c r="N988" s="31">
        <f>DATEDIF(Table2_1[[#This Row],[Buyer Date of Birth]],Table2_1[[#This Row],[Transaction  Date]],"Y")</f>
        <v>49</v>
      </c>
      <c r="O988" s="33">
        <v>2610</v>
      </c>
      <c r="P988" s="33">
        <f>Table2_1[[#This Row],[Quantity Purchased]]*Table2_1[[#This Row],[UnitPrice]]*(1-Table2_1[[#This Row],[Discount]])</f>
        <v>3288.6</v>
      </c>
      <c r="Q988" s="33">
        <f>Table2_1[[#This Row],[Revenue]]-Table2_1[[#This Row],[COGS]]</f>
        <v>678.59999999999991</v>
      </c>
      <c r="R988" s="39">
        <f>WEEKDAY(Table2_1[[#This Row],[Transaction  Date]])</f>
        <v>4</v>
      </c>
      <c r="S988" s="17" t="str">
        <f>IF(WEEKDAY(Table2_1[[#This Row],[Transaction  Date]],2)&lt;=5,"Weekday","Weekend")</f>
        <v>Weekday</v>
      </c>
      <c r="T988" s="37" t="str">
        <f>FLOOR(Table2_1[[#This Row],[Age]],15)&amp; "-"&amp; FLOOR(Table2_1[[#This Row],[Age]],15)+14</f>
        <v>45-59</v>
      </c>
    </row>
    <row r="989" spans="1:20" x14ac:dyDescent="0.3">
      <c r="A989" s="18">
        <v>45504</v>
      </c>
      <c r="B989" s="17" t="s">
        <v>1821</v>
      </c>
      <c r="C989" s="17" t="s">
        <v>55</v>
      </c>
      <c r="D989" s="18">
        <v>16027</v>
      </c>
      <c r="E989" s="16" t="s">
        <v>33</v>
      </c>
      <c r="F989" s="31">
        <v>343</v>
      </c>
      <c r="G989" s="17" t="s">
        <v>21</v>
      </c>
      <c r="H989" s="17" t="s">
        <v>52</v>
      </c>
      <c r="I989" s="17" t="s">
        <v>17</v>
      </c>
      <c r="J989" s="27">
        <v>0.1</v>
      </c>
      <c r="K989" s="17" t="s">
        <v>934</v>
      </c>
      <c r="L989" s="32">
        <v>10</v>
      </c>
      <c r="M989" s="32">
        <f>_xlfn.XLOOKUP(Table2_1[[#This Row],[Product Code]],Product_Code,Unit_Price,0)</f>
        <v>45</v>
      </c>
      <c r="N989" s="31">
        <f>DATEDIF(Table2_1[[#This Row],[Buyer Date of Birth]],Table2_1[[#This Row],[Transaction  Date]],"Y")</f>
        <v>80</v>
      </c>
      <c r="O989" s="33">
        <v>3430</v>
      </c>
      <c r="P989" s="33">
        <f>Table2_1[[#This Row],[Quantity Purchased]]*Table2_1[[#This Row],[UnitPrice]]*(1-Table2_1[[#This Row],[Discount]])</f>
        <v>13891.5</v>
      </c>
      <c r="Q989" s="33">
        <f>Table2_1[[#This Row],[Revenue]]-Table2_1[[#This Row],[COGS]]</f>
        <v>10461.5</v>
      </c>
      <c r="R989" s="39">
        <f>WEEKDAY(Table2_1[[#This Row],[Transaction  Date]])</f>
        <v>4</v>
      </c>
      <c r="S989" s="17" t="str">
        <f>IF(WEEKDAY(Table2_1[[#This Row],[Transaction  Date]],2)&lt;=5,"Weekday","Weekend")</f>
        <v>Weekday</v>
      </c>
      <c r="T989" s="37" t="str">
        <f>FLOOR(Table2_1[[#This Row],[Age]],15)&amp; "-"&amp; FLOOR(Table2_1[[#This Row],[Age]],15)+14</f>
        <v>75-89</v>
      </c>
    </row>
    <row r="990" spans="1:20" x14ac:dyDescent="0.3">
      <c r="A990" s="18">
        <v>45504</v>
      </c>
      <c r="B990" s="17" t="s">
        <v>1822</v>
      </c>
      <c r="C990" s="17" t="s">
        <v>26</v>
      </c>
      <c r="D990" s="18">
        <v>36415</v>
      </c>
      <c r="E990" s="16" t="s">
        <v>20</v>
      </c>
      <c r="F990" s="31">
        <v>164</v>
      </c>
      <c r="G990" s="17" t="s">
        <v>27</v>
      </c>
      <c r="H990" s="17" t="s">
        <v>52</v>
      </c>
      <c r="I990" s="17" t="s">
        <v>17</v>
      </c>
      <c r="J990" s="27">
        <v>0.1</v>
      </c>
      <c r="K990" s="17" t="s">
        <v>927</v>
      </c>
      <c r="L990" s="32">
        <v>18</v>
      </c>
      <c r="M990" s="32">
        <f>_xlfn.XLOOKUP(Table2_1[[#This Row],[Product Code]],Product_Code,Unit_Price,0)</f>
        <v>22</v>
      </c>
      <c r="N990" s="31">
        <f>DATEDIF(Table2_1[[#This Row],[Buyer Date of Birth]],Table2_1[[#This Row],[Transaction  Date]],"Y")</f>
        <v>24</v>
      </c>
      <c r="O990" s="33">
        <v>2952</v>
      </c>
      <c r="P990" s="33">
        <f>Table2_1[[#This Row],[Quantity Purchased]]*Table2_1[[#This Row],[UnitPrice]]*(1-Table2_1[[#This Row],[Discount]])</f>
        <v>3247.2000000000003</v>
      </c>
      <c r="Q990" s="33">
        <f>Table2_1[[#This Row],[Revenue]]-Table2_1[[#This Row],[COGS]]</f>
        <v>295.20000000000027</v>
      </c>
      <c r="R990" s="39">
        <f>WEEKDAY(Table2_1[[#This Row],[Transaction  Date]])</f>
        <v>4</v>
      </c>
      <c r="S990" s="17" t="str">
        <f>IF(WEEKDAY(Table2_1[[#This Row],[Transaction  Date]],2)&lt;=5,"Weekday","Weekend")</f>
        <v>Weekday</v>
      </c>
      <c r="T990" s="37" t="str">
        <f>FLOOR(Table2_1[[#This Row],[Age]],15)&amp; "-"&amp; FLOOR(Table2_1[[#This Row],[Age]],15)+14</f>
        <v>15-29</v>
      </c>
    </row>
    <row r="991" spans="1:20" x14ac:dyDescent="0.3">
      <c r="A991" s="18">
        <v>45504</v>
      </c>
      <c r="B991" s="17" t="s">
        <v>1823</v>
      </c>
      <c r="C991" s="17" t="s">
        <v>26</v>
      </c>
      <c r="D991" s="18">
        <v>36698</v>
      </c>
      <c r="E991" s="16" t="s">
        <v>68</v>
      </c>
      <c r="F991" s="31">
        <v>158</v>
      </c>
      <c r="G991" s="17" t="s">
        <v>47</v>
      </c>
      <c r="H991" s="17" t="s">
        <v>43</v>
      </c>
      <c r="I991" s="17" t="s">
        <v>17</v>
      </c>
      <c r="J991" s="27">
        <v>0.1</v>
      </c>
      <c r="K991" s="17" t="s">
        <v>931</v>
      </c>
      <c r="L991" s="32">
        <v>7</v>
      </c>
      <c r="M991" s="32">
        <f>_xlfn.XLOOKUP(Table2_1[[#This Row],[Product Code]],Product_Code,Unit_Price,0)</f>
        <v>9</v>
      </c>
      <c r="N991" s="31">
        <f>DATEDIF(Table2_1[[#This Row],[Buyer Date of Birth]],Table2_1[[#This Row],[Transaction  Date]],"Y")</f>
        <v>24</v>
      </c>
      <c r="O991" s="33">
        <v>1106</v>
      </c>
      <c r="P991" s="33">
        <f>Table2_1[[#This Row],[Quantity Purchased]]*Table2_1[[#This Row],[UnitPrice]]*(1-Table2_1[[#This Row],[Discount]])</f>
        <v>1279.8</v>
      </c>
      <c r="Q991" s="33">
        <f>Table2_1[[#This Row],[Revenue]]-Table2_1[[#This Row],[COGS]]</f>
        <v>173.79999999999995</v>
      </c>
      <c r="R991" s="39">
        <f>WEEKDAY(Table2_1[[#This Row],[Transaction  Date]])</f>
        <v>4</v>
      </c>
      <c r="S991" s="17" t="str">
        <f>IF(WEEKDAY(Table2_1[[#This Row],[Transaction  Date]],2)&lt;=5,"Weekday","Weekend")</f>
        <v>Weekday</v>
      </c>
      <c r="T991" s="37" t="str">
        <f>FLOOR(Table2_1[[#This Row],[Age]],15)&amp; "-"&amp; FLOOR(Table2_1[[#This Row],[Age]],15)+14</f>
        <v>15-29</v>
      </c>
    </row>
    <row r="992" spans="1:20" x14ac:dyDescent="0.3">
      <c r="A992" s="18">
        <v>45504</v>
      </c>
      <c r="B992" s="17" t="s">
        <v>1824</v>
      </c>
      <c r="C992" s="17" t="s">
        <v>51</v>
      </c>
      <c r="D992" s="18">
        <v>25864</v>
      </c>
      <c r="E992" s="16" t="s">
        <v>14</v>
      </c>
      <c r="F992" s="31">
        <v>41</v>
      </c>
      <c r="G992" s="17" t="s">
        <v>21</v>
      </c>
      <c r="H992" s="17" t="s">
        <v>28</v>
      </c>
      <c r="I992" s="17" t="s">
        <v>17</v>
      </c>
      <c r="J992" s="27">
        <v>0.1</v>
      </c>
      <c r="K992" s="17" t="s">
        <v>934</v>
      </c>
      <c r="L992" s="32">
        <v>10</v>
      </c>
      <c r="M992" s="32">
        <f>_xlfn.XLOOKUP(Table2_1[[#This Row],[Product Code]],Product_Code,Unit_Price,0)</f>
        <v>45</v>
      </c>
      <c r="N992" s="31">
        <f>DATEDIF(Table2_1[[#This Row],[Buyer Date of Birth]],Table2_1[[#This Row],[Transaction  Date]],"Y")</f>
        <v>53</v>
      </c>
      <c r="O992" s="33">
        <v>410</v>
      </c>
      <c r="P992" s="33">
        <f>Table2_1[[#This Row],[Quantity Purchased]]*Table2_1[[#This Row],[UnitPrice]]*(1-Table2_1[[#This Row],[Discount]])</f>
        <v>1660.5</v>
      </c>
      <c r="Q992" s="33">
        <f>Table2_1[[#This Row],[Revenue]]-Table2_1[[#This Row],[COGS]]</f>
        <v>1250.5</v>
      </c>
      <c r="R992" s="39">
        <f>WEEKDAY(Table2_1[[#This Row],[Transaction  Date]])</f>
        <v>4</v>
      </c>
      <c r="S992" s="17" t="str">
        <f>IF(WEEKDAY(Table2_1[[#This Row],[Transaction  Date]],2)&lt;=5,"Weekday","Weekend")</f>
        <v>Weekday</v>
      </c>
      <c r="T992" s="37" t="str">
        <f>FLOOR(Table2_1[[#This Row],[Age]],15)&amp; "-"&amp; FLOOR(Table2_1[[#This Row],[Age]],15)+14</f>
        <v>45-59</v>
      </c>
    </row>
    <row r="993" spans="1:20" x14ac:dyDescent="0.3">
      <c r="A993" s="18">
        <v>45504</v>
      </c>
      <c r="B993" s="17" t="s">
        <v>1825</v>
      </c>
      <c r="C993" s="17" t="s">
        <v>38</v>
      </c>
      <c r="D993" s="18">
        <v>32105</v>
      </c>
      <c r="E993" s="16" t="s">
        <v>14</v>
      </c>
      <c r="F993" s="31">
        <v>486</v>
      </c>
      <c r="G993" s="17" t="s">
        <v>56</v>
      </c>
      <c r="H993" s="17" t="s">
        <v>32</v>
      </c>
      <c r="I993" s="17" t="s">
        <v>17</v>
      </c>
      <c r="J993" s="27">
        <v>0.1</v>
      </c>
      <c r="K993" s="17" t="s">
        <v>935</v>
      </c>
      <c r="L993" s="32">
        <v>18</v>
      </c>
      <c r="M993" s="32">
        <f>_xlfn.XLOOKUP(Table2_1[[#This Row],[Product Code]],Product_Code,Unit_Price,0)</f>
        <v>36</v>
      </c>
      <c r="N993" s="31">
        <f>DATEDIF(Table2_1[[#This Row],[Buyer Date of Birth]],Table2_1[[#This Row],[Transaction  Date]],"Y")</f>
        <v>36</v>
      </c>
      <c r="O993" s="33">
        <v>8748</v>
      </c>
      <c r="P993" s="33">
        <f>Table2_1[[#This Row],[Quantity Purchased]]*Table2_1[[#This Row],[UnitPrice]]*(1-Table2_1[[#This Row],[Discount]])</f>
        <v>15746.4</v>
      </c>
      <c r="Q993" s="33">
        <f>Table2_1[[#This Row],[Revenue]]-Table2_1[[#This Row],[COGS]]</f>
        <v>6998.4</v>
      </c>
      <c r="R993" s="39">
        <f>WEEKDAY(Table2_1[[#This Row],[Transaction  Date]])</f>
        <v>4</v>
      </c>
      <c r="S993" s="17" t="str">
        <f>IF(WEEKDAY(Table2_1[[#This Row],[Transaction  Date]],2)&lt;=5,"Weekday","Weekend")</f>
        <v>Weekday</v>
      </c>
      <c r="T993" s="37" t="str">
        <f>FLOOR(Table2_1[[#This Row],[Age]],15)&amp; "-"&amp; FLOOR(Table2_1[[#This Row],[Age]],15)+14</f>
        <v>30-44</v>
      </c>
    </row>
    <row r="994" spans="1:20" x14ac:dyDescent="0.3">
      <c r="A994" s="18">
        <v>45504</v>
      </c>
      <c r="B994" s="17" t="s">
        <v>1826</v>
      </c>
      <c r="C994" s="17" t="s">
        <v>32</v>
      </c>
      <c r="D994" s="18" t="s">
        <v>32</v>
      </c>
      <c r="E994" s="16" t="s">
        <v>14</v>
      </c>
      <c r="F994" s="31">
        <v>284</v>
      </c>
      <c r="G994" s="17" t="s">
        <v>59</v>
      </c>
      <c r="H994" s="17" t="s">
        <v>39</v>
      </c>
      <c r="I994" s="17" t="s">
        <v>17</v>
      </c>
      <c r="J994" s="27">
        <v>0.1</v>
      </c>
      <c r="K994" s="17" t="s">
        <v>932</v>
      </c>
      <c r="L994" s="32">
        <v>19</v>
      </c>
      <c r="M994" s="32">
        <f>_xlfn.XLOOKUP(Table2_1[[#This Row],[Product Code]],Product_Code,Unit_Price,0)</f>
        <v>23</v>
      </c>
      <c r="N994" s="31" t="e">
        <f>DATEDIF(Table2_1[[#This Row],[Buyer Date of Birth]],Table2_1[[#This Row],[Transaction  Date]],"Y")</f>
        <v>#VALUE!</v>
      </c>
      <c r="O994" s="33">
        <v>5396</v>
      </c>
      <c r="P994" s="33">
        <f>Table2_1[[#This Row],[Quantity Purchased]]*Table2_1[[#This Row],[UnitPrice]]*(1-Table2_1[[#This Row],[Discount]])</f>
        <v>5878.8</v>
      </c>
      <c r="Q994" s="33">
        <f>Table2_1[[#This Row],[Revenue]]-Table2_1[[#This Row],[COGS]]</f>
        <v>482.80000000000018</v>
      </c>
      <c r="R994" s="39">
        <f>WEEKDAY(Table2_1[[#This Row],[Transaction  Date]])</f>
        <v>4</v>
      </c>
      <c r="S994" s="17" t="str">
        <f>IF(WEEKDAY(Table2_1[[#This Row],[Transaction  Date]],2)&lt;=5,"Weekday","Weekend")</f>
        <v>Weekday</v>
      </c>
      <c r="T994" s="37" t="e">
        <f>FLOOR(Table2_1[[#This Row],[Age]],15)&amp; "-"&amp; FLOOR(Table2_1[[#This Row],[Age]],15)+14</f>
        <v>#VALUE!</v>
      </c>
    </row>
    <row r="995" spans="1:20" x14ac:dyDescent="0.3">
      <c r="A995" s="18">
        <v>45504</v>
      </c>
      <c r="B995" s="17" t="s">
        <v>1899</v>
      </c>
      <c r="C995" s="17" t="s">
        <v>32</v>
      </c>
      <c r="D995" s="18">
        <v>19045</v>
      </c>
      <c r="E995" s="16" t="s">
        <v>14</v>
      </c>
      <c r="F995" s="31">
        <v>186</v>
      </c>
      <c r="G995" s="17" t="s">
        <v>56</v>
      </c>
      <c r="H995" s="17" t="s">
        <v>52</v>
      </c>
      <c r="I995" s="17" t="s">
        <v>17</v>
      </c>
      <c r="J995" s="27">
        <v>0.1</v>
      </c>
      <c r="K995" s="17" t="s">
        <v>935</v>
      </c>
      <c r="L995" s="32">
        <v>18</v>
      </c>
      <c r="M995" s="32">
        <f>_xlfn.XLOOKUP(Table2_1[[#This Row],[Product Code]],Product_Code,Unit_Price,0)</f>
        <v>36</v>
      </c>
      <c r="N995" s="31">
        <f>DATEDIF(Table2_1[[#This Row],[Buyer Date of Birth]],Table2_1[[#This Row],[Transaction  Date]],"Y")</f>
        <v>72</v>
      </c>
      <c r="O995" s="33">
        <v>3348</v>
      </c>
      <c r="P995" s="33">
        <f>Table2_1[[#This Row],[Quantity Purchased]]*Table2_1[[#This Row],[UnitPrice]]*(1-Table2_1[[#This Row],[Discount]])</f>
        <v>6026.4000000000005</v>
      </c>
      <c r="Q995" s="33">
        <f>Table2_1[[#This Row],[Revenue]]-Table2_1[[#This Row],[COGS]]</f>
        <v>2678.4000000000005</v>
      </c>
      <c r="R995" s="39">
        <f>WEEKDAY(Table2_1[[#This Row],[Transaction  Date]])</f>
        <v>4</v>
      </c>
      <c r="S995" s="17" t="str">
        <f>IF(WEEKDAY(Table2_1[[#This Row],[Transaction  Date]],2)&lt;=5,"Weekday","Weekend")</f>
        <v>Weekday</v>
      </c>
      <c r="T995" s="37" t="str">
        <f>FLOOR(Table2_1[[#This Row],[Age]],15)&amp; "-"&amp; FLOOR(Table2_1[[#This Row],[Age]],15)+14</f>
        <v>60-74</v>
      </c>
    </row>
    <row r="996" spans="1:20" x14ac:dyDescent="0.3">
      <c r="A996" s="18">
        <v>45504</v>
      </c>
      <c r="B996" s="17" t="s">
        <v>255</v>
      </c>
      <c r="C996" s="17" t="s">
        <v>71</v>
      </c>
      <c r="D996" s="18">
        <v>34815</v>
      </c>
      <c r="E996" s="16" t="s">
        <v>68</v>
      </c>
      <c r="F996" s="31">
        <v>357</v>
      </c>
      <c r="G996" s="17" t="s">
        <v>42</v>
      </c>
      <c r="H996" s="17" t="s">
        <v>28</v>
      </c>
      <c r="I996" s="17" t="s">
        <v>17</v>
      </c>
      <c r="J996" s="27">
        <v>0.1</v>
      </c>
      <c r="K996" s="17" t="s">
        <v>926</v>
      </c>
      <c r="L996" s="32">
        <v>10</v>
      </c>
      <c r="M996" s="32">
        <f>_xlfn.XLOOKUP(Table2_1[[#This Row],[Product Code]],Product_Code,Unit_Price,0)</f>
        <v>11</v>
      </c>
      <c r="N996" s="31">
        <f>DATEDIF(Table2_1[[#This Row],[Buyer Date of Birth]],Table2_1[[#This Row],[Transaction  Date]],"Y")</f>
        <v>29</v>
      </c>
      <c r="O996" s="33">
        <v>3570</v>
      </c>
      <c r="P996" s="33">
        <f>Table2_1[[#This Row],[Quantity Purchased]]*Table2_1[[#This Row],[UnitPrice]]*(1-Table2_1[[#This Row],[Discount]])</f>
        <v>3534.3</v>
      </c>
      <c r="Q996" s="33">
        <f>Table2_1[[#This Row],[Revenue]]-Table2_1[[#This Row],[COGS]]</f>
        <v>-35.699999999999818</v>
      </c>
      <c r="R996" s="39">
        <f>WEEKDAY(Table2_1[[#This Row],[Transaction  Date]])</f>
        <v>4</v>
      </c>
      <c r="S996" s="17" t="str">
        <f>IF(WEEKDAY(Table2_1[[#This Row],[Transaction  Date]],2)&lt;=5,"Weekday","Weekend")</f>
        <v>Weekday</v>
      </c>
      <c r="T996" s="37" t="str">
        <f>FLOOR(Table2_1[[#This Row],[Age]],15)&amp; "-"&amp; FLOOR(Table2_1[[#This Row],[Age]],15)+14</f>
        <v>15-29</v>
      </c>
    </row>
    <row r="997" spans="1:20" x14ac:dyDescent="0.3">
      <c r="A997" s="18">
        <v>45504</v>
      </c>
      <c r="B997" s="17" t="s">
        <v>1827</v>
      </c>
      <c r="C997" s="17" t="s">
        <v>32</v>
      </c>
      <c r="D997" s="18">
        <v>38016</v>
      </c>
      <c r="E997" s="16" t="s">
        <v>68</v>
      </c>
      <c r="F997" s="31">
        <v>409</v>
      </c>
      <c r="G997" s="17" t="s">
        <v>42</v>
      </c>
      <c r="H997" s="17" t="s">
        <v>43</v>
      </c>
      <c r="I997" s="17" t="s">
        <v>17</v>
      </c>
      <c r="J997" s="27">
        <v>0.1</v>
      </c>
      <c r="K997" s="17" t="s">
        <v>926</v>
      </c>
      <c r="L997" s="32">
        <v>10</v>
      </c>
      <c r="M997" s="32">
        <f>_xlfn.XLOOKUP(Table2_1[[#This Row],[Product Code]],Product_Code,Unit_Price,0)</f>
        <v>11</v>
      </c>
      <c r="N997" s="31">
        <f>DATEDIF(Table2_1[[#This Row],[Buyer Date of Birth]],Table2_1[[#This Row],[Transaction  Date]],"Y")</f>
        <v>20</v>
      </c>
      <c r="O997" s="33">
        <v>4090</v>
      </c>
      <c r="P997" s="33">
        <f>Table2_1[[#This Row],[Quantity Purchased]]*Table2_1[[#This Row],[UnitPrice]]*(1-Table2_1[[#This Row],[Discount]])</f>
        <v>4049.1</v>
      </c>
      <c r="Q997" s="33">
        <f>Table2_1[[#This Row],[Revenue]]-Table2_1[[#This Row],[COGS]]</f>
        <v>-40.900000000000091</v>
      </c>
      <c r="R997" s="39">
        <f>WEEKDAY(Table2_1[[#This Row],[Transaction  Date]])</f>
        <v>4</v>
      </c>
      <c r="S997" s="17" t="str">
        <f>IF(WEEKDAY(Table2_1[[#This Row],[Transaction  Date]],2)&lt;=5,"Weekday","Weekend")</f>
        <v>Weekday</v>
      </c>
      <c r="T997" s="37" t="str">
        <f>FLOOR(Table2_1[[#This Row],[Age]],15)&amp; "-"&amp; FLOOR(Table2_1[[#This Row],[Age]],15)+14</f>
        <v>15-29</v>
      </c>
    </row>
    <row r="998" spans="1:20" x14ac:dyDescent="0.3">
      <c r="A998" s="18">
        <v>45504</v>
      </c>
      <c r="B998" s="17" t="s">
        <v>1828</v>
      </c>
      <c r="C998" s="17" t="s">
        <v>13</v>
      </c>
      <c r="D998" s="18">
        <v>29489</v>
      </c>
      <c r="E998" s="16" t="s">
        <v>68</v>
      </c>
      <c r="F998" s="31">
        <v>60</v>
      </c>
      <c r="G998" s="17" t="s">
        <v>15</v>
      </c>
      <c r="H998" s="17" t="s">
        <v>28</v>
      </c>
      <c r="I998" s="17" t="s">
        <v>17</v>
      </c>
      <c r="J998" s="27">
        <v>0.1</v>
      </c>
      <c r="K998" s="17" t="s">
        <v>929</v>
      </c>
      <c r="L998" s="32">
        <v>10</v>
      </c>
      <c r="M998" s="32">
        <f>_xlfn.XLOOKUP(Table2_1[[#This Row],[Product Code]],Product_Code,Unit_Price,0)</f>
        <v>14</v>
      </c>
      <c r="N998" s="31">
        <f>DATEDIF(Table2_1[[#This Row],[Buyer Date of Birth]],Table2_1[[#This Row],[Transaction  Date]],"Y")</f>
        <v>43</v>
      </c>
      <c r="O998" s="33">
        <v>600</v>
      </c>
      <c r="P998" s="33">
        <f>Table2_1[[#This Row],[Quantity Purchased]]*Table2_1[[#This Row],[UnitPrice]]*(1-Table2_1[[#This Row],[Discount]])</f>
        <v>756</v>
      </c>
      <c r="Q998" s="33">
        <f>Table2_1[[#This Row],[Revenue]]-Table2_1[[#This Row],[COGS]]</f>
        <v>156</v>
      </c>
      <c r="R998" s="39">
        <f>WEEKDAY(Table2_1[[#This Row],[Transaction  Date]])</f>
        <v>4</v>
      </c>
      <c r="S998" s="17" t="str">
        <f>IF(WEEKDAY(Table2_1[[#This Row],[Transaction  Date]],2)&lt;=5,"Weekday","Weekend")</f>
        <v>Weekday</v>
      </c>
      <c r="T998" s="37" t="str">
        <f>FLOOR(Table2_1[[#This Row],[Age]],15)&amp; "-"&amp; FLOOR(Table2_1[[#This Row],[Age]],15)+14</f>
        <v>30-44</v>
      </c>
    </row>
    <row r="999" spans="1:20" x14ac:dyDescent="0.3">
      <c r="A999" s="18">
        <v>45504</v>
      </c>
      <c r="B999" s="17" t="s">
        <v>1829</v>
      </c>
      <c r="C999" s="17" t="s">
        <v>83</v>
      </c>
      <c r="D999" s="18" t="s">
        <v>32</v>
      </c>
      <c r="E999" s="16" t="s">
        <v>14</v>
      </c>
      <c r="F999" s="31">
        <v>332</v>
      </c>
      <c r="G999" s="17" t="s">
        <v>56</v>
      </c>
      <c r="H999" s="17" t="s">
        <v>28</v>
      </c>
      <c r="I999" s="17" t="s">
        <v>17</v>
      </c>
      <c r="J999" s="27">
        <v>0.1</v>
      </c>
      <c r="K999" s="17" t="s">
        <v>935</v>
      </c>
      <c r="L999" s="32">
        <v>18</v>
      </c>
      <c r="M999" s="32">
        <f>_xlfn.XLOOKUP(Table2_1[[#This Row],[Product Code]],Product_Code,Unit_Price,0)</f>
        <v>36</v>
      </c>
      <c r="N999" s="31" t="e">
        <f>DATEDIF(Table2_1[[#This Row],[Buyer Date of Birth]],Table2_1[[#This Row],[Transaction  Date]],"Y")</f>
        <v>#VALUE!</v>
      </c>
      <c r="O999" s="33">
        <v>5976</v>
      </c>
      <c r="P999" s="33">
        <f>Table2_1[[#This Row],[Quantity Purchased]]*Table2_1[[#This Row],[UnitPrice]]*(1-Table2_1[[#This Row],[Discount]])</f>
        <v>10756.800000000001</v>
      </c>
      <c r="Q999" s="33">
        <f>Table2_1[[#This Row],[Revenue]]-Table2_1[[#This Row],[COGS]]</f>
        <v>4780.8000000000011</v>
      </c>
      <c r="R999" s="39">
        <f>WEEKDAY(Table2_1[[#This Row],[Transaction  Date]])</f>
        <v>4</v>
      </c>
      <c r="S999" s="17" t="str">
        <f>IF(WEEKDAY(Table2_1[[#This Row],[Transaction  Date]],2)&lt;=5,"Weekday","Weekend")</f>
        <v>Weekday</v>
      </c>
      <c r="T999" s="37" t="e">
        <f>FLOOR(Table2_1[[#This Row],[Age]],15)&amp; "-"&amp; FLOOR(Table2_1[[#This Row],[Age]],15)+14</f>
        <v>#VALUE!</v>
      </c>
    </row>
    <row r="1000" spans="1:20" x14ac:dyDescent="0.3">
      <c r="A1000" s="18">
        <v>45504</v>
      </c>
      <c r="B1000" s="17" t="s">
        <v>1830</v>
      </c>
      <c r="C1000" s="17" t="s">
        <v>38</v>
      </c>
      <c r="D1000" s="18">
        <v>16496</v>
      </c>
      <c r="E1000" s="16" t="s">
        <v>20</v>
      </c>
      <c r="F1000" s="31">
        <v>485</v>
      </c>
      <c r="G1000" s="17" t="s">
        <v>15</v>
      </c>
      <c r="H1000" s="17" t="s">
        <v>28</v>
      </c>
      <c r="I1000" s="17" t="s">
        <v>17</v>
      </c>
      <c r="J1000" s="27">
        <v>0.1</v>
      </c>
      <c r="K1000" s="17" t="s">
        <v>929</v>
      </c>
      <c r="L1000" s="32">
        <v>10</v>
      </c>
      <c r="M1000" s="32">
        <f>_xlfn.XLOOKUP(Table2_1[[#This Row],[Product Code]],Product_Code,Unit_Price,0)</f>
        <v>14</v>
      </c>
      <c r="N1000" s="31">
        <f>DATEDIF(Table2_1[[#This Row],[Buyer Date of Birth]],Table2_1[[#This Row],[Transaction  Date]],"Y")</f>
        <v>79</v>
      </c>
      <c r="O1000" s="33">
        <v>4850</v>
      </c>
      <c r="P1000" s="33">
        <f>Table2_1[[#This Row],[Quantity Purchased]]*Table2_1[[#This Row],[UnitPrice]]*(1-Table2_1[[#This Row],[Discount]])</f>
        <v>6111</v>
      </c>
      <c r="Q1000" s="33">
        <f>Table2_1[[#This Row],[Revenue]]-Table2_1[[#This Row],[COGS]]</f>
        <v>1261</v>
      </c>
      <c r="R1000" s="39">
        <f>WEEKDAY(Table2_1[[#This Row],[Transaction  Date]])</f>
        <v>4</v>
      </c>
      <c r="S1000" s="17" t="str">
        <f>IF(WEEKDAY(Table2_1[[#This Row],[Transaction  Date]],2)&lt;=5,"Weekday","Weekend")</f>
        <v>Weekday</v>
      </c>
      <c r="T1000" s="37" t="str">
        <f>FLOOR(Table2_1[[#This Row],[Age]],15)&amp; "-"&amp; FLOOR(Table2_1[[#This Row],[Age]],15)+14</f>
        <v>75-89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B494-55E9-435C-B2DC-EBF2594E5126}">
  <dimension ref="C7:F17"/>
  <sheetViews>
    <sheetView workbookViewId="0">
      <selection activeCell="C7" sqref="C7"/>
    </sheetView>
  </sheetViews>
  <sheetFormatPr defaultRowHeight="14.4" x14ac:dyDescent="0.3"/>
  <cols>
    <col min="1" max="1" width="14.33203125" customWidth="1"/>
    <col min="2" max="2" width="17.5546875" customWidth="1"/>
    <col min="3" max="3" width="17.88671875" style="22" customWidth="1"/>
    <col min="4" max="4" width="21.21875" style="22" customWidth="1"/>
    <col min="5" max="5" width="14.21875" customWidth="1"/>
    <col min="6" max="6" width="17.77734375" customWidth="1"/>
  </cols>
  <sheetData>
    <row r="7" spans="3:6" x14ac:dyDescent="0.3">
      <c r="C7" s="23" t="s">
        <v>7</v>
      </c>
      <c r="D7" s="24" t="s">
        <v>923</v>
      </c>
      <c r="E7" s="25" t="s">
        <v>924</v>
      </c>
      <c r="F7" s="26" t="s">
        <v>925</v>
      </c>
    </row>
    <row r="8" spans="3:6" x14ac:dyDescent="0.3">
      <c r="C8" t="s">
        <v>42</v>
      </c>
      <c r="D8" t="s">
        <v>926</v>
      </c>
      <c r="E8" s="22">
        <v>10</v>
      </c>
      <c r="F8" s="22">
        <v>11</v>
      </c>
    </row>
    <row r="9" spans="3:6" x14ac:dyDescent="0.3">
      <c r="C9" t="s">
        <v>27</v>
      </c>
      <c r="D9" t="s">
        <v>927</v>
      </c>
      <c r="E9" s="22">
        <v>18</v>
      </c>
      <c r="F9" s="22">
        <v>22</v>
      </c>
    </row>
    <row r="10" spans="3:6" x14ac:dyDescent="0.3">
      <c r="C10" t="s">
        <v>65</v>
      </c>
      <c r="D10" t="s">
        <v>928</v>
      </c>
      <c r="E10" s="22">
        <v>3</v>
      </c>
      <c r="F10" s="22">
        <v>5</v>
      </c>
    </row>
    <row r="11" spans="3:6" x14ac:dyDescent="0.3">
      <c r="C11" t="s">
        <v>15</v>
      </c>
      <c r="D11" t="s">
        <v>929</v>
      </c>
      <c r="E11" s="22">
        <v>10</v>
      </c>
      <c r="F11" s="22">
        <v>14</v>
      </c>
    </row>
    <row r="12" spans="3:6" x14ac:dyDescent="0.3">
      <c r="C12" t="s">
        <v>34</v>
      </c>
      <c r="D12" t="s">
        <v>930</v>
      </c>
      <c r="E12" s="22">
        <v>14</v>
      </c>
      <c r="F12" s="22">
        <v>28</v>
      </c>
    </row>
    <row r="13" spans="3:6" x14ac:dyDescent="0.3">
      <c r="C13" t="s">
        <v>47</v>
      </c>
      <c r="D13" t="s">
        <v>931</v>
      </c>
      <c r="E13" s="22">
        <v>7</v>
      </c>
      <c r="F13" s="22">
        <v>9</v>
      </c>
    </row>
    <row r="14" spans="3:6" x14ac:dyDescent="0.3">
      <c r="C14" t="s">
        <v>59</v>
      </c>
      <c r="D14" t="s">
        <v>932</v>
      </c>
      <c r="E14" s="22">
        <v>19</v>
      </c>
      <c r="F14" s="22">
        <v>23</v>
      </c>
    </row>
    <row r="15" spans="3:6" x14ac:dyDescent="0.3">
      <c r="C15" t="s">
        <v>64</v>
      </c>
      <c r="D15" t="s">
        <v>933</v>
      </c>
      <c r="E15" s="22">
        <v>5</v>
      </c>
      <c r="F15" s="22">
        <v>7</v>
      </c>
    </row>
    <row r="16" spans="3:6" x14ac:dyDescent="0.3">
      <c r="C16" t="s">
        <v>21</v>
      </c>
      <c r="D16" t="s">
        <v>934</v>
      </c>
      <c r="E16" s="22">
        <v>10</v>
      </c>
      <c r="F16" s="22">
        <v>45</v>
      </c>
    </row>
    <row r="17" spans="3:6" x14ac:dyDescent="0.3">
      <c r="C17" t="s">
        <v>56</v>
      </c>
      <c r="D17" t="s">
        <v>935</v>
      </c>
      <c r="E17" s="22">
        <v>18</v>
      </c>
      <c r="F17" s="22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E6E6-4E00-45BD-B960-6D39098B35B4}">
  <dimension ref="A1:W30"/>
  <sheetViews>
    <sheetView tabSelected="1" topLeftCell="A2" workbookViewId="0">
      <selection activeCell="D17" sqref="D17"/>
    </sheetView>
  </sheetViews>
  <sheetFormatPr defaultRowHeight="14.4" x14ac:dyDescent="0.3"/>
  <cols>
    <col min="1" max="1" width="18.6640625" bestFit="1" customWidth="1"/>
    <col min="2" max="4" width="10.33203125" bestFit="1" customWidth="1"/>
    <col min="5" max="5" width="13.33203125" customWidth="1"/>
    <col min="6" max="6" width="12.5546875" bestFit="1" customWidth="1"/>
    <col min="7" max="7" width="10.33203125" bestFit="1" customWidth="1"/>
    <col min="9" max="9" width="15.88671875" bestFit="1" customWidth="1"/>
    <col min="10" max="10" width="8.88671875" bestFit="1" customWidth="1"/>
    <col min="11" max="11" width="10.33203125" bestFit="1" customWidth="1"/>
    <col min="14" max="14" width="11.5546875" bestFit="1" customWidth="1"/>
    <col min="15" max="15" width="10.33203125" bestFit="1" customWidth="1"/>
    <col min="16" max="16" width="10.5546875" bestFit="1" customWidth="1"/>
    <col min="19" max="19" width="26.44140625" bestFit="1" customWidth="1"/>
    <col min="20" max="22" width="14.88671875" bestFit="1" customWidth="1"/>
  </cols>
  <sheetData>
    <row r="1" spans="1:23" ht="23.4" x14ac:dyDescent="0.45">
      <c r="B1" s="43" t="s">
        <v>1909</v>
      </c>
      <c r="C1" s="41"/>
      <c r="D1" s="41"/>
      <c r="I1" s="45" t="s">
        <v>1915</v>
      </c>
      <c r="J1" s="45"/>
      <c r="K1" s="45"/>
      <c r="N1" s="45" t="s">
        <v>1918</v>
      </c>
      <c r="O1" s="45"/>
      <c r="P1" s="45"/>
      <c r="S1" s="45" t="s">
        <v>1924</v>
      </c>
      <c r="T1" s="45"/>
      <c r="U1" s="45"/>
      <c r="V1" s="41"/>
      <c r="W1" s="41"/>
    </row>
    <row r="3" spans="1:23" x14ac:dyDescent="0.3">
      <c r="A3" t="s">
        <v>1911</v>
      </c>
      <c r="B3" t="s">
        <v>1912</v>
      </c>
      <c r="C3" t="s">
        <v>1913</v>
      </c>
      <c r="D3" t="s">
        <v>1914</v>
      </c>
      <c r="E3" s="42" t="s">
        <v>1910</v>
      </c>
      <c r="I3" s="47" t="s">
        <v>1901</v>
      </c>
      <c r="J3" s="15" t="s">
        <v>1914</v>
      </c>
      <c r="N3" s="47" t="s">
        <v>9</v>
      </c>
      <c r="O3" t="s">
        <v>1919</v>
      </c>
      <c r="P3" t="s">
        <v>1922</v>
      </c>
      <c r="S3" s="46" t="s">
        <v>937</v>
      </c>
      <c r="T3" t="s">
        <v>1925</v>
      </c>
    </row>
    <row r="4" spans="1:23" x14ac:dyDescent="0.3">
      <c r="A4" s="44">
        <v>257159</v>
      </c>
      <c r="B4" s="22">
        <v>2996089</v>
      </c>
      <c r="C4" s="22">
        <v>4824507.5999999987</v>
      </c>
      <c r="D4" s="22">
        <v>1828418.600000001</v>
      </c>
      <c r="E4" s="21">
        <f>(GETPIVOTDATA("  Profit",$A$3)/GETPIVOTDATA("  Revenue",$A$3))</f>
        <v>0.37898553626488257</v>
      </c>
      <c r="I4" t="s">
        <v>934</v>
      </c>
      <c r="J4" s="22">
        <v>821700.5</v>
      </c>
      <c r="N4" t="s">
        <v>23</v>
      </c>
      <c r="O4" s="22">
        <v>225370.80000000002</v>
      </c>
      <c r="P4" s="20">
        <v>4.6713741315279535E-2</v>
      </c>
      <c r="S4" t="s">
        <v>940</v>
      </c>
      <c r="T4" s="22">
        <v>79966.8</v>
      </c>
    </row>
    <row r="5" spans="1:23" x14ac:dyDescent="0.3">
      <c r="E5" s="20"/>
      <c r="N5" t="s">
        <v>17</v>
      </c>
      <c r="O5" s="22">
        <v>4246882.1999999983</v>
      </c>
      <c r="P5" s="20">
        <v>0.88027267280084709</v>
      </c>
      <c r="S5" t="s">
        <v>1677</v>
      </c>
      <c r="T5" s="22">
        <v>20088</v>
      </c>
    </row>
    <row r="6" spans="1:23" x14ac:dyDescent="0.3">
      <c r="N6" t="s">
        <v>29</v>
      </c>
      <c r="O6" s="22">
        <v>352254.59999999992</v>
      </c>
      <c r="P6" s="20">
        <v>7.3013585883873425E-2</v>
      </c>
      <c r="S6" t="s">
        <v>1817</v>
      </c>
      <c r="T6" s="22">
        <v>20250</v>
      </c>
    </row>
    <row r="7" spans="1:23" x14ac:dyDescent="0.3">
      <c r="I7" s="47" t="s">
        <v>3</v>
      </c>
      <c r="J7" s="15" t="s">
        <v>1914</v>
      </c>
      <c r="S7" t="s">
        <v>1027</v>
      </c>
      <c r="T7" s="22">
        <v>33342.300000000003</v>
      </c>
    </row>
    <row r="8" spans="1:23" ht="21" x14ac:dyDescent="0.4">
      <c r="I8" t="s">
        <v>71</v>
      </c>
      <c r="J8" s="22">
        <v>214343.7999999999</v>
      </c>
      <c r="N8" s="45" t="s">
        <v>1920</v>
      </c>
      <c r="O8" s="45"/>
      <c r="P8" s="45"/>
      <c r="S8" t="s">
        <v>996</v>
      </c>
      <c r="T8" s="22">
        <v>31851.899999999998</v>
      </c>
    </row>
    <row r="10" spans="1:23" ht="21" x14ac:dyDescent="0.4">
      <c r="N10" s="46" t="s">
        <v>5</v>
      </c>
      <c r="O10" t="s">
        <v>1921</v>
      </c>
      <c r="R10" s="50"/>
      <c r="S10" s="49"/>
      <c r="T10" s="49"/>
      <c r="U10" s="49"/>
      <c r="V10" s="50"/>
      <c r="W10" s="50"/>
    </row>
    <row r="11" spans="1:23" ht="21" x14ac:dyDescent="0.4">
      <c r="I11" s="47" t="s">
        <v>937</v>
      </c>
      <c r="J11" s="15" t="s">
        <v>1914</v>
      </c>
      <c r="N11" t="s">
        <v>20</v>
      </c>
      <c r="O11" s="22">
        <v>1192443.3</v>
      </c>
      <c r="S11" s="49"/>
      <c r="T11" s="49"/>
      <c r="U11" s="49"/>
      <c r="V11" s="50"/>
      <c r="W11" s="50"/>
    </row>
    <row r="12" spans="1:23" ht="21" x14ac:dyDescent="0.4">
      <c r="I12" t="s">
        <v>940</v>
      </c>
      <c r="J12" s="22">
        <v>42968.800000000003</v>
      </c>
      <c r="N12" t="s">
        <v>14</v>
      </c>
      <c r="O12" s="22">
        <v>1098471.5999999999</v>
      </c>
      <c r="S12" s="45" t="s">
        <v>1930</v>
      </c>
      <c r="T12" s="45"/>
      <c r="U12" s="45"/>
    </row>
    <row r="13" spans="1:23" x14ac:dyDescent="0.3">
      <c r="N13" t="s">
        <v>33</v>
      </c>
      <c r="O13" s="22">
        <v>1220294.7000000007</v>
      </c>
    </row>
    <row r="14" spans="1:23" x14ac:dyDescent="0.3">
      <c r="N14" t="s">
        <v>68</v>
      </c>
      <c r="O14" s="22">
        <v>1313297.9999999998</v>
      </c>
      <c r="S14" s="46" t="s">
        <v>1937</v>
      </c>
      <c r="T14" t="s">
        <v>1938</v>
      </c>
    </row>
    <row r="15" spans="1:23" x14ac:dyDescent="0.3">
      <c r="I15" s="48" t="s">
        <v>8</v>
      </c>
      <c r="J15" s="17" t="s">
        <v>1914</v>
      </c>
      <c r="S15" t="s">
        <v>1931</v>
      </c>
      <c r="T15" s="22">
        <v>849275.10000000021</v>
      </c>
    </row>
    <row r="16" spans="1:23" x14ac:dyDescent="0.3">
      <c r="I16" t="s">
        <v>52</v>
      </c>
      <c r="J16" s="22">
        <v>656183.60000000033</v>
      </c>
      <c r="S16" t="s">
        <v>1932</v>
      </c>
      <c r="T16" s="22">
        <v>697661.10000000033</v>
      </c>
    </row>
    <row r="17" spans="6:20" ht="21" x14ac:dyDescent="0.4">
      <c r="N17" s="45" t="s">
        <v>1928</v>
      </c>
      <c r="O17" s="45"/>
      <c r="P17" s="45"/>
      <c r="S17" t="s">
        <v>1933</v>
      </c>
      <c r="T17" s="22">
        <v>736290</v>
      </c>
    </row>
    <row r="18" spans="6:20" x14ac:dyDescent="0.3">
      <c r="S18" t="s">
        <v>1934</v>
      </c>
      <c r="T18" s="22">
        <v>573862.50000000023</v>
      </c>
    </row>
    <row r="19" spans="6:20" x14ac:dyDescent="0.3">
      <c r="I19" s="47" t="s">
        <v>1916</v>
      </c>
      <c r="J19" s="15" t="s">
        <v>1923</v>
      </c>
      <c r="N19" s="46" t="s">
        <v>3</v>
      </c>
      <c r="O19" t="s">
        <v>1921</v>
      </c>
      <c r="S19" t="s">
        <v>266</v>
      </c>
      <c r="T19" s="22">
        <v>640058.39999999991</v>
      </c>
    </row>
    <row r="20" spans="6:20" x14ac:dyDescent="0.3">
      <c r="I20" t="s">
        <v>1917</v>
      </c>
      <c r="J20" s="22">
        <v>444201.29999999993</v>
      </c>
      <c r="N20" t="s">
        <v>51</v>
      </c>
      <c r="O20" s="22">
        <v>434321.99999999983</v>
      </c>
      <c r="S20" t="s">
        <v>1935</v>
      </c>
      <c r="T20" s="22">
        <v>608247.89999999991</v>
      </c>
    </row>
    <row r="21" spans="6:20" x14ac:dyDescent="0.3">
      <c r="N21" t="s">
        <v>83</v>
      </c>
      <c r="O21" s="22">
        <v>496150.20000000007</v>
      </c>
      <c r="S21" t="s">
        <v>1936</v>
      </c>
      <c r="T21" s="22">
        <v>719112.60000000009</v>
      </c>
    </row>
    <row r="22" spans="6:20" x14ac:dyDescent="0.3">
      <c r="N22" t="s">
        <v>71</v>
      </c>
      <c r="O22" s="22">
        <v>527581.80000000005</v>
      </c>
    </row>
    <row r="23" spans="6:20" ht="21" x14ac:dyDescent="0.4">
      <c r="F23" s="45" t="s">
        <v>1927</v>
      </c>
      <c r="G23" s="45"/>
      <c r="H23" s="45"/>
      <c r="I23" s="41"/>
      <c r="J23" s="41"/>
      <c r="N23" t="s">
        <v>78</v>
      </c>
      <c r="O23" s="22">
        <v>446381.09999999986</v>
      </c>
    </row>
    <row r="24" spans="6:20" x14ac:dyDescent="0.3">
      <c r="N24" t="s">
        <v>55</v>
      </c>
      <c r="O24" s="22">
        <v>518598.9</v>
      </c>
    </row>
    <row r="25" spans="6:20" x14ac:dyDescent="0.3">
      <c r="N25" t="s">
        <v>38</v>
      </c>
      <c r="O25" s="22">
        <v>451269.89999999985</v>
      </c>
    </row>
    <row r="26" spans="6:20" x14ac:dyDescent="0.3">
      <c r="F26" s="46" t="s">
        <v>1908</v>
      </c>
      <c r="G26" t="s">
        <v>1929</v>
      </c>
      <c r="N26" t="s">
        <v>94</v>
      </c>
      <c r="O26" s="22">
        <v>345959.1</v>
      </c>
    </row>
    <row r="27" spans="6:20" x14ac:dyDescent="0.3">
      <c r="F27" t="s">
        <v>1907</v>
      </c>
      <c r="G27" s="22">
        <v>1295965.7000000004</v>
      </c>
      <c r="N27" t="s">
        <v>26</v>
      </c>
      <c r="O27" s="22">
        <v>392031.00000000006</v>
      </c>
    </row>
    <row r="28" spans="6:20" x14ac:dyDescent="0.3">
      <c r="F28" t="s">
        <v>1926</v>
      </c>
      <c r="G28" s="22">
        <v>532452.89999999979</v>
      </c>
      <c r="N28" t="s">
        <v>46</v>
      </c>
      <c r="O28" s="22">
        <v>363992.40000000008</v>
      </c>
    </row>
    <row r="29" spans="6:20" x14ac:dyDescent="0.3">
      <c r="N29" t="s">
        <v>13</v>
      </c>
      <c r="O29" s="22">
        <v>442788.29999999987</v>
      </c>
    </row>
    <row r="30" spans="6:20" x14ac:dyDescent="0.3">
      <c r="N30" t="s">
        <v>32</v>
      </c>
      <c r="O30" s="22">
        <v>405432.89999999997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opLeftCell="A2" zoomScaleNormal="100" workbookViewId="0">
      <selection activeCell="A2" sqref="A2:K1000"/>
    </sheetView>
  </sheetViews>
  <sheetFormatPr defaultRowHeight="14.4" x14ac:dyDescent="0.3"/>
  <cols>
    <col min="1" max="1" width="17" style="14" customWidth="1"/>
    <col min="2" max="2" width="17" customWidth="1"/>
    <col min="3" max="3" width="15.44140625" customWidth="1"/>
    <col min="4" max="4" width="18.77734375" style="5" customWidth="1"/>
    <col min="5" max="5" width="17.6640625" customWidth="1"/>
    <col min="6" max="6" width="19.44140625" customWidth="1"/>
    <col min="7" max="7" width="14.33203125" customWidth="1"/>
    <col min="8" max="8" width="20.109375" customWidth="1"/>
    <col min="9" max="9" width="9" customWidth="1"/>
    <col min="10" max="10" width="10.21875" customWidth="1"/>
    <col min="13" max="13" width="10.44140625" customWidth="1"/>
  </cols>
  <sheetData>
    <row r="1" spans="1:14" x14ac:dyDescent="0.3">
      <c r="A1" s="11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4" x14ac:dyDescent="0.3">
      <c r="A2" s="12">
        <v>45292</v>
      </c>
      <c r="B2" s="1" t="s">
        <v>338</v>
      </c>
      <c r="C2" s="1" t="s">
        <v>874</v>
      </c>
      <c r="D2" s="1" t="s">
        <v>94</v>
      </c>
      <c r="E2" s="7">
        <v>29257</v>
      </c>
      <c r="F2" s="1" t="s">
        <v>33</v>
      </c>
      <c r="G2" s="1">
        <v>134</v>
      </c>
      <c r="H2" s="1" t="s">
        <v>59</v>
      </c>
      <c r="I2" s="1" t="s">
        <v>43</v>
      </c>
      <c r="J2" s="1" t="s">
        <v>17</v>
      </c>
      <c r="K2" s="9">
        <v>0.1</v>
      </c>
    </row>
    <row r="3" spans="1:14" x14ac:dyDescent="0.3">
      <c r="A3" s="12">
        <v>45292</v>
      </c>
      <c r="B3" s="1" t="s">
        <v>221</v>
      </c>
      <c r="C3" s="1" t="s">
        <v>633</v>
      </c>
      <c r="D3" s="1" t="s">
        <v>83</v>
      </c>
      <c r="E3" s="7">
        <v>28541</v>
      </c>
      <c r="F3" s="1" t="s">
        <v>20</v>
      </c>
      <c r="G3" s="1">
        <v>454</v>
      </c>
      <c r="H3" s="1" t="s">
        <v>15</v>
      </c>
      <c r="I3" s="1" t="s">
        <v>52</v>
      </c>
      <c r="J3" s="1" t="s">
        <v>17</v>
      </c>
      <c r="K3" s="9">
        <v>0.1</v>
      </c>
    </row>
    <row r="4" spans="1:14" x14ac:dyDescent="0.3">
      <c r="A4" s="12">
        <v>45293</v>
      </c>
      <c r="B4" s="1" t="s">
        <v>30</v>
      </c>
      <c r="C4" s="1" t="s">
        <v>31</v>
      </c>
      <c r="D4" s="1" t="s">
        <v>13</v>
      </c>
      <c r="E4" s="7">
        <v>32046</v>
      </c>
      <c r="F4" s="1" t="s">
        <v>20</v>
      </c>
      <c r="G4" s="1">
        <v>428</v>
      </c>
      <c r="H4" s="1" t="s">
        <v>15</v>
      </c>
      <c r="I4" s="1" t="s">
        <v>52</v>
      </c>
      <c r="J4" s="1" t="s">
        <v>17</v>
      </c>
      <c r="K4" s="9">
        <v>0.1</v>
      </c>
    </row>
    <row r="5" spans="1:14" x14ac:dyDescent="0.3">
      <c r="A5" s="12">
        <v>45293</v>
      </c>
      <c r="B5" s="1" t="s">
        <v>326</v>
      </c>
      <c r="C5" s="1" t="s">
        <v>327</v>
      </c>
      <c r="D5" s="1" t="s">
        <v>32</v>
      </c>
      <c r="E5" s="7">
        <v>22306</v>
      </c>
      <c r="F5" s="1" t="s">
        <v>14</v>
      </c>
      <c r="G5" s="1">
        <v>209</v>
      </c>
      <c r="H5" s="1"/>
      <c r="I5" s="1" t="s">
        <v>48</v>
      </c>
      <c r="J5" s="1" t="s">
        <v>29</v>
      </c>
      <c r="K5" s="9">
        <v>0.1</v>
      </c>
    </row>
    <row r="6" spans="1:14" x14ac:dyDescent="0.3">
      <c r="A6" s="12">
        <v>45293</v>
      </c>
      <c r="B6" s="1" t="s">
        <v>470</v>
      </c>
      <c r="C6" s="1" t="s">
        <v>225</v>
      </c>
      <c r="D6" s="1" t="s">
        <v>94</v>
      </c>
      <c r="E6" s="7">
        <v>35144</v>
      </c>
      <c r="F6" s="1" t="s">
        <v>20</v>
      </c>
      <c r="G6" s="1">
        <v>212</v>
      </c>
      <c r="H6" s="1" t="s">
        <v>15</v>
      </c>
      <c r="I6" s="1" t="s">
        <v>43</v>
      </c>
      <c r="J6" s="1" t="s">
        <v>17</v>
      </c>
      <c r="K6" s="9">
        <v>0.1</v>
      </c>
    </row>
    <row r="7" spans="1:14" x14ac:dyDescent="0.3">
      <c r="A7" s="12">
        <v>45293</v>
      </c>
      <c r="B7" s="1" t="s">
        <v>616</v>
      </c>
      <c r="C7" s="1" t="s">
        <v>753</v>
      </c>
      <c r="D7" s="1" t="s">
        <v>38</v>
      </c>
      <c r="E7" s="7">
        <v>20423</v>
      </c>
      <c r="F7" s="1" t="s">
        <v>33</v>
      </c>
      <c r="G7" s="1">
        <v>377</v>
      </c>
      <c r="H7" s="1" t="s">
        <v>21</v>
      </c>
      <c r="I7" s="1" t="s">
        <v>28</v>
      </c>
      <c r="J7" s="1" t="s">
        <v>17</v>
      </c>
      <c r="K7" s="9">
        <v>0.1</v>
      </c>
    </row>
    <row r="8" spans="1:14" x14ac:dyDescent="0.3">
      <c r="A8" s="12">
        <v>45293</v>
      </c>
      <c r="B8" s="1" t="s">
        <v>814</v>
      </c>
      <c r="C8" s="1" t="s">
        <v>639</v>
      </c>
      <c r="D8" s="1" t="s">
        <v>26</v>
      </c>
      <c r="E8" s="7">
        <v>25299</v>
      </c>
      <c r="F8" s="1" t="s">
        <v>14</v>
      </c>
      <c r="G8" s="1">
        <v>305</v>
      </c>
      <c r="H8" s="1" t="s">
        <v>47</v>
      </c>
      <c r="I8" s="1" t="s">
        <v>48</v>
      </c>
      <c r="J8" s="1" t="s">
        <v>17</v>
      </c>
      <c r="K8" s="9">
        <v>0.1</v>
      </c>
    </row>
    <row r="9" spans="1:14" x14ac:dyDescent="0.3">
      <c r="A9" s="12">
        <v>45293</v>
      </c>
      <c r="B9" s="1" t="s">
        <v>151</v>
      </c>
      <c r="C9" s="1" t="s">
        <v>801</v>
      </c>
      <c r="D9" s="1" t="s">
        <v>26</v>
      </c>
      <c r="E9" s="7">
        <v>26760</v>
      </c>
      <c r="F9" s="1" t="s">
        <v>68</v>
      </c>
      <c r="G9" s="1">
        <v>263</v>
      </c>
      <c r="H9" s="1" t="s">
        <v>21</v>
      </c>
      <c r="I9" s="1" t="s">
        <v>48</v>
      </c>
      <c r="J9" s="1" t="s">
        <v>17</v>
      </c>
      <c r="K9" s="9">
        <v>0.1</v>
      </c>
    </row>
    <row r="10" spans="1:14" x14ac:dyDescent="0.3">
      <c r="A10" s="12">
        <v>45293</v>
      </c>
      <c r="B10" s="1" t="s">
        <v>468</v>
      </c>
      <c r="C10" s="1" t="s">
        <v>677</v>
      </c>
      <c r="D10" s="1" t="s">
        <v>26</v>
      </c>
      <c r="E10" s="7">
        <v>27690</v>
      </c>
      <c r="F10" s="1" t="s">
        <v>14</v>
      </c>
      <c r="G10" s="1">
        <v>434</v>
      </c>
      <c r="H10" s="1" t="s">
        <v>34</v>
      </c>
      <c r="I10" s="1" t="s">
        <v>52</v>
      </c>
      <c r="J10" s="1" t="s">
        <v>17</v>
      </c>
      <c r="K10" s="9">
        <v>0.1</v>
      </c>
      <c r="N10" s="1"/>
    </row>
    <row r="11" spans="1:14" x14ac:dyDescent="0.3">
      <c r="A11" s="12">
        <v>45294</v>
      </c>
      <c r="B11" s="1" t="s">
        <v>330</v>
      </c>
      <c r="C11" s="1" t="s">
        <v>388</v>
      </c>
      <c r="D11" s="1" t="s">
        <v>38</v>
      </c>
      <c r="E11" s="7">
        <v>26417</v>
      </c>
      <c r="F11" s="1" t="s">
        <v>68</v>
      </c>
      <c r="G11" s="1">
        <v>75</v>
      </c>
      <c r="H11" s="1" t="s">
        <v>64</v>
      </c>
      <c r="I11" s="1" t="s">
        <v>52</v>
      </c>
      <c r="J11" s="1" t="s">
        <v>17</v>
      </c>
      <c r="K11" s="9">
        <v>0.1</v>
      </c>
    </row>
    <row r="12" spans="1:14" x14ac:dyDescent="0.3">
      <c r="A12" s="12">
        <v>45294</v>
      </c>
      <c r="B12" s="1" t="s">
        <v>233</v>
      </c>
      <c r="C12" s="1" t="s">
        <v>418</v>
      </c>
      <c r="D12" s="1" t="s">
        <v>83</v>
      </c>
      <c r="E12" s="7">
        <v>19009</v>
      </c>
      <c r="F12" s="1" t="s">
        <v>20</v>
      </c>
      <c r="G12" s="1">
        <v>358</v>
      </c>
      <c r="H12" s="1"/>
      <c r="I12" s="1" t="s">
        <v>48</v>
      </c>
      <c r="J12" s="1" t="s">
        <v>17</v>
      </c>
      <c r="K12" s="9">
        <v>0.1</v>
      </c>
    </row>
    <row r="13" spans="1:14" x14ac:dyDescent="0.3">
      <c r="A13" s="12">
        <v>45294</v>
      </c>
      <c r="B13" s="1" t="s">
        <v>318</v>
      </c>
      <c r="C13" s="1" t="s">
        <v>423</v>
      </c>
      <c r="D13" s="1" t="s">
        <v>13</v>
      </c>
      <c r="E13" s="7">
        <v>22149</v>
      </c>
      <c r="F13" s="1" t="s">
        <v>68</v>
      </c>
      <c r="G13" s="1">
        <v>379</v>
      </c>
      <c r="H13" s="1" t="s">
        <v>21</v>
      </c>
      <c r="I13" s="1" t="s">
        <v>52</v>
      </c>
      <c r="J13" s="1" t="s">
        <v>17</v>
      </c>
      <c r="K13" s="9">
        <v>0.1</v>
      </c>
    </row>
    <row r="14" spans="1:14" x14ac:dyDescent="0.3">
      <c r="A14" s="12">
        <v>45294</v>
      </c>
      <c r="B14" s="1" t="s">
        <v>57</v>
      </c>
      <c r="C14" s="1" t="s">
        <v>415</v>
      </c>
      <c r="D14" s="1" t="s">
        <v>26</v>
      </c>
      <c r="E14" s="7">
        <v>18238</v>
      </c>
      <c r="F14" s="1" t="s">
        <v>68</v>
      </c>
      <c r="G14" s="1">
        <v>347</v>
      </c>
      <c r="H14" s="1" t="s">
        <v>34</v>
      </c>
      <c r="I14" s="1" t="s">
        <v>43</v>
      </c>
      <c r="J14" s="1" t="s">
        <v>17</v>
      </c>
      <c r="K14" s="9">
        <v>0.1</v>
      </c>
    </row>
    <row r="15" spans="1:14" x14ac:dyDescent="0.3">
      <c r="A15" s="12">
        <v>45295</v>
      </c>
      <c r="B15" s="1" t="s">
        <v>248</v>
      </c>
      <c r="C15" s="1" t="s">
        <v>408</v>
      </c>
      <c r="D15" s="1" t="s">
        <v>32</v>
      </c>
      <c r="E15" s="7">
        <v>34299</v>
      </c>
      <c r="F15" s="1" t="s">
        <v>14</v>
      </c>
      <c r="G15" s="1">
        <v>338</v>
      </c>
      <c r="H15" s="1" t="s">
        <v>56</v>
      </c>
      <c r="I15" s="1" t="s">
        <v>52</v>
      </c>
      <c r="J15" s="1" t="s">
        <v>17</v>
      </c>
      <c r="K15" s="9">
        <v>0.1</v>
      </c>
    </row>
    <row r="16" spans="1:14" x14ac:dyDescent="0.3">
      <c r="A16" s="12">
        <v>45295</v>
      </c>
      <c r="B16" s="1" t="s">
        <v>161</v>
      </c>
      <c r="C16" s="1" t="s">
        <v>135</v>
      </c>
      <c r="D16" s="1"/>
      <c r="E16" s="7">
        <v>18218</v>
      </c>
      <c r="F16" s="1" t="s">
        <v>33</v>
      </c>
      <c r="G16" s="1">
        <v>46</v>
      </c>
      <c r="H16" s="1" t="s">
        <v>15</v>
      </c>
      <c r="I16" s="1" t="s">
        <v>52</v>
      </c>
      <c r="J16" s="1" t="s">
        <v>17</v>
      </c>
      <c r="K16" s="9">
        <v>0.1</v>
      </c>
    </row>
    <row r="17" spans="1:11" x14ac:dyDescent="0.3">
      <c r="A17" s="12">
        <v>45295</v>
      </c>
      <c r="B17" s="1" t="s">
        <v>441</v>
      </c>
      <c r="C17" s="1" t="s">
        <v>391</v>
      </c>
      <c r="D17" s="1" t="s">
        <v>46</v>
      </c>
      <c r="E17" s="7">
        <v>29596</v>
      </c>
      <c r="F17" s="1" t="s">
        <v>14</v>
      </c>
      <c r="G17" s="1">
        <v>26</v>
      </c>
      <c r="H17" s="1" t="s">
        <v>59</v>
      </c>
      <c r="I17" s="1" t="s">
        <v>48</v>
      </c>
      <c r="J17" s="1" t="s">
        <v>17</v>
      </c>
      <c r="K17" s="9">
        <v>0.1</v>
      </c>
    </row>
    <row r="18" spans="1:11" x14ac:dyDescent="0.3">
      <c r="A18" s="12">
        <v>45295</v>
      </c>
      <c r="B18" s="1" t="s">
        <v>304</v>
      </c>
      <c r="C18" s="1" t="s">
        <v>589</v>
      </c>
      <c r="D18" s="1" t="s">
        <v>13</v>
      </c>
      <c r="E18" s="7">
        <v>16552</v>
      </c>
      <c r="F18" s="1" t="s">
        <v>20</v>
      </c>
      <c r="G18" s="1">
        <v>199</v>
      </c>
      <c r="H18" s="1" t="s">
        <v>34</v>
      </c>
      <c r="I18" s="1" t="s">
        <v>28</v>
      </c>
      <c r="J18" s="1" t="s">
        <v>17</v>
      </c>
      <c r="K18" s="9">
        <v>0.1</v>
      </c>
    </row>
    <row r="19" spans="1:11" x14ac:dyDescent="0.3">
      <c r="A19" s="12">
        <v>45295</v>
      </c>
      <c r="B19" s="1" t="s">
        <v>449</v>
      </c>
      <c r="C19" s="1" t="s">
        <v>723</v>
      </c>
      <c r="D19" s="1" t="s">
        <v>78</v>
      </c>
      <c r="E19" s="7">
        <v>33448</v>
      </c>
      <c r="F19" s="1" t="s">
        <v>68</v>
      </c>
      <c r="G19" s="1">
        <v>63</v>
      </c>
      <c r="H19" s="1" t="s">
        <v>27</v>
      </c>
      <c r="I19" s="1" t="s">
        <v>43</v>
      </c>
      <c r="J19" s="1" t="s">
        <v>17</v>
      </c>
      <c r="K19" s="9">
        <v>0.1</v>
      </c>
    </row>
    <row r="20" spans="1:11" x14ac:dyDescent="0.3">
      <c r="A20" s="12">
        <v>45295</v>
      </c>
      <c r="B20" s="1" t="s">
        <v>36</v>
      </c>
      <c r="C20" s="1" t="s">
        <v>329</v>
      </c>
      <c r="D20" s="1" t="s">
        <v>51</v>
      </c>
      <c r="E20" s="7">
        <v>23624</v>
      </c>
      <c r="F20" s="1" t="s">
        <v>20</v>
      </c>
      <c r="G20" s="1">
        <v>413</v>
      </c>
      <c r="H20" s="1" t="s">
        <v>56</v>
      </c>
      <c r="I20" s="1" t="s">
        <v>52</v>
      </c>
      <c r="J20" s="1" t="s">
        <v>23</v>
      </c>
      <c r="K20" s="9">
        <v>0.1</v>
      </c>
    </row>
    <row r="21" spans="1:11" x14ac:dyDescent="0.3">
      <c r="A21" s="12">
        <v>45295</v>
      </c>
      <c r="B21" s="1" t="s">
        <v>161</v>
      </c>
      <c r="C21" s="1" t="s">
        <v>93</v>
      </c>
      <c r="D21" s="1" t="s">
        <v>13</v>
      </c>
      <c r="E21" s="7">
        <v>38254</v>
      </c>
      <c r="F21" s="1" t="s">
        <v>20</v>
      </c>
      <c r="G21" s="1">
        <v>175</v>
      </c>
      <c r="H21" s="1" t="s">
        <v>15</v>
      </c>
      <c r="I21" s="1" t="s">
        <v>52</v>
      </c>
      <c r="J21" s="1" t="s">
        <v>17</v>
      </c>
      <c r="K21" s="9">
        <v>0.1</v>
      </c>
    </row>
    <row r="22" spans="1:11" x14ac:dyDescent="0.3">
      <c r="A22" s="12">
        <v>45296</v>
      </c>
      <c r="B22" s="1" t="s">
        <v>195</v>
      </c>
      <c r="C22" s="1" t="s">
        <v>110</v>
      </c>
      <c r="D22" s="1" t="s">
        <v>32</v>
      </c>
      <c r="E22" s="7">
        <v>31309</v>
      </c>
      <c r="F22" s="1" t="s">
        <v>33</v>
      </c>
      <c r="G22" s="1">
        <v>224</v>
      </c>
      <c r="H22" s="1" t="s">
        <v>15</v>
      </c>
      <c r="I22" s="1" t="s">
        <v>48</v>
      </c>
      <c r="J22" s="1" t="s">
        <v>17</v>
      </c>
      <c r="K22" s="9">
        <v>0.1</v>
      </c>
    </row>
    <row r="23" spans="1:11" x14ac:dyDescent="0.3">
      <c r="A23" s="12">
        <v>45296</v>
      </c>
      <c r="B23" s="1" t="s">
        <v>332</v>
      </c>
      <c r="C23" s="1" t="s">
        <v>333</v>
      </c>
      <c r="D23" s="1" t="s">
        <v>55</v>
      </c>
      <c r="E23" s="7">
        <v>30831</v>
      </c>
      <c r="F23" s="1" t="s">
        <v>33</v>
      </c>
      <c r="G23" s="1">
        <v>104</v>
      </c>
      <c r="H23" s="1" t="s">
        <v>42</v>
      </c>
      <c r="I23" s="1" t="s">
        <v>52</v>
      </c>
      <c r="J23" s="1" t="s">
        <v>29</v>
      </c>
      <c r="K23" s="9">
        <v>0.1</v>
      </c>
    </row>
    <row r="24" spans="1:11" x14ac:dyDescent="0.3">
      <c r="A24" s="12">
        <v>45296</v>
      </c>
      <c r="B24" s="1" t="s">
        <v>610</v>
      </c>
      <c r="C24" s="1" t="s">
        <v>106</v>
      </c>
      <c r="D24" s="1" t="s">
        <v>46</v>
      </c>
      <c r="E24" s="7">
        <v>17521</v>
      </c>
      <c r="F24" s="1" t="s">
        <v>14</v>
      </c>
      <c r="G24" s="1">
        <v>82</v>
      </c>
      <c r="H24" s="1" t="s">
        <v>64</v>
      </c>
      <c r="I24" s="1" t="s">
        <v>43</v>
      </c>
      <c r="J24" s="1" t="s">
        <v>17</v>
      </c>
      <c r="K24" s="9">
        <v>0.1</v>
      </c>
    </row>
    <row r="25" spans="1:11" x14ac:dyDescent="0.3">
      <c r="A25" s="12">
        <v>45296</v>
      </c>
      <c r="B25" s="1" t="s">
        <v>493</v>
      </c>
      <c r="C25" s="1" t="s">
        <v>506</v>
      </c>
      <c r="D25" s="1" t="s">
        <v>94</v>
      </c>
      <c r="E25" s="7">
        <v>29489</v>
      </c>
      <c r="F25" s="1" t="s">
        <v>14</v>
      </c>
      <c r="G25" s="1">
        <v>277</v>
      </c>
      <c r="H25" s="1" t="s">
        <v>15</v>
      </c>
      <c r="I25" s="1" t="s">
        <v>43</v>
      </c>
      <c r="J25" s="1" t="s">
        <v>17</v>
      </c>
      <c r="K25" s="9">
        <v>0.1</v>
      </c>
    </row>
    <row r="26" spans="1:11" x14ac:dyDescent="0.3">
      <c r="A26" s="12">
        <v>45296</v>
      </c>
      <c r="B26" s="1" t="s">
        <v>163</v>
      </c>
      <c r="C26" s="1" t="s">
        <v>718</v>
      </c>
      <c r="D26" s="1" t="s">
        <v>55</v>
      </c>
      <c r="E26" s="7">
        <v>30258</v>
      </c>
      <c r="F26" s="1" t="s">
        <v>14</v>
      </c>
      <c r="G26" s="1">
        <v>180</v>
      </c>
      <c r="H26" s="1" t="s">
        <v>56</v>
      </c>
      <c r="I26" s="1" t="s">
        <v>52</v>
      </c>
      <c r="J26" s="1" t="s">
        <v>17</v>
      </c>
      <c r="K26" s="9">
        <v>0.1</v>
      </c>
    </row>
    <row r="27" spans="1:11" x14ac:dyDescent="0.3">
      <c r="A27" s="12">
        <v>45296</v>
      </c>
      <c r="B27" s="1" t="s">
        <v>496</v>
      </c>
      <c r="C27" s="1" t="s">
        <v>797</v>
      </c>
      <c r="D27" s="1" t="s">
        <v>13</v>
      </c>
      <c r="E27" s="7">
        <v>38569</v>
      </c>
      <c r="F27" s="1" t="s">
        <v>33</v>
      </c>
      <c r="G27" s="1">
        <v>108</v>
      </c>
      <c r="H27" s="1" t="s">
        <v>65</v>
      </c>
      <c r="I27" s="1" t="s">
        <v>43</v>
      </c>
      <c r="J27" s="1" t="s">
        <v>17</v>
      </c>
      <c r="K27" s="9">
        <v>0.1</v>
      </c>
    </row>
    <row r="28" spans="1:11" x14ac:dyDescent="0.3">
      <c r="A28" s="12">
        <v>45298</v>
      </c>
      <c r="B28" s="1" t="s">
        <v>419</v>
      </c>
      <c r="C28" s="1" t="s">
        <v>420</v>
      </c>
      <c r="D28" s="1" t="s">
        <v>83</v>
      </c>
      <c r="E28" s="7">
        <v>38016</v>
      </c>
      <c r="F28" s="1" t="s">
        <v>68</v>
      </c>
      <c r="G28" s="1">
        <v>296</v>
      </c>
      <c r="H28" s="1" t="s">
        <v>42</v>
      </c>
      <c r="I28" s="1" t="s">
        <v>52</v>
      </c>
      <c r="J28" s="1" t="s">
        <v>17</v>
      </c>
      <c r="K28" s="9">
        <v>0.1</v>
      </c>
    </row>
    <row r="29" spans="1:11" x14ac:dyDescent="0.3">
      <c r="A29" s="12">
        <v>45298</v>
      </c>
      <c r="B29" s="1" t="s">
        <v>278</v>
      </c>
      <c r="C29" s="1" t="s">
        <v>460</v>
      </c>
      <c r="D29" s="1" t="s">
        <v>38</v>
      </c>
      <c r="E29" s="7">
        <v>37834</v>
      </c>
      <c r="F29" s="1" t="s">
        <v>68</v>
      </c>
      <c r="G29" s="1">
        <v>458</v>
      </c>
      <c r="H29" s="1" t="s">
        <v>34</v>
      </c>
      <c r="I29" s="1" t="s">
        <v>48</v>
      </c>
      <c r="J29" s="1" t="s">
        <v>17</v>
      </c>
      <c r="K29" s="9">
        <v>0.1</v>
      </c>
    </row>
    <row r="30" spans="1:11" x14ac:dyDescent="0.3">
      <c r="A30" s="12">
        <v>45298</v>
      </c>
      <c r="B30" s="1" t="s">
        <v>804</v>
      </c>
      <c r="C30" s="1" t="s">
        <v>805</v>
      </c>
      <c r="D30" s="1" t="s">
        <v>83</v>
      </c>
      <c r="E30" s="7">
        <v>32923</v>
      </c>
      <c r="F30" s="1" t="s">
        <v>33</v>
      </c>
      <c r="G30" s="1">
        <v>418</v>
      </c>
      <c r="H30" s="1" t="s">
        <v>56</v>
      </c>
      <c r="I30" s="1" t="s">
        <v>48</v>
      </c>
      <c r="J30" s="1" t="s">
        <v>17</v>
      </c>
      <c r="K30" s="9">
        <v>0.1</v>
      </c>
    </row>
    <row r="31" spans="1:11" x14ac:dyDescent="0.3">
      <c r="A31" s="12">
        <v>45298</v>
      </c>
      <c r="B31" s="1" t="s">
        <v>66</v>
      </c>
      <c r="C31" s="1" t="s">
        <v>433</v>
      </c>
      <c r="D31" s="1" t="s">
        <v>83</v>
      </c>
      <c r="E31" s="7">
        <v>26960</v>
      </c>
      <c r="F31" s="1" t="s">
        <v>20</v>
      </c>
      <c r="G31" s="1">
        <v>494</v>
      </c>
      <c r="H31" s="1" t="s">
        <v>59</v>
      </c>
      <c r="I31" s="1" t="s">
        <v>52</v>
      </c>
      <c r="J31" s="1" t="s">
        <v>17</v>
      </c>
      <c r="K31" s="9">
        <v>0.1</v>
      </c>
    </row>
    <row r="32" spans="1:11" x14ac:dyDescent="0.3">
      <c r="A32" s="12">
        <v>45299</v>
      </c>
      <c r="B32" s="1" t="s">
        <v>493</v>
      </c>
      <c r="C32" s="1" t="s">
        <v>494</v>
      </c>
      <c r="D32" s="1" t="s">
        <v>46</v>
      </c>
      <c r="E32" s="7">
        <v>30956</v>
      </c>
      <c r="F32" s="1" t="s">
        <v>33</v>
      </c>
      <c r="G32" s="1">
        <v>23</v>
      </c>
      <c r="H32" s="1" t="s">
        <v>64</v>
      </c>
      <c r="I32" s="1" t="s">
        <v>52</v>
      </c>
      <c r="J32" s="1" t="s">
        <v>17</v>
      </c>
      <c r="K32" s="9">
        <v>0.1</v>
      </c>
    </row>
    <row r="33" spans="1:11" x14ac:dyDescent="0.3">
      <c r="A33" s="12">
        <v>45299</v>
      </c>
      <c r="B33" s="1" t="s">
        <v>521</v>
      </c>
      <c r="C33" s="1" t="s">
        <v>522</v>
      </c>
      <c r="D33" s="1" t="s">
        <v>13</v>
      </c>
      <c r="E33" s="7">
        <v>27967</v>
      </c>
      <c r="F33" s="1" t="s">
        <v>14</v>
      </c>
      <c r="G33" s="1">
        <v>359</v>
      </c>
      <c r="H33" s="1" t="s">
        <v>42</v>
      </c>
      <c r="I33" s="1" t="s">
        <v>52</v>
      </c>
      <c r="J33" s="1" t="s">
        <v>17</v>
      </c>
      <c r="K33" s="9">
        <v>0.1</v>
      </c>
    </row>
    <row r="34" spans="1:11" x14ac:dyDescent="0.3">
      <c r="A34" s="12">
        <v>45299</v>
      </c>
      <c r="B34" s="1" t="s">
        <v>99</v>
      </c>
      <c r="C34" s="1" t="s">
        <v>407</v>
      </c>
      <c r="D34" s="1" t="s">
        <v>94</v>
      </c>
      <c r="E34" s="7">
        <v>38666</v>
      </c>
      <c r="F34" s="1" t="s">
        <v>14</v>
      </c>
      <c r="G34" s="1">
        <v>36</v>
      </c>
      <c r="H34" s="1" t="s">
        <v>34</v>
      </c>
      <c r="I34" s="1" t="s">
        <v>52</v>
      </c>
      <c r="J34" s="1" t="s">
        <v>17</v>
      </c>
      <c r="K34" s="9">
        <v>0.1</v>
      </c>
    </row>
    <row r="35" spans="1:11" x14ac:dyDescent="0.3">
      <c r="A35" s="12">
        <v>45299</v>
      </c>
      <c r="B35" s="1" t="s">
        <v>607</v>
      </c>
      <c r="C35" s="1" t="s">
        <v>608</v>
      </c>
      <c r="D35" s="1" t="s">
        <v>71</v>
      </c>
      <c r="E35" s="7">
        <v>35091</v>
      </c>
      <c r="F35" s="1" t="s">
        <v>33</v>
      </c>
      <c r="G35" s="1">
        <v>464</v>
      </c>
      <c r="H35" s="1" t="s">
        <v>56</v>
      </c>
      <c r="I35" s="1" t="s">
        <v>52</v>
      </c>
      <c r="J35" s="1" t="s">
        <v>17</v>
      </c>
      <c r="K35" s="9">
        <v>0.1</v>
      </c>
    </row>
    <row r="36" spans="1:11" x14ac:dyDescent="0.3">
      <c r="A36" s="12">
        <v>45299</v>
      </c>
      <c r="B36" s="1" t="s">
        <v>30</v>
      </c>
      <c r="C36" s="1" t="s">
        <v>627</v>
      </c>
      <c r="D36" s="1" t="s">
        <v>83</v>
      </c>
      <c r="E36" s="7">
        <v>16443</v>
      </c>
      <c r="F36" s="1" t="s">
        <v>33</v>
      </c>
      <c r="G36" s="1">
        <v>319</v>
      </c>
      <c r="H36" s="1" t="s">
        <v>59</v>
      </c>
      <c r="I36" s="1" t="s">
        <v>52</v>
      </c>
      <c r="J36" s="1" t="s">
        <v>17</v>
      </c>
      <c r="K36" s="9">
        <v>0.1</v>
      </c>
    </row>
    <row r="37" spans="1:11" x14ac:dyDescent="0.3">
      <c r="A37" s="12">
        <v>45299</v>
      </c>
      <c r="B37" s="1" t="s">
        <v>777</v>
      </c>
      <c r="C37" s="1" t="s">
        <v>347</v>
      </c>
      <c r="D37" s="1" t="s">
        <v>32</v>
      </c>
      <c r="E37" s="7">
        <v>35149</v>
      </c>
      <c r="F37" s="1" t="s">
        <v>14</v>
      </c>
      <c r="G37" s="1">
        <v>429</v>
      </c>
      <c r="H37" s="1" t="s">
        <v>56</v>
      </c>
      <c r="I37" s="1" t="s">
        <v>48</v>
      </c>
      <c r="J37" s="1" t="s">
        <v>17</v>
      </c>
      <c r="K37" s="9">
        <v>0.1</v>
      </c>
    </row>
    <row r="38" spans="1:11" x14ac:dyDescent="0.3">
      <c r="A38" s="12">
        <v>45299</v>
      </c>
      <c r="B38" s="1" t="s">
        <v>901</v>
      </c>
      <c r="C38" s="1" t="s">
        <v>471</v>
      </c>
      <c r="D38" s="1" t="s">
        <v>78</v>
      </c>
      <c r="E38" s="7">
        <v>34567</v>
      </c>
      <c r="F38" s="1" t="s">
        <v>20</v>
      </c>
      <c r="G38" s="1">
        <v>494</v>
      </c>
      <c r="H38" s="1" t="s">
        <v>34</v>
      </c>
      <c r="I38" s="1" t="s">
        <v>52</v>
      </c>
      <c r="J38" s="1" t="s">
        <v>17</v>
      </c>
      <c r="K38" s="9">
        <v>0.1</v>
      </c>
    </row>
    <row r="39" spans="1:11" x14ac:dyDescent="0.3">
      <c r="A39" s="12">
        <v>45300</v>
      </c>
      <c r="B39" s="1" t="s">
        <v>174</v>
      </c>
      <c r="C39" s="1" t="s">
        <v>175</v>
      </c>
      <c r="D39" s="1" t="s">
        <v>51</v>
      </c>
      <c r="E39" s="7">
        <v>20669</v>
      </c>
      <c r="F39" s="1" t="s">
        <v>68</v>
      </c>
      <c r="G39" s="1">
        <v>94</v>
      </c>
      <c r="H39" s="1" t="s">
        <v>27</v>
      </c>
      <c r="I39" s="1" t="s">
        <v>48</v>
      </c>
      <c r="J39" s="1" t="s">
        <v>17</v>
      </c>
      <c r="K39" s="9">
        <v>0.1</v>
      </c>
    </row>
    <row r="40" spans="1:11" x14ac:dyDescent="0.3">
      <c r="A40" s="12">
        <v>45300</v>
      </c>
      <c r="B40" s="1"/>
      <c r="C40" s="1"/>
      <c r="D40" s="1" t="s">
        <v>94</v>
      </c>
      <c r="E40" s="7">
        <v>26522</v>
      </c>
      <c r="F40" s="1" t="s">
        <v>20</v>
      </c>
      <c r="G40" s="1">
        <v>226</v>
      </c>
      <c r="H40" s="1" t="s">
        <v>27</v>
      </c>
      <c r="I40" s="1" t="s">
        <v>48</v>
      </c>
      <c r="J40" s="1" t="s">
        <v>29</v>
      </c>
      <c r="K40" s="9">
        <v>0.1</v>
      </c>
    </row>
    <row r="41" spans="1:11" x14ac:dyDescent="0.3">
      <c r="A41" s="12">
        <v>45300</v>
      </c>
      <c r="B41" s="1" t="s">
        <v>430</v>
      </c>
      <c r="C41" s="1" t="s">
        <v>487</v>
      </c>
      <c r="D41" s="1" t="s">
        <v>83</v>
      </c>
      <c r="E41" s="7">
        <v>35243</v>
      </c>
      <c r="F41" s="1" t="s">
        <v>20</v>
      </c>
      <c r="G41" s="1">
        <v>183</v>
      </c>
      <c r="H41" s="1" t="s">
        <v>21</v>
      </c>
      <c r="I41" s="1" t="s">
        <v>52</v>
      </c>
      <c r="J41" s="1" t="s">
        <v>17</v>
      </c>
      <c r="K41" s="9">
        <v>0.1</v>
      </c>
    </row>
    <row r="42" spans="1:11" x14ac:dyDescent="0.3">
      <c r="A42" s="12">
        <v>45300</v>
      </c>
      <c r="B42" s="1" t="s">
        <v>332</v>
      </c>
      <c r="C42" s="1" t="s">
        <v>869</v>
      </c>
      <c r="D42" s="1" t="s">
        <v>78</v>
      </c>
      <c r="E42" s="7">
        <v>27940</v>
      </c>
      <c r="F42" s="1" t="s">
        <v>20</v>
      </c>
      <c r="G42" s="1">
        <v>23</v>
      </c>
      <c r="H42" s="1" t="s">
        <v>15</v>
      </c>
      <c r="I42" s="1" t="s">
        <v>52</v>
      </c>
      <c r="J42" s="1" t="s">
        <v>17</v>
      </c>
      <c r="K42" s="9">
        <v>0.1</v>
      </c>
    </row>
    <row r="43" spans="1:11" x14ac:dyDescent="0.3">
      <c r="A43" s="12">
        <v>45301</v>
      </c>
      <c r="B43" s="1" t="s">
        <v>265</v>
      </c>
      <c r="C43" s="1" t="s">
        <v>266</v>
      </c>
      <c r="D43" s="1" t="s">
        <v>38</v>
      </c>
      <c r="E43" s="7">
        <v>36132</v>
      </c>
      <c r="F43" s="1" t="s">
        <v>33</v>
      </c>
      <c r="G43" s="1">
        <v>430</v>
      </c>
      <c r="H43" s="1" t="s">
        <v>56</v>
      </c>
      <c r="I43" s="1" t="s">
        <v>39</v>
      </c>
      <c r="J43" s="1" t="s">
        <v>17</v>
      </c>
      <c r="K43" s="9">
        <v>0.1</v>
      </c>
    </row>
    <row r="44" spans="1:11" x14ac:dyDescent="0.3">
      <c r="A44" s="12">
        <v>45301</v>
      </c>
      <c r="B44" s="1" t="s">
        <v>74</v>
      </c>
      <c r="C44" s="1" t="s">
        <v>82</v>
      </c>
      <c r="D44" s="1" t="s">
        <v>71</v>
      </c>
      <c r="E44" s="7">
        <v>32985</v>
      </c>
      <c r="F44" s="1" t="s">
        <v>68</v>
      </c>
      <c r="G44" s="1">
        <v>437</v>
      </c>
      <c r="H44" s="1" t="s">
        <v>15</v>
      </c>
      <c r="I44" s="1" t="s">
        <v>48</v>
      </c>
      <c r="J44" s="1" t="s">
        <v>17</v>
      </c>
      <c r="K44" s="9">
        <v>0.1</v>
      </c>
    </row>
    <row r="45" spans="1:11" x14ac:dyDescent="0.3">
      <c r="A45" s="12">
        <v>45301</v>
      </c>
      <c r="B45" s="1" t="s">
        <v>246</v>
      </c>
      <c r="C45" s="1" t="s">
        <v>633</v>
      </c>
      <c r="D45" s="1" t="s">
        <v>32</v>
      </c>
      <c r="E45" s="7">
        <v>21113</v>
      </c>
      <c r="F45" s="1" t="s">
        <v>20</v>
      </c>
      <c r="G45" s="1">
        <v>263</v>
      </c>
      <c r="H45" s="1" t="s">
        <v>27</v>
      </c>
      <c r="I45" s="1" t="s">
        <v>39</v>
      </c>
      <c r="J45" s="1" t="s">
        <v>17</v>
      </c>
      <c r="K45" s="9">
        <v>0.1</v>
      </c>
    </row>
    <row r="46" spans="1:11" x14ac:dyDescent="0.3">
      <c r="A46" s="12">
        <v>45301</v>
      </c>
      <c r="B46" s="1" t="s">
        <v>441</v>
      </c>
      <c r="C46" s="1" t="s">
        <v>679</v>
      </c>
      <c r="D46" s="1" t="s">
        <v>26</v>
      </c>
      <c r="E46" s="7">
        <v>22585</v>
      </c>
      <c r="F46" s="1" t="s">
        <v>33</v>
      </c>
      <c r="G46" s="1">
        <v>135</v>
      </c>
      <c r="H46" s="1" t="s">
        <v>15</v>
      </c>
      <c r="I46" s="1" t="s">
        <v>28</v>
      </c>
      <c r="J46" s="1" t="s">
        <v>17</v>
      </c>
      <c r="K46" s="9">
        <v>0.1</v>
      </c>
    </row>
    <row r="47" spans="1:11" x14ac:dyDescent="0.3">
      <c r="A47" s="12">
        <v>45301</v>
      </c>
      <c r="B47" s="1" t="s">
        <v>318</v>
      </c>
      <c r="C47" s="1" t="s">
        <v>415</v>
      </c>
      <c r="D47" s="1" t="s">
        <v>55</v>
      </c>
      <c r="E47" s="7">
        <v>23781</v>
      </c>
      <c r="F47" s="1" t="s">
        <v>68</v>
      </c>
      <c r="G47" s="1">
        <v>36</v>
      </c>
      <c r="H47" s="1" t="s">
        <v>34</v>
      </c>
      <c r="I47" s="1" t="s">
        <v>28</v>
      </c>
      <c r="J47" s="1" t="s">
        <v>17</v>
      </c>
      <c r="K47" s="9">
        <v>0.1</v>
      </c>
    </row>
    <row r="48" spans="1:11" x14ac:dyDescent="0.3">
      <c r="A48" s="12">
        <v>45301</v>
      </c>
      <c r="B48" s="1" t="s">
        <v>140</v>
      </c>
      <c r="C48" s="1" t="s">
        <v>827</v>
      </c>
      <c r="D48" s="1" t="s">
        <v>32</v>
      </c>
      <c r="E48" s="7">
        <v>30387</v>
      </c>
      <c r="F48" s="1" t="s">
        <v>68</v>
      </c>
      <c r="G48" s="1">
        <v>447</v>
      </c>
      <c r="H48" s="1" t="s">
        <v>64</v>
      </c>
      <c r="I48" s="1" t="s">
        <v>52</v>
      </c>
      <c r="J48" s="1" t="s">
        <v>17</v>
      </c>
      <c r="K48" s="9">
        <v>0.1</v>
      </c>
    </row>
    <row r="49" spans="1:11" x14ac:dyDescent="0.3">
      <c r="A49" s="12">
        <v>45302</v>
      </c>
      <c r="B49" s="1" t="s">
        <v>255</v>
      </c>
      <c r="C49" s="1" t="s">
        <v>256</v>
      </c>
      <c r="D49" s="1" t="s">
        <v>51</v>
      </c>
      <c r="E49" s="7">
        <v>21791</v>
      </c>
      <c r="F49" s="1" t="s">
        <v>33</v>
      </c>
      <c r="G49" s="1">
        <v>340</v>
      </c>
      <c r="H49" s="1" t="s">
        <v>34</v>
      </c>
      <c r="I49" s="1" t="s">
        <v>52</v>
      </c>
      <c r="J49" s="1" t="s">
        <v>17</v>
      </c>
      <c r="K49" s="9">
        <v>0.1</v>
      </c>
    </row>
    <row r="50" spans="1:11" x14ac:dyDescent="0.3">
      <c r="A50" s="12">
        <v>45302</v>
      </c>
      <c r="B50" s="1" t="s">
        <v>73</v>
      </c>
      <c r="C50" s="1" t="s">
        <v>348</v>
      </c>
      <c r="D50" s="1" t="s">
        <v>78</v>
      </c>
      <c r="E50" s="7">
        <v>23341</v>
      </c>
      <c r="F50" s="1" t="s">
        <v>20</v>
      </c>
      <c r="G50" s="1">
        <v>323</v>
      </c>
      <c r="H50" s="1" t="s">
        <v>21</v>
      </c>
      <c r="I50" s="1" t="s">
        <v>48</v>
      </c>
      <c r="J50" s="1" t="s">
        <v>17</v>
      </c>
      <c r="K50" s="9">
        <v>0.1</v>
      </c>
    </row>
    <row r="51" spans="1:11" x14ac:dyDescent="0.3">
      <c r="A51" s="12">
        <v>45302</v>
      </c>
      <c r="B51" s="1" t="s">
        <v>386</v>
      </c>
      <c r="C51" s="1" t="s">
        <v>387</v>
      </c>
      <c r="D51" s="1" t="s">
        <v>13</v>
      </c>
      <c r="E51" s="7">
        <v>37363</v>
      </c>
      <c r="F51" s="1" t="s">
        <v>20</v>
      </c>
      <c r="G51" s="1">
        <v>471</v>
      </c>
      <c r="H51" s="1" t="s">
        <v>64</v>
      </c>
      <c r="I51" s="1" t="s">
        <v>48</v>
      </c>
      <c r="J51" s="1" t="s">
        <v>17</v>
      </c>
      <c r="K51" s="9">
        <v>0.1</v>
      </c>
    </row>
    <row r="52" spans="1:11" x14ac:dyDescent="0.3">
      <c r="A52" s="12">
        <v>45302</v>
      </c>
      <c r="B52" s="1" t="s">
        <v>320</v>
      </c>
      <c r="C52" s="1" t="s">
        <v>658</v>
      </c>
      <c r="D52" s="1" t="s">
        <v>51</v>
      </c>
      <c r="E52" s="7">
        <v>30506</v>
      </c>
      <c r="F52" s="1" t="s">
        <v>20</v>
      </c>
      <c r="G52" s="1">
        <v>146</v>
      </c>
      <c r="H52" s="1" t="s">
        <v>65</v>
      </c>
      <c r="I52" s="1" t="s">
        <v>35</v>
      </c>
      <c r="J52" s="1" t="s">
        <v>17</v>
      </c>
      <c r="K52" s="9">
        <v>0.1</v>
      </c>
    </row>
    <row r="53" spans="1:11" x14ac:dyDescent="0.3">
      <c r="A53" s="12">
        <v>45302</v>
      </c>
      <c r="B53" s="1" t="s">
        <v>169</v>
      </c>
      <c r="C53" s="1" t="s">
        <v>772</v>
      </c>
      <c r="D53" s="1" t="s">
        <v>32</v>
      </c>
      <c r="E53" s="7">
        <v>27109</v>
      </c>
      <c r="F53" s="1" t="s">
        <v>68</v>
      </c>
      <c r="G53" s="1">
        <v>488</v>
      </c>
      <c r="H53" s="1" t="s">
        <v>21</v>
      </c>
      <c r="I53" s="1" t="s">
        <v>52</v>
      </c>
      <c r="J53" s="1" t="s">
        <v>17</v>
      </c>
      <c r="K53" s="9">
        <v>0.1</v>
      </c>
    </row>
    <row r="54" spans="1:11" x14ac:dyDescent="0.3">
      <c r="A54" s="12">
        <v>45302</v>
      </c>
      <c r="B54" s="1" t="s">
        <v>558</v>
      </c>
      <c r="C54" s="1" t="s">
        <v>225</v>
      </c>
      <c r="D54" s="1" t="s">
        <v>46</v>
      </c>
      <c r="E54" s="7">
        <v>16082</v>
      </c>
      <c r="F54" s="1" t="s">
        <v>20</v>
      </c>
      <c r="G54" s="1">
        <v>75</v>
      </c>
      <c r="H54" s="1" t="s">
        <v>15</v>
      </c>
      <c r="I54" s="1" t="s">
        <v>52</v>
      </c>
      <c r="J54" s="1" t="s">
        <v>17</v>
      </c>
      <c r="K54" s="9">
        <v>0.1</v>
      </c>
    </row>
    <row r="55" spans="1:11" x14ac:dyDescent="0.3">
      <c r="A55" s="12">
        <v>45302</v>
      </c>
      <c r="B55" s="1" t="s">
        <v>79</v>
      </c>
      <c r="C55" s="1" t="s">
        <v>911</v>
      </c>
      <c r="D55" s="1" t="s">
        <v>94</v>
      </c>
      <c r="E55" s="7">
        <v>33773</v>
      </c>
      <c r="F55" s="1" t="s">
        <v>20</v>
      </c>
      <c r="G55" s="1">
        <v>261</v>
      </c>
      <c r="H55" s="1" t="s">
        <v>42</v>
      </c>
      <c r="I55" s="1" t="s">
        <v>48</v>
      </c>
      <c r="J55" s="1" t="s">
        <v>17</v>
      </c>
      <c r="K55" s="9">
        <v>0.1</v>
      </c>
    </row>
    <row r="56" spans="1:11" x14ac:dyDescent="0.3">
      <c r="A56" s="12">
        <v>45303</v>
      </c>
      <c r="B56" s="1" t="s">
        <v>206</v>
      </c>
      <c r="C56" s="1" t="s">
        <v>207</v>
      </c>
      <c r="D56" s="1" t="s">
        <v>26</v>
      </c>
      <c r="E56" s="7">
        <v>23768</v>
      </c>
      <c r="F56" s="1" t="s">
        <v>20</v>
      </c>
      <c r="G56" s="1">
        <v>71</v>
      </c>
      <c r="H56" s="1" t="s">
        <v>27</v>
      </c>
      <c r="I56" s="1" t="s">
        <v>52</v>
      </c>
      <c r="J56" s="1" t="s">
        <v>17</v>
      </c>
      <c r="K56" s="9">
        <v>0.1</v>
      </c>
    </row>
    <row r="57" spans="1:11" x14ac:dyDescent="0.3">
      <c r="A57" s="12">
        <v>45303</v>
      </c>
      <c r="B57" s="1" t="s">
        <v>195</v>
      </c>
      <c r="C57" s="1" t="s">
        <v>89</v>
      </c>
      <c r="D57" s="1" t="s">
        <v>51</v>
      </c>
      <c r="E57" s="7">
        <v>27946</v>
      </c>
      <c r="F57" s="1" t="s">
        <v>68</v>
      </c>
      <c r="G57" s="1">
        <v>271</v>
      </c>
      <c r="H57" s="1" t="s">
        <v>47</v>
      </c>
      <c r="I57" s="1" t="s">
        <v>39</v>
      </c>
      <c r="J57" s="1" t="s">
        <v>17</v>
      </c>
      <c r="K57" s="9">
        <v>0.1</v>
      </c>
    </row>
    <row r="58" spans="1:11" x14ac:dyDescent="0.3">
      <c r="A58" s="12">
        <v>45303</v>
      </c>
      <c r="B58" s="1" t="s">
        <v>286</v>
      </c>
      <c r="C58" s="1" t="s">
        <v>287</v>
      </c>
      <c r="D58" s="1" t="s">
        <v>13</v>
      </c>
      <c r="E58" s="7">
        <v>35229</v>
      </c>
      <c r="F58" s="1" t="s">
        <v>14</v>
      </c>
      <c r="G58" s="1">
        <v>277</v>
      </c>
      <c r="H58" s="1" t="s">
        <v>47</v>
      </c>
      <c r="I58" s="1" t="s">
        <v>48</v>
      </c>
      <c r="J58" s="1" t="s">
        <v>17</v>
      </c>
      <c r="K58" s="9">
        <v>0.1</v>
      </c>
    </row>
    <row r="59" spans="1:11" x14ac:dyDescent="0.3">
      <c r="A59" s="12">
        <v>45303</v>
      </c>
      <c r="B59" s="1" t="s">
        <v>278</v>
      </c>
      <c r="C59" s="1" t="s">
        <v>315</v>
      </c>
      <c r="D59" s="1" t="s">
        <v>32</v>
      </c>
      <c r="E59" s="7">
        <v>25382</v>
      </c>
      <c r="F59" s="1" t="s">
        <v>68</v>
      </c>
      <c r="G59" s="1">
        <v>103</v>
      </c>
      <c r="H59" s="1" t="s">
        <v>65</v>
      </c>
      <c r="I59" s="1" t="s">
        <v>35</v>
      </c>
      <c r="J59" s="1" t="s">
        <v>17</v>
      </c>
      <c r="K59" s="9">
        <v>0.1</v>
      </c>
    </row>
    <row r="60" spans="1:11" x14ac:dyDescent="0.3">
      <c r="A60" s="12">
        <v>45303</v>
      </c>
      <c r="B60" s="1" t="s">
        <v>630</v>
      </c>
      <c r="C60" s="1" t="s">
        <v>795</v>
      </c>
      <c r="D60" s="1" t="s">
        <v>38</v>
      </c>
      <c r="E60" s="7">
        <v>27766</v>
      </c>
      <c r="F60" s="1" t="s">
        <v>20</v>
      </c>
      <c r="G60" s="1">
        <v>264</v>
      </c>
      <c r="H60" s="1" t="s">
        <v>27</v>
      </c>
      <c r="I60" s="1" t="s">
        <v>48</v>
      </c>
      <c r="J60" s="1" t="s">
        <v>17</v>
      </c>
      <c r="K60" s="9">
        <v>0.1</v>
      </c>
    </row>
    <row r="61" spans="1:11" x14ac:dyDescent="0.3">
      <c r="A61" s="12">
        <v>45303</v>
      </c>
      <c r="B61" s="1" t="s">
        <v>151</v>
      </c>
      <c r="C61" s="1" t="s">
        <v>529</v>
      </c>
      <c r="D61" s="1" t="s">
        <v>71</v>
      </c>
      <c r="E61" s="7">
        <v>18144</v>
      </c>
      <c r="F61" s="1" t="s">
        <v>20</v>
      </c>
      <c r="G61" s="1">
        <v>302</v>
      </c>
      <c r="H61" s="1" t="s">
        <v>21</v>
      </c>
      <c r="I61" s="1" t="s">
        <v>48</v>
      </c>
      <c r="J61" s="1" t="s">
        <v>17</v>
      </c>
      <c r="K61" s="9">
        <v>0.1</v>
      </c>
    </row>
    <row r="62" spans="1:11" x14ac:dyDescent="0.3">
      <c r="A62" s="12">
        <v>45303</v>
      </c>
      <c r="B62" s="1" t="s">
        <v>623</v>
      </c>
      <c r="C62" s="1" t="s">
        <v>891</v>
      </c>
      <c r="D62" s="1" t="s">
        <v>51</v>
      </c>
      <c r="E62" s="7">
        <v>29934</v>
      </c>
      <c r="F62" s="1" t="s">
        <v>68</v>
      </c>
      <c r="G62" s="1">
        <v>483</v>
      </c>
      <c r="H62" s="1" t="s">
        <v>65</v>
      </c>
      <c r="I62" s="1" t="s">
        <v>48</v>
      </c>
      <c r="J62" s="1" t="s">
        <v>17</v>
      </c>
      <c r="K62" s="9">
        <v>0.1</v>
      </c>
    </row>
    <row r="63" spans="1:11" x14ac:dyDescent="0.3">
      <c r="A63" s="12">
        <v>45304</v>
      </c>
      <c r="B63" s="1" t="s">
        <v>24</v>
      </c>
      <c r="C63" s="1" t="s">
        <v>25</v>
      </c>
      <c r="D63" s="1" t="s">
        <v>26</v>
      </c>
      <c r="E63" s="7">
        <v>24237</v>
      </c>
      <c r="F63" s="1" t="s">
        <v>14</v>
      </c>
      <c r="G63" s="1">
        <v>284</v>
      </c>
      <c r="H63" s="1" t="s">
        <v>27</v>
      </c>
      <c r="I63" s="1" t="s">
        <v>28</v>
      </c>
      <c r="J63" s="1" t="s">
        <v>29</v>
      </c>
      <c r="K63" s="9">
        <v>0.1</v>
      </c>
    </row>
    <row r="64" spans="1:11" x14ac:dyDescent="0.3">
      <c r="A64" s="12">
        <v>45304</v>
      </c>
      <c r="B64" s="1" t="s">
        <v>160</v>
      </c>
      <c r="C64" s="1" t="s">
        <v>215</v>
      </c>
      <c r="D64" s="1" t="s">
        <v>51</v>
      </c>
      <c r="E64" s="7">
        <v>31907</v>
      </c>
      <c r="F64" s="1" t="s">
        <v>14</v>
      </c>
      <c r="G64" s="1">
        <v>39</v>
      </c>
      <c r="H64" s="1" t="s">
        <v>56</v>
      </c>
      <c r="I64" s="1" t="s">
        <v>52</v>
      </c>
      <c r="J64" s="1" t="s">
        <v>17</v>
      </c>
      <c r="K64" s="9">
        <v>0.1</v>
      </c>
    </row>
    <row r="65" spans="1:11" x14ac:dyDescent="0.3">
      <c r="A65" s="12">
        <v>45304</v>
      </c>
      <c r="B65" s="1" t="s">
        <v>463</v>
      </c>
      <c r="C65" s="1" t="s">
        <v>114</v>
      </c>
      <c r="D65" s="1" t="s">
        <v>38</v>
      </c>
      <c r="E65" s="7">
        <v>19950</v>
      </c>
      <c r="F65" s="1" t="s">
        <v>68</v>
      </c>
      <c r="G65" s="1">
        <v>336</v>
      </c>
      <c r="H65" s="1" t="s">
        <v>59</v>
      </c>
      <c r="I65" s="1" t="s">
        <v>43</v>
      </c>
      <c r="J65" s="1" t="s">
        <v>17</v>
      </c>
      <c r="K65" s="9">
        <v>0.1</v>
      </c>
    </row>
    <row r="66" spans="1:11" x14ac:dyDescent="0.3">
      <c r="A66" s="12">
        <v>45304</v>
      </c>
      <c r="B66" s="1" t="s">
        <v>489</v>
      </c>
      <c r="C66" s="1" t="s">
        <v>295</v>
      </c>
      <c r="D66" s="1" t="s">
        <v>38</v>
      </c>
      <c r="E66" s="7">
        <v>26043</v>
      </c>
      <c r="F66" s="1" t="s">
        <v>68</v>
      </c>
      <c r="G66" s="1">
        <v>377</v>
      </c>
      <c r="H66" s="1" t="s">
        <v>15</v>
      </c>
      <c r="I66" s="1" t="s">
        <v>48</v>
      </c>
      <c r="J66" s="1" t="s">
        <v>17</v>
      </c>
      <c r="K66" s="9">
        <v>0.1</v>
      </c>
    </row>
    <row r="67" spans="1:11" x14ac:dyDescent="0.3">
      <c r="A67" s="12">
        <v>45304</v>
      </c>
      <c r="B67" s="1" t="s">
        <v>554</v>
      </c>
      <c r="C67" s="1" t="s">
        <v>162</v>
      </c>
      <c r="D67" s="1" t="s">
        <v>32</v>
      </c>
      <c r="E67" s="7">
        <v>22955</v>
      </c>
      <c r="F67" s="1" t="s">
        <v>14</v>
      </c>
      <c r="G67" s="1">
        <v>87</v>
      </c>
      <c r="H67" s="1" t="s">
        <v>34</v>
      </c>
      <c r="I67" s="1" t="s">
        <v>48</v>
      </c>
      <c r="J67" s="1" t="s">
        <v>17</v>
      </c>
      <c r="K67" s="9">
        <v>0.1</v>
      </c>
    </row>
    <row r="68" spans="1:11" x14ac:dyDescent="0.3">
      <c r="A68" s="12">
        <v>45304</v>
      </c>
      <c r="B68" s="1" t="s">
        <v>505</v>
      </c>
      <c r="C68" s="1" t="s">
        <v>726</v>
      </c>
      <c r="D68" s="1" t="s">
        <v>78</v>
      </c>
      <c r="E68" s="7">
        <v>33640</v>
      </c>
      <c r="F68" s="1" t="s">
        <v>14</v>
      </c>
      <c r="G68" s="1">
        <v>247</v>
      </c>
      <c r="H68" s="1" t="s">
        <v>65</v>
      </c>
      <c r="I68" s="1" t="s">
        <v>52</v>
      </c>
      <c r="J68" s="1" t="s">
        <v>23</v>
      </c>
      <c r="K68" s="9">
        <v>0.1</v>
      </c>
    </row>
    <row r="69" spans="1:11" x14ac:dyDescent="0.3">
      <c r="A69" s="12">
        <v>45304</v>
      </c>
      <c r="B69" s="1" t="s">
        <v>358</v>
      </c>
      <c r="C69" s="1" t="s">
        <v>225</v>
      </c>
      <c r="D69" s="1" t="s">
        <v>51</v>
      </c>
      <c r="E69" s="7">
        <v>18166</v>
      </c>
      <c r="F69" s="1" t="s">
        <v>14</v>
      </c>
      <c r="G69" s="1">
        <v>179</v>
      </c>
      <c r="H69" s="1" t="s">
        <v>64</v>
      </c>
      <c r="I69" s="1" t="s">
        <v>48</v>
      </c>
      <c r="J69" s="1" t="s">
        <v>17</v>
      </c>
      <c r="K69" s="9">
        <v>0.1</v>
      </c>
    </row>
    <row r="70" spans="1:11" x14ac:dyDescent="0.3">
      <c r="A70" s="12">
        <v>45304</v>
      </c>
      <c r="B70" s="1" t="s">
        <v>381</v>
      </c>
      <c r="C70" s="1" t="s">
        <v>880</v>
      </c>
      <c r="D70" s="1" t="s">
        <v>38</v>
      </c>
      <c r="E70" s="7">
        <v>29086</v>
      </c>
      <c r="F70" s="1" t="s">
        <v>33</v>
      </c>
      <c r="G70" s="1">
        <v>383</v>
      </c>
      <c r="H70" s="1" t="s">
        <v>21</v>
      </c>
      <c r="I70" s="1" t="s">
        <v>28</v>
      </c>
      <c r="J70" s="1" t="s">
        <v>17</v>
      </c>
      <c r="K70" s="9">
        <v>0.1</v>
      </c>
    </row>
    <row r="71" spans="1:11" x14ac:dyDescent="0.3">
      <c r="A71" s="12">
        <v>45305</v>
      </c>
      <c r="B71" s="1" t="s">
        <v>151</v>
      </c>
      <c r="C71" s="1" t="s">
        <v>271</v>
      </c>
      <c r="D71" s="1" t="s">
        <v>13</v>
      </c>
      <c r="E71" s="7">
        <v>32376</v>
      </c>
      <c r="F71" s="1" t="s">
        <v>14</v>
      </c>
      <c r="G71" s="1">
        <v>32</v>
      </c>
      <c r="H71" s="1" t="s">
        <v>56</v>
      </c>
      <c r="I71" s="1" t="s">
        <v>48</v>
      </c>
      <c r="J71" s="1" t="s">
        <v>17</v>
      </c>
      <c r="K71" s="9">
        <v>0.1</v>
      </c>
    </row>
    <row r="72" spans="1:11" x14ac:dyDescent="0.3">
      <c r="A72" s="12">
        <v>45305</v>
      </c>
      <c r="B72" s="1" t="s">
        <v>117</v>
      </c>
      <c r="C72" s="1" t="s">
        <v>525</v>
      </c>
      <c r="D72" s="1" t="s">
        <v>51</v>
      </c>
      <c r="E72" s="7">
        <v>26794</v>
      </c>
      <c r="F72" s="1" t="s">
        <v>33</v>
      </c>
      <c r="G72" s="1">
        <v>40</v>
      </c>
      <c r="H72" s="1" t="s">
        <v>65</v>
      </c>
      <c r="I72" s="1" t="s">
        <v>39</v>
      </c>
      <c r="J72" s="1" t="s">
        <v>17</v>
      </c>
      <c r="K72" s="9">
        <v>0.1</v>
      </c>
    </row>
    <row r="73" spans="1:11" x14ac:dyDescent="0.3">
      <c r="A73" s="12">
        <v>45305</v>
      </c>
      <c r="B73" s="1" t="s">
        <v>649</v>
      </c>
      <c r="C73" s="1" t="s">
        <v>650</v>
      </c>
      <c r="D73" s="1" t="s">
        <v>32</v>
      </c>
      <c r="E73" s="7">
        <v>37893</v>
      </c>
      <c r="F73" s="1" t="s">
        <v>14</v>
      </c>
      <c r="G73" s="1">
        <v>246</v>
      </c>
      <c r="H73" s="1" t="s">
        <v>59</v>
      </c>
      <c r="I73" s="1" t="s">
        <v>52</v>
      </c>
      <c r="J73" s="1" t="s">
        <v>17</v>
      </c>
      <c r="K73" s="9">
        <v>0.1</v>
      </c>
    </row>
    <row r="74" spans="1:11" x14ac:dyDescent="0.3">
      <c r="A74" s="12">
        <v>45305</v>
      </c>
      <c r="B74" s="1" t="s">
        <v>107</v>
      </c>
      <c r="C74" s="1" t="s">
        <v>530</v>
      </c>
      <c r="D74" s="1" t="s">
        <v>46</v>
      </c>
      <c r="E74" s="7">
        <v>37339</v>
      </c>
      <c r="F74" s="1" t="s">
        <v>33</v>
      </c>
      <c r="G74" s="1">
        <v>266</v>
      </c>
      <c r="H74" s="1" t="s">
        <v>65</v>
      </c>
      <c r="I74" s="1" t="s">
        <v>48</v>
      </c>
      <c r="J74" s="1" t="s">
        <v>17</v>
      </c>
      <c r="K74" s="9">
        <v>0.1</v>
      </c>
    </row>
    <row r="75" spans="1:11" x14ac:dyDescent="0.3">
      <c r="A75" s="12">
        <v>45305</v>
      </c>
      <c r="B75" s="1" t="s">
        <v>361</v>
      </c>
      <c r="C75" s="1" t="s">
        <v>347</v>
      </c>
      <c r="D75" s="1" t="s">
        <v>26</v>
      </c>
      <c r="E75" s="7">
        <v>32887</v>
      </c>
      <c r="F75" s="1" t="s">
        <v>20</v>
      </c>
      <c r="G75" s="1">
        <v>32</v>
      </c>
      <c r="H75" s="1" t="s">
        <v>59</v>
      </c>
      <c r="I75" s="1" t="s">
        <v>52</v>
      </c>
      <c r="J75" s="1" t="s">
        <v>17</v>
      </c>
      <c r="K75" s="9">
        <v>0.1</v>
      </c>
    </row>
    <row r="76" spans="1:11" x14ac:dyDescent="0.3">
      <c r="A76" s="12">
        <v>45305</v>
      </c>
      <c r="B76" s="1" t="s">
        <v>221</v>
      </c>
      <c r="C76" s="1" t="s">
        <v>120</v>
      </c>
      <c r="D76" s="1" t="s">
        <v>83</v>
      </c>
      <c r="E76" s="7">
        <v>30520</v>
      </c>
      <c r="F76" s="1" t="s">
        <v>33</v>
      </c>
      <c r="G76" s="1">
        <v>352</v>
      </c>
      <c r="H76" s="1" t="s">
        <v>64</v>
      </c>
      <c r="I76" s="1" t="s">
        <v>52</v>
      </c>
      <c r="J76" s="1" t="s">
        <v>17</v>
      </c>
      <c r="K76" s="9">
        <v>0.1</v>
      </c>
    </row>
    <row r="77" spans="1:11" x14ac:dyDescent="0.3">
      <c r="A77" s="12">
        <v>45306</v>
      </c>
      <c r="B77" s="1" t="s">
        <v>115</v>
      </c>
      <c r="C77" s="1" t="s">
        <v>116</v>
      </c>
      <c r="D77" s="1" t="s">
        <v>13</v>
      </c>
      <c r="E77" s="7">
        <v>25449</v>
      </c>
      <c r="F77" s="1" t="s">
        <v>68</v>
      </c>
      <c r="G77" s="1">
        <v>121</v>
      </c>
      <c r="H77" s="1" t="s">
        <v>34</v>
      </c>
      <c r="I77" s="1" t="s">
        <v>52</v>
      </c>
      <c r="J77" s="1" t="s">
        <v>17</v>
      </c>
      <c r="K77" s="9">
        <v>0.1</v>
      </c>
    </row>
    <row r="78" spans="1:11" x14ac:dyDescent="0.3">
      <c r="A78" s="12">
        <v>45306</v>
      </c>
      <c r="B78" s="1" t="s">
        <v>138</v>
      </c>
      <c r="C78" s="1" t="s">
        <v>139</v>
      </c>
      <c r="D78" s="1" t="s">
        <v>26</v>
      </c>
      <c r="E78" s="7">
        <v>22139</v>
      </c>
      <c r="F78" s="1" t="s">
        <v>68</v>
      </c>
      <c r="G78" s="1">
        <v>70</v>
      </c>
      <c r="H78" s="1" t="s">
        <v>64</v>
      </c>
      <c r="I78" s="1" t="s">
        <v>48</v>
      </c>
      <c r="J78" s="1" t="s">
        <v>29</v>
      </c>
      <c r="K78" s="9">
        <v>0.1</v>
      </c>
    </row>
    <row r="79" spans="1:11" x14ac:dyDescent="0.3">
      <c r="A79" s="12">
        <v>45306</v>
      </c>
      <c r="B79" s="1" t="s">
        <v>255</v>
      </c>
      <c r="C79" s="1" t="s">
        <v>512</v>
      </c>
      <c r="D79" s="1" t="s">
        <v>78</v>
      </c>
      <c r="E79" s="7">
        <v>22734</v>
      </c>
      <c r="F79" s="1" t="s">
        <v>68</v>
      </c>
      <c r="G79" s="1">
        <v>238</v>
      </c>
      <c r="H79" s="1" t="s">
        <v>21</v>
      </c>
      <c r="I79" s="1" t="s">
        <v>43</v>
      </c>
      <c r="J79" s="1" t="s">
        <v>17</v>
      </c>
      <c r="K79" s="9">
        <v>0.1</v>
      </c>
    </row>
    <row r="80" spans="1:11" x14ac:dyDescent="0.3">
      <c r="A80" s="12">
        <v>45306</v>
      </c>
      <c r="B80" s="1" t="s">
        <v>377</v>
      </c>
      <c r="C80" s="1" t="s">
        <v>406</v>
      </c>
      <c r="D80" s="1" t="s">
        <v>94</v>
      </c>
      <c r="E80" s="7">
        <v>29267</v>
      </c>
      <c r="F80" s="1" t="s">
        <v>33</v>
      </c>
      <c r="G80" s="1">
        <v>269</v>
      </c>
      <c r="H80" s="1" t="s">
        <v>65</v>
      </c>
      <c r="I80" s="1" t="s">
        <v>35</v>
      </c>
      <c r="J80" s="1" t="s">
        <v>17</v>
      </c>
      <c r="K80" s="9">
        <v>0.1</v>
      </c>
    </row>
    <row r="81" spans="1:11" x14ac:dyDescent="0.3">
      <c r="A81" s="12">
        <v>45306</v>
      </c>
      <c r="B81" s="1" t="s">
        <v>470</v>
      </c>
      <c r="C81" s="1" t="s">
        <v>242</v>
      </c>
      <c r="D81" s="1" t="s">
        <v>78</v>
      </c>
      <c r="E81" s="7">
        <v>24769</v>
      </c>
      <c r="F81" s="1" t="s">
        <v>68</v>
      </c>
      <c r="G81" s="1">
        <v>377</v>
      </c>
      <c r="H81" s="1" t="s">
        <v>47</v>
      </c>
      <c r="I81" s="1" t="s">
        <v>48</v>
      </c>
      <c r="J81" s="1" t="s">
        <v>17</v>
      </c>
      <c r="K81" s="9">
        <v>0.1</v>
      </c>
    </row>
    <row r="82" spans="1:11" x14ac:dyDescent="0.3">
      <c r="A82" s="12">
        <v>45307</v>
      </c>
      <c r="B82" s="1" t="s">
        <v>383</v>
      </c>
      <c r="C82" s="1" t="s">
        <v>471</v>
      </c>
      <c r="D82" s="1" t="s">
        <v>38</v>
      </c>
      <c r="E82" s="7">
        <v>35593</v>
      </c>
      <c r="F82" s="1" t="s">
        <v>68</v>
      </c>
      <c r="G82" s="1">
        <v>200</v>
      </c>
      <c r="H82" s="1" t="s">
        <v>56</v>
      </c>
      <c r="I82" s="1" t="s">
        <v>48</v>
      </c>
      <c r="J82" s="1" t="s">
        <v>17</v>
      </c>
      <c r="K82" s="9">
        <v>0.1</v>
      </c>
    </row>
    <row r="83" spans="1:11" x14ac:dyDescent="0.3">
      <c r="A83" s="12">
        <v>45307</v>
      </c>
      <c r="B83" s="1" t="s">
        <v>140</v>
      </c>
      <c r="C83" s="1" t="s">
        <v>487</v>
      </c>
      <c r="D83" s="1" t="s">
        <v>94</v>
      </c>
      <c r="E83" s="7">
        <v>35189</v>
      </c>
      <c r="F83" s="1" t="s">
        <v>68</v>
      </c>
      <c r="G83" s="1">
        <v>346</v>
      </c>
      <c r="H83" s="1" t="s">
        <v>64</v>
      </c>
      <c r="I83" s="1" t="s">
        <v>48</v>
      </c>
      <c r="J83" s="1" t="s">
        <v>17</v>
      </c>
      <c r="K83" s="9">
        <v>0.1</v>
      </c>
    </row>
    <row r="84" spans="1:11" x14ac:dyDescent="0.3">
      <c r="A84" s="12">
        <v>45307</v>
      </c>
      <c r="B84" s="1" t="s">
        <v>574</v>
      </c>
      <c r="C84" s="1" t="s">
        <v>575</v>
      </c>
      <c r="D84" s="1" t="s">
        <v>51</v>
      </c>
      <c r="E84" s="7">
        <v>25811</v>
      </c>
      <c r="F84" s="1" t="s">
        <v>68</v>
      </c>
      <c r="G84" s="1">
        <v>386</v>
      </c>
      <c r="H84" s="1" t="s">
        <v>42</v>
      </c>
      <c r="I84" s="1" t="s">
        <v>39</v>
      </c>
      <c r="J84" s="1" t="s">
        <v>17</v>
      </c>
      <c r="K84" s="9">
        <v>0.1</v>
      </c>
    </row>
    <row r="85" spans="1:11" x14ac:dyDescent="0.3">
      <c r="A85" s="12">
        <v>45307</v>
      </c>
      <c r="B85" s="1" t="s">
        <v>740</v>
      </c>
      <c r="C85" s="1" t="s">
        <v>342</v>
      </c>
      <c r="D85" s="1" t="s">
        <v>55</v>
      </c>
      <c r="E85" s="7">
        <v>32834</v>
      </c>
      <c r="F85" s="1" t="s">
        <v>14</v>
      </c>
      <c r="G85" s="1">
        <v>383</v>
      </c>
      <c r="H85" s="1" t="s">
        <v>34</v>
      </c>
      <c r="I85" s="1" t="s">
        <v>48</v>
      </c>
      <c r="J85" s="1" t="s">
        <v>17</v>
      </c>
      <c r="K85" s="9">
        <v>0.1</v>
      </c>
    </row>
    <row r="86" spans="1:11" x14ac:dyDescent="0.3">
      <c r="A86" s="12">
        <v>45308</v>
      </c>
      <c r="B86" s="1" t="s">
        <v>163</v>
      </c>
      <c r="C86" s="1" t="s">
        <v>164</v>
      </c>
      <c r="D86" s="1" t="s">
        <v>55</v>
      </c>
      <c r="E86" s="7">
        <v>26856</v>
      </c>
      <c r="F86" s="1" t="s">
        <v>33</v>
      </c>
      <c r="G86" s="1">
        <v>36</v>
      </c>
      <c r="H86" s="1" t="s">
        <v>34</v>
      </c>
      <c r="I86" s="1" t="s">
        <v>48</v>
      </c>
      <c r="J86" s="1" t="s">
        <v>17</v>
      </c>
      <c r="K86" s="9">
        <v>0.1</v>
      </c>
    </row>
    <row r="87" spans="1:11" x14ac:dyDescent="0.3">
      <c r="A87" s="12">
        <v>45308</v>
      </c>
      <c r="B87" s="1" t="s">
        <v>300</v>
      </c>
      <c r="C87" s="1" t="s">
        <v>301</v>
      </c>
      <c r="D87" s="1" t="s">
        <v>13</v>
      </c>
      <c r="E87" s="7">
        <v>35451</v>
      </c>
      <c r="F87" s="1" t="s">
        <v>33</v>
      </c>
      <c r="G87" s="1">
        <v>369</v>
      </c>
      <c r="H87" s="1" t="s">
        <v>47</v>
      </c>
      <c r="I87" s="1" t="s">
        <v>39</v>
      </c>
      <c r="J87" s="1" t="s">
        <v>17</v>
      </c>
      <c r="K87" s="9">
        <v>0.1</v>
      </c>
    </row>
    <row r="88" spans="1:11" x14ac:dyDescent="0.3">
      <c r="A88" s="12">
        <v>45308</v>
      </c>
      <c r="B88" s="1" t="s">
        <v>36</v>
      </c>
      <c r="C88" s="1" t="s">
        <v>691</v>
      </c>
      <c r="D88" s="1" t="s">
        <v>71</v>
      </c>
      <c r="E88" s="7">
        <v>36317</v>
      </c>
      <c r="F88" s="1" t="s">
        <v>68</v>
      </c>
      <c r="G88" s="1">
        <v>260</v>
      </c>
      <c r="H88" s="1" t="s">
        <v>56</v>
      </c>
      <c r="I88" s="1" t="s">
        <v>43</v>
      </c>
      <c r="J88" s="1" t="s">
        <v>23</v>
      </c>
      <c r="K88" s="9">
        <v>0.1</v>
      </c>
    </row>
    <row r="89" spans="1:11" x14ac:dyDescent="0.3">
      <c r="A89" s="12">
        <v>45308</v>
      </c>
      <c r="B89" s="1" t="s">
        <v>115</v>
      </c>
      <c r="C89" s="1" t="s">
        <v>120</v>
      </c>
      <c r="D89" s="1"/>
      <c r="E89" s="7">
        <v>34043</v>
      </c>
      <c r="F89" s="1" t="s">
        <v>68</v>
      </c>
      <c r="G89" s="1"/>
      <c r="H89" s="1" t="s">
        <v>59</v>
      </c>
      <c r="I89" s="1" t="s">
        <v>52</v>
      </c>
      <c r="J89" s="1" t="s">
        <v>17</v>
      </c>
      <c r="K89" s="9">
        <v>0.1</v>
      </c>
    </row>
    <row r="90" spans="1:11" x14ac:dyDescent="0.3">
      <c r="A90" s="12">
        <v>45308</v>
      </c>
      <c r="B90" s="1" t="s">
        <v>200</v>
      </c>
      <c r="C90" s="1" t="s">
        <v>660</v>
      </c>
      <c r="D90" s="1" t="s">
        <v>94</v>
      </c>
      <c r="E90" s="7">
        <v>28131</v>
      </c>
      <c r="F90" s="1" t="s">
        <v>33</v>
      </c>
      <c r="G90" s="1">
        <v>408</v>
      </c>
      <c r="H90" s="1" t="s">
        <v>65</v>
      </c>
      <c r="I90" s="1" t="s">
        <v>43</v>
      </c>
      <c r="J90" s="1" t="s">
        <v>23</v>
      </c>
      <c r="K90" s="9">
        <v>0.1</v>
      </c>
    </row>
    <row r="91" spans="1:11" x14ac:dyDescent="0.3">
      <c r="A91" s="12">
        <v>45309</v>
      </c>
      <c r="B91" s="1" t="s">
        <v>24</v>
      </c>
      <c r="C91" s="1" t="s">
        <v>183</v>
      </c>
      <c r="D91" s="1" t="s">
        <v>38</v>
      </c>
      <c r="E91" s="7">
        <v>27366</v>
      </c>
      <c r="F91" s="1" t="s">
        <v>14</v>
      </c>
      <c r="G91" s="1">
        <v>472</v>
      </c>
      <c r="H91" s="1" t="s">
        <v>59</v>
      </c>
      <c r="I91" s="1" t="s">
        <v>43</v>
      </c>
      <c r="J91" s="1" t="s">
        <v>17</v>
      </c>
      <c r="K91" s="9">
        <v>0.1</v>
      </c>
    </row>
    <row r="92" spans="1:11" x14ac:dyDescent="0.3">
      <c r="A92" s="12">
        <v>45309</v>
      </c>
      <c r="B92" s="1" t="s">
        <v>219</v>
      </c>
      <c r="C92" s="1" t="s">
        <v>220</v>
      </c>
      <c r="D92" s="1" t="s">
        <v>38</v>
      </c>
      <c r="E92" s="7">
        <v>32141</v>
      </c>
      <c r="F92" s="1" t="s">
        <v>33</v>
      </c>
      <c r="G92" s="1">
        <v>326</v>
      </c>
      <c r="H92" s="1" t="s">
        <v>15</v>
      </c>
      <c r="I92" s="1" t="s">
        <v>35</v>
      </c>
      <c r="J92" s="1" t="s">
        <v>29</v>
      </c>
      <c r="K92" s="9">
        <v>0.1</v>
      </c>
    </row>
    <row r="93" spans="1:11" x14ac:dyDescent="0.3">
      <c r="A93" s="12">
        <v>45309</v>
      </c>
      <c r="B93" s="1" t="s">
        <v>259</v>
      </c>
      <c r="C93" s="1" t="s">
        <v>260</v>
      </c>
      <c r="D93" s="1" t="s">
        <v>46</v>
      </c>
      <c r="E93" s="7">
        <v>38728</v>
      </c>
      <c r="F93" s="1" t="s">
        <v>20</v>
      </c>
      <c r="G93" s="1">
        <v>266</v>
      </c>
      <c r="H93" s="1" t="s">
        <v>27</v>
      </c>
      <c r="I93" s="1" t="s">
        <v>52</v>
      </c>
      <c r="J93" s="1" t="s">
        <v>17</v>
      </c>
      <c r="K93" s="9">
        <v>0.1</v>
      </c>
    </row>
    <row r="94" spans="1:11" x14ac:dyDescent="0.3">
      <c r="A94" s="12">
        <v>45309</v>
      </c>
      <c r="B94" s="1" t="s">
        <v>447</v>
      </c>
      <c r="C94" s="1" t="s">
        <v>599</v>
      </c>
      <c r="D94" s="1" t="s">
        <v>78</v>
      </c>
      <c r="E94" s="7">
        <v>27998</v>
      </c>
      <c r="F94" s="1" t="s">
        <v>14</v>
      </c>
      <c r="G94" s="1">
        <v>324</v>
      </c>
      <c r="H94" s="1" t="s">
        <v>34</v>
      </c>
      <c r="I94" s="1" t="s">
        <v>48</v>
      </c>
      <c r="J94" s="1" t="s">
        <v>17</v>
      </c>
      <c r="K94" s="9">
        <v>0.1</v>
      </c>
    </row>
    <row r="95" spans="1:11" x14ac:dyDescent="0.3">
      <c r="A95" s="12">
        <v>45309</v>
      </c>
      <c r="B95" s="1" t="s">
        <v>518</v>
      </c>
      <c r="C95" s="1" t="s">
        <v>89</v>
      </c>
      <c r="D95" s="1" t="s">
        <v>46</v>
      </c>
      <c r="E95" s="7">
        <v>38529</v>
      </c>
      <c r="F95" s="1" t="s">
        <v>20</v>
      </c>
      <c r="G95" s="1">
        <v>18</v>
      </c>
      <c r="H95" s="1" t="s">
        <v>27</v>
      </c>
      <c r="I95" s="1" t="s">
        <v>28</v>
      </c>
      <c r="J95" s="1" t="s">
        <v>17</v>
      </c>
      <c r="K95" s="9">
        <v>0.1</v>
      </c>
    </row>
    <row r="96" spans="1:11" x14ac:dyDescent="0.3">
      <c r="A96" s="12">
        <v>45309</v>
      </c>
      <c r="B96" s="1" t="s">
        <v>36</v>
      </c>
      <c r="C96" s="1" t="s">
        <v>37</v>
      </c>
      <c r="D96" s="1" t="s">
        <v>38</v>
      </c>
      <c r="E96" s="7">
        <v>32586</v>
      </c>
      <c r="F96" s="1" t="s">
        <v>68</v>
      </c>
      <c r="G96" s="1">
        <v>461</v>
      </c>
      <c r="H96" s="1" t="s">
        <v>42</v>
      </c>
      <c r="I96" s="1" t="s">
        <v>52</v>
      </c>
      <c r="J96" s="1" t="s">
        <v>23</v>
      </c>
      <c r="K96" s="9">
        <v>0.1</v>
      </c>
    </row>
    <row r="97" spans="1:11" x14ac:dyDescent="0.3">
      <c r="A97" s="12">
        <v>45309</v>
      </c>
      <c r="B97" s="1" t="s">
        <v>792</v>
      </c>
      <c r="C97" s="1" t="s">
        <v>93</v>
      </c>
      <c r="D97" s="1" t="s">
        <v>78</v>
      </c>
      <c r="E97" s="7">
        <v>35169</v>
      </c>
      <c r="F97" s="1" t="s">
        <v>14</v>
      </c>
      <c r="G97" s="1">
        <v>464</v>
      </c>
      <c r="H97" s="1" t="s">
        <v>47</v>
      </c>
      <c r="I97" s="1" t="s">
        <v>52</v>
      </c>
      <c r="J97" s="1" t="s">
        <v>17</v>
      </c>
      <c r="K97" s="9">
        <v>0.1</v>
      </c>
    </row>
    <row r="98" spans="1:11" x14ac:dyDescent="0.3">
      <c r="A98" s="12">
        <v>45309</v>
      </c>
      <c r="B98" s="1" t="s">
        <v>343</v>
      </c>
      <c r="C98" s="1" t="s">
        <v>57</v>
      </c>
      <c r="D98" s="1" t="s">
        <v>51</v>
      </c>
      <c r="E98" s="7">
        <v>15942</v>
      </c>
      <c r="F98" s="1" t="s">
        <v>33</v>
      </c>
      <c r="G98" s="1">
        <v>199</v>
      </c>
      <c r="H98" s="1" t="s">
        <v>65</v>
      </c>
      <c r="I98" s="1" t="s">
        <v>43</v>
      </c>
      <c r="J98" s="1" t="s">
        <v>17</v>
      </c>
      <c r="K98" s="9">
        <v>0.1</v>
      </c>
    </row>
    <row r="99" spans="1:11" x14ac:dyDescent="0.3">
      <c r="A99" s="12">
        <v>45310</v>
      </c>
      <c r="B99" s="1" t="s">
        <v>342</v>
      </c>
      <c r="C99" s="1" t="s">
        <v>63</v>
      </c>
      <c r="D99" s="1" t="s">
        <v>94</v>
      </c>
      <c r="E99" s="7">
        <v>19359</v>
      </c>
      <c r="F99" s="1" t="s">
        <v>33</v>
      </c>
      <c r="G99" s="1">
        <v>490</v>
      </c>
      <c r="H99" s="1" t="s">
        <v>42</v>
      </c>
      <c r="I99" s="1" t="s">
        <v>28</v>
      </c>
      <c r="J99" s="1" t="s">
        <v>17</v>
      </c>
      <c r="K99" s="9">
        <v>0.1</v>
      </c>
    </row>
    <row r="100" spans="1:11" x14ac:dyDescent="0.3">
      <c r="A100" s="12">
        <v>45310</v>
      </c>
      <c r="B100" s="1" t="s">
        <v>332</v>
      </c>
      <c r="C100" s="1" t="s">
        <v>394</v>
      </c>
      <c r="D100" s="1" t="s">
        <v>94</v>
      </c>
      <c r="E100" s="7">
        <v>37810</v>
      </c>
      <c r="F100" s="1" t="s">
        <v>14</v>
      </c>
      <c r="G100" s="1">
        <v>473</v>
      </c>
      <c r="H100" s="1" t="s">
        <v>21</v>
      </c>
      <c r="I100" s="1" t="s">
        <v>48</v>
      </c>
      <c r="J100" s="1" t="s">
        <v>17</v>
      </c>
      <c r="K100" s="9">
        <v>0.1</v>
      </c>
    </row>
    <row r="101" spans="1:11" x14ac:dyDescent="0.3">
      <c r="A101" s="12">
        <v>45310</v>
      </c>
      <c r="B101" s="1" t="s">
        <v>24</v>
      </c>
      <c r="C101" s="1" t="s">
        <v>347</v>
      </c>
      <c r="D101" s="1" t="s">
        <v>78</v>
      </c>
      <c r="E101" s="7">
        <v>23622</v>
      </c>
      <c r="F101" s="1" t="s">
        <v>14</v>
      </c>
      <c r="G101" s="1">
        <v>370</v>
      </c>
      <c r="H101" s="1" t="s">
        <v>42</v>
      </c>
      <c r="I101" s="1" t="s">
        <v>52</v>
      </c>
      <c r="J101" s="1" t="s">
        <v>17</v>
      </c>
      <c r="K101" s="9">
        <v>0.1</v>
      </c>
    </row>
    <row r="102" spans="1:11" x14ac:dyDescent="0.3">
      <c r="A102" s="12">
        <v>45310</v>
      </c>
      <c r="B102" s="1" t="s">
        <v>799</v>
      </c>
      <c r="C102" s="1" t="s">
        <v>110</v>
      </c>
      <c r="D102" s="1" t="s">
        <v>83</v>
      </c>
      <c r="E102" s="7">
        <v>35112</v>
      </c>
      <c r="F102" s="1" t="s">
        <v>20</v>
      </c>
      <c r="G102" s="1">
        <v>32</v>
      </c>
      <c r="H102" s="1" t="s">
        <v>34</v>
      </c>
      <c r="I102" s="1" t="s">
        <v>52</v>
      </c>
      <c r="J102" s="1" t="s">
        <v>17</v>
      </c>
      <c r="K102" s="9">
        <v>0.1</v>
      </c>
    </row>
    <row r="103" spans="1:11" x14ac:dyDescent="0.3">
      <c r="A103" s="12">
        <v>45311</v>
      </c>
      <c r="B103" s="1" t="s">
        <v>57</v>
      </c>
      <c r="C103" s="1" t="s">
        <v>347</v>
      </c>
      <c r="D103" s="1" t="s">
        <v>94</v>
      </c>
      <c r="E103" s="7">
        <v>36494</v>
      </c>
      <c r="F103" s="1" t="s">
        <v>20</v>
      </c>
      <c r="G103" s="1">
        <v>100</v>
      </c>
      <c r="H103" s="1" t="s">
        <v>56</v>
      </c>
      <c r="I103" s="1" t="s">
        <v>43</v>
      </c>
      <c r="J103" s="1" t="s">
        <v>17</v>
      </c>
      <c r="K103" s="9">
        <v>0.1</v>
      </c>
    </row>
    <row r="104" spans="1:11" x14ac:dyDescent="0.3">
      <c r="A104" s="12">
        <v>45311</v>
      </c>
      <c r="B104" s="1" t="s">
        <v>429</v>
      </c>
      <c r="C104" s="1" t="s">
        <v>430</v>
      </c>
      <c r="D104" s="1" t="s">
        <v>94</v>
      </c>
      <c r="E104" s="7">
        <v>28525</v>
      </c>
      <c r="F104" s="1" t="s">
        <v>20</v>
      </c>
      <c r="G104" s="1">
        <v>434</v>
      </c>
      <c r="H104" s="1" t="s">
        <v>42</v>
      </c>
      <c r="I104" s="1" t="s">
        <v>52</v>
      </c>
      <c r="J104" s="1" t="s">
        <v>17</v>
      </c>
      <c r="K104" s="9">
        <v>0.1</v>
      </c>
    </row>
    <row r="105" spans="1:11" x14ac:dyDescent="0.3">
      <c r="A105" s="12">
        <v>45311</v>
      </c>
      <c r="B105" s="1" t="s">
        <v>413</v>
      </c>
      <c r="C105" s="1" t="s">
        <v>455</v>
      </c>
      <c r="D105" s="1" t="s">
        <v>78</v>
      </c>
      <c r="E105" s="7">
        <v>16533</v>
      </c>
      <c r="F105" s="1" t="s">
        <v>33</v>
      </c>
      <c r="G105" s="1">
        <v>45</v>
      </c>
      <c r="H105" s="1" t="s">
        <v>47</v>
      </c>
      <c r="I105" s="1" t="s">
        <v>52</v>
      </c>
      <c r="J105" s="1" t="s">
        <v>17</v>
      </c>
      <c r="K105" s="9">
        <v>0.1</v>
      </c>
    </row>
    <row r="106" spans="1:11" x14ac:dyDescent="0.3">
      <c r="A106" s="12">
        <v>45311</v>
      </c>
      <c r="B106" s="1" t="s">
        <v>358</v>
      </c>
      <c r="C106" s="1" t="s">
        <v>500</v>
      </c>
      <c r="D106" s="1" t="s">
        <v>94</v>
      </c>
      <c r="E106" s="7">
        <v>27175</v>
      </c>
      <c r="F106" s="1" t="s">
        <v>20</v>
      </c>
      <c r="G106" s="1">
        <v>368</v>
      </c>
      <c r="H106" s="1" t="s">
        <v>65</v>
      </c>
      <c r="I106" s="1" t="s">
        <v>48</v>
      </c>
      <c r="J106" s="1" t="s">
        <v>17</v>
      </c>
      <c r="K106" s="9">
        <v>0.1</v>
      </c>
    </row>
    <row r="107" spans="1:11" x14ac:dyDescent="0.3">
      <c r="A107" s="12">
        <v>45311</v>
      </c>
      <c r="B107" s="1" t="s">
        <v>88</v>
      </c>
      <c r="C107" s="1" t="s">
        <v>135</v>
      </c>
      <c r="D107" s="1" t="s">
        <v>38</v>
      </c>
      <c r="E107" s="7">
        <v>26958</v>
      </c>
      <c r="F107" s="1" t="s">
        <v>20</v>
      </c>
      <c r="G107" s="1">
        <v>421</v>
      </c>
      <c r="H107" s="1" t="s">
        <v>56</v>
      </c>
      <c r="I107" s="1" t="s">
        <v>43</v>
      </c>
      <c r="J107" s="1" t="s">
        <v>17</v>
      </c>
      <c r="K107" s="9">
        <v>0.1</v>
      </c>
    </row>
    <row r="108" spans="1:11" x14ac:dyDescent="0.3">
      <c r="A108" s="12">
        <v>45311</v>
      </c>
      <c r="B108" s="1" t="s">
        <v>801</v>
      </c>
      <c r="C108" s="1" t="s">
        <v>357</v>
      </c>
      <c r="D108" s="1" t="s">
        <v>71</v>
      </c>
      <c r="E108" s="7">
        <v>36633</v>
      </c>
      <c r="F108" s="1" t="s">
        <v>68</v>
      </c>
      <c r="G108" s="1">
        <v>297</v>
      </c>
      <c r="H108" s="1" t="s">
        <v>42</v>
      </c>
      <c r="I108" s="1" t="s">
        <v>28</v>
      </c>
      <c r="J108" s="1" t="s">
        <v>17</v>
      </c>
      <c r="K108" s="9">
        <v>0.1</v>
      </c>
    </row>
    <row r="109" spans="1:11" x14ac:dyDescent="0.3">
      <c r="A109" s="12">
        <v>45312</v>
      </c>
      <c r="B109" s="1" t="s">
        <v>221</v>
      </c>
      <c r="C109" s="1" t="s">
        <v>209</v>
      </c>
      <c r="D109" s="1" t="s">
        <v>94</v>
      </c>
      <c r="E109" s="7">
        <v>24538</v>
      </c>
      <c r="F109" s="1" t="s">
        <v>68</v>
      </c>
      <c r="G109" s="1">
        <v>28</v>
      </c>
      <c r="H109" s="1" t="s">
        <v>21</v>
      </c>
      <c r="I109" s="1" t="s">
        <v>39</v>
      </c>
      <c r="J109" s="1" t="s">
        <v>17</v>
      </c>
      <c r="K109" s="9">
        <v>0.1</v>
      </c>
    </row>
    <row r="110" spans="1:11" x14ac:dyDescent="0.3">
      <c r="A110" s="12">
        <v>45312</v>
      </c>
      <c r="B110" s="1" t="s">
        <v>201</v>
      </c>
      <c r="C110" s="1" t="s">
        <v>31</v>
      </c>
      <c r="D110" s="1" t="s">
        <v>26</v>
      </c>
      <c r="E110" s="7">
        <v>30133</v>
      </c>
      <c r="F110" s="1" t="s">
        <v>68</v>
      </c>
      <c r="G110" s="1">
        <v>444</v>
      </c>
      <c r="H110" s="1" t="s">
        <v>15</v>
      </c>
      <c r="I110" s="1" t="s">
        <v>43</v>
      </c>
      <c r="J110" s="1" t="s">
        <v>29</v>
      </c>
      <c r="K110" s="9">
        <v>0.1</v>
      </c>
    </row>
    <row r="111" spans="1:11" x14ac:dyDescent="0.3">
      <c r="A111" s="12">
        <v>45312</v>
      </c>
      <c r="B111" s="1" t="s">
        <v>57</v>
      </c>
      <c r="C111" s="1"/>
      <c r="D111" s="1" t="s">
        <v>94</v>
      </c>
      <c r="E111" s="7">
        <v>32496</v>
      </c>
      <c r="F111" s="1" t="s">
        <v>14</v>
      </c>
      <c r="G111" s="1">
        <v>245</v>
      </c>
      <c r="H111" s="1"/>
      <c r="I111" s="1" t="s">
        <v>52</v>
      </c>
      <c r="J111" s="1" t="s">
        <v>17</v>
      </c>
      <c r="K111" s="9">
        <v>0.1</v>
      </c>
    </row>
    <row r="112" spans="1:11" x14ac:dyDescent="0.3">
      <c r="A112" s="12">
        <v>45312</v>
      </c>
      <c r="B112" s="1" t="s">
        <v>84</v>
      </c>
      <c r="C112" s="1" t="s">
        <v>812</v>
      </c>
      <c r="D112" s="1" t="s">
        <v>78</v>
      </c>
      <c r="E112" s="7">
        <v>34623</v>
      </c>
      <c r="F112" s="1" t="s">
        <v>33</v>
      </c>
      <c r="G112" s="1">
        <v>352</v>
      </c>
      <c r="H112" s="1" t="s">
        <v>21</v>
      </c>
      <c r="I112" s="1" t="s">
        <v>39</v>
      </c>
      <c r="J112" s="1" t="s">
        <v>17</v>
      </c>
      <c r="K112" s="9">
        <v>0.1</v>
      </c>
    </row>
    <row r="113" spans="1:11" x14ac:dyDescent="0.3">
      <c r="A113" s="12">
        <v>45313</v>
      </c>
      <c r="B113" s="1" t="s">
        <v>97</v>
      </c>
      <c r="C113" s="1" t="s">
        <v>98</v>
      </c>
      <c r="D113" s="1" t="s">
        <v>78</v>
      </c>
      <c r="E113" s="7">
        <v>26317</v>
      </c>
      <c r="F113" s="1" t="s">
        <v>68</v>
      </c>
      <c r="G113" s="1">
        <v>381</v>
      </c>
      <c r="H113" s="1" t="s">
        <v>21</v>
      </c>
      <c r="I113" s="1" t="s">
        <v>28</v>
      </c>
      <c r="J113" s="1" t="s">
        <v>29</v>
      </c>
      <c r="K113" s="9">
        <v>0.1</v>
      </c>
    </row>
    <row r="114" spans="1:11" x14ac:dyDescent="0.3">
      <c r="A114" s="12">
        <v>45313</v>
      </c>
      <c r="B114" s="1" t="s">
        <v>485</v>
      </c>
      <c r="C114" s="1" t="s">
        <v>380</v>
      </c>
      <c r="D114" s="1" t="s">
        <v>71</v>
      </c>
      <c r="E114" s="7">
        <v>30661</v>
      </c>
      <c r="F114" s="1" t="s">
        <v>14</v>
      </c>
      <c r="G114" s="1">
        <v>286</v>
      </c>
      <c r="H114" s="1" t="s">
        <v>59</v>
      </c>
      <c r="I114" s="1" t="s">
        <v>48</v>
      </c>
      <c r="J114" s="1" t="s">
        <v>17</v>
      </c>
      <c r="K114" s="9">
        <v>0.1</v>
      </c>
    </row>
    <row r="115" spans="1:11" x14ac:dyDescent="0.3">
      <c r="A115" s="12">
        <v>45313</v>
      </c>
      <c r="B115" s="1" t="s">
        <v>296</v>
      </c>
      <c r="C115" s="1" t="s">
        <v>762</v>
      </c>
      <c r="D115" s="1" t="s">
        <v>46</v>
      </c>
      <c r="E115" s="7">
        <v>17578</v>
      </c>
      <c r="F115" s="1" t="s">
        <v>33</v>
      </c>
      <c r="G115" s="1">
        <v>172</v>
      </c>
      <c r="H115" s="1" t="s">
        <v>64</v>
      </c>
      <c r="I115" s="1" t="s">
        <v>28</v>
      </c>
      <c r="J115" s="1" t="s">
        <v>17</v>
      </c>
      <c r="K115" s="9">
        <v>0.1</v>
      </c>
    </row>
    <row r="116" spans="1:11" x14ac:dyDescent="0.3">
      <c r="A116" s="12">
        <v>45313</v>
      </c>
      <c r="B116" s="1" t="s">
        <v>392</v>
      </c>
      <c r="C116" s="1" t="s">
        <v>256</v>
      </c>
      <c r="D116" s="1" t="s">
        <v>32</v>
      </c>
      <c r="E116" s="7">
        <v>18373</v>
      </c>
      <c r="F116" s="1" t="s">
        <v>68</v>
      </c>
      <c r="G116" s="1">
        <v>477</v>
      </c>
      <c r="H116" s="1" t="s">
        <v>47</v>
      </c>
      <c r="I116" s="1" t="s">
        <v>43</v>
      </c>
      <c r="J116" s="1" t="s">
        <v>17</v>
      </c>
      <c r="K116" s="9">
        <v>0.1</v>
      </c>
    </row>
    <row r="117" spans="1:11" x14ac:dyDescent="0.3">
      <c r="A117" s="12">
        <v>45314</v>
      </c>
      <c r="B117" s="1" t="s">
        <v>395</v>
      </c>
      <c r="C117" s="1" t="s">
        <v>396</v>
      </c>
      <c r="D117" s="1" t="s">
        <v>51</v>
      </c>
      <c r="E117" s="7">
        <v>20223</v>
      </c>
      <c r="F117" s="1" t="s">
        <v>33</v>
      </c>
      <c r="G117" s="1">
        <v>243</v>
      </c>
      <c r="H117" s="1" t="s">
        <v>59</v>
      </c>
      <c r="I117" s="1" t="s">
        <v>52</v>
      </c>
      <c r="J117" s="1" t="s">
        <v>17</v>
      </c>
      <c r="K117" s="9">
        <v>0.1</v>
      </c>
    </row>
    <row r="118" spans="1:11" x14ac:dyDescent="0.3">
      <c r="A118" s="12">
        <v>45314</v>
      </c>
      <c r="B118" s="1" t="s">
        <v>151</v>
      </c>
      <c r="C118" s="1" t="s">
        <v>703</v>
      </c>
      <c r="D118" s="1" t="s">
        <v>51</v>
      </c>
      <c r="E118" s="7">
        <v>33439</v>
      </c>
      <c r="F118" s="1" t="s">
        <v>33</v>
      </c>
      <c r="G118" s="1">
        <v>35</v>
      </c>
      <c r="H118" s="1" t="s">
        <v>56</v>
      </c>
      <c r="I118" s="1" t="s">
        <v>48</v>
      </c>
      <c r="J118" s="1" t="s">
        <v>17</v>
      </c>
      <c r="K118" s="9">
        <v>0.1</v>
      </c>
    </row>
    <row r="119" spans="1:11" x14ac:dyDescent="0.3">
      <c r="A119" s="12">
        <v>45314</v>
      </c>
      <c r="B119" s="1" t="s">
        <v>724</v>
      </c>
      <c r="C119" s="1" t="s">
        <v>546</v>
      </c>
      <c r="D119" s="1" t="s">
        <v>71</v>
      </c>
      <c r="E119" s="7">
        <v>16894</v>
      </c>
      <c r="F119" s="1" t="s">
        <v>14</v>
      </c>
      <c r="G119" s="1">
        <v>255</v>
      </c>
      <c r="H119" s="1" t="s">
        <v>64</v>
      </c>
      <c r="I119" s="1" t="s">
        <v>48</v>
      </c>
      <c r="J119" s="1" t="s">
        <v>17</v>
      </c>
      <c r="K119" s="9">
        <v>0.1</v>
      </c>
    </row>
    <row r="120" spans="1:11" x14ac:dyDescent="0.3">
      <c r="A120" s="12">
        <v>45314</v>
      </c>
      <c r="B120" s="1" t="s">
        <v>493</v>
      </c>
      <c r="C120" s="1" t="s">
        <v>425</v>
      </c>
      <c r="D120" s="1" t="s">
        <v>83</v>
      </c>
      <c r="E120" s="7">
        <v>18413</v>
      </c>
      <c r="F120" s="1" t="s">
        <v>14</v>
      </c>
      <c r="G120" s="1">
        <v>257</v>
      </c>
      <c r="H120" s="1" t="s">
        <v>42</v>
      </c>
      <c r="I120" s="1" t="s">
        <v>48</v>
      </c>
      <c r="J120" s="1" t="s">
        <v>17</v>
      </c>
      <c r="K120" s="9">
        <v>0.1</v>
      </c>
    </row>
    <row r="121" spans="1:11" x14ac:dyDescent="0.3">
      <c r="A121" s="12">
        <v>45315</v>
      </c>
      <c r="B121" s="1" t="s">
        <v>36</v>
      </c>
      <c r="C121" s="1" t="s">
        <v>37</v>
      </c>
      <c r="D121" s="1" t="s">
        <v>38</v>
      </c>
      <c r="E121" s="7">
        <v>35938</v>
      </c>
      <c r="F121" s="1" t="s">
        <v>20</v>
      </c>
      <c r="G121" s="1">
        <v>337</v>
      </c>
      <c r="H121" s="1" t="s">
        <v>15</v>
      </c>
      <c r="I121" s="1" t="s">
        <v>48</v>
      </c>
      <c r="J121" s="1" t="s">
        <v>23</v>
      </c>
      <c r="K121" s="9">
        <v>0.1</v>
      </c>
    </row>
    <row r="122" spans="1:11" x14ac:dyDescent="0.3">
      <c r="A122" s="12">
        <v>45315</v>
      </c>
      <c r="B122" s="1" t="s">
        <v>145</v>
      </c>
      <c r="C122" s="1" t="s">
        <v>146</v>
      </c>
      <c r="D122" s="1" t="s">
        <v>83</v>
      </c>
      <c r="E122" s="7">
        <v>36190</v>
      </c>
      <c r="F122" s="1" t="s">
        <v>68</v>
      </c>
      <c r="G122" s="1">
        <v>150</v>
      </c>
      <c r="H122" s="1" t="s">
        <v>65</v>
      </c>
      <c r="I122" s="1" t="s">
        <v>48</v>
      </c>
      <c r="J122" s="1" t="s">
        <v>29</v>
      </c>
      <c r="K122" s="9">
        <v>0.1</v>
      </c>
    </row>
    <row r="123" spans="1:11" x14ac:dyDescent="0.3">
      <c r="A123" s="12">
        <v>45315</v>
      </c>
      <c r="B123" s="1" t="s">
        <v>360</v>
      </c>
      <c r="C123" s="1" t="s">
        <v>523</v>
      </c>
      <c r="D123" s="1" t="s">
        <v>51</v>
      </c>
      <c r="E123" s="7">
        <v>16133</v>
      </c>
      <c r="F123" s="1" t="s">
        <v>68</v>
      </c>
      <c r="G123" s="1">
        <v>303</v>
      </c>
      <c r="H123" s="1" t="s">
        <v>47</v>
      </c>
      <c r="I123" s="1" t="s">
        <v>28</v>
      </c>
      <c r="J123" s="1" t="s">
        <v>17</v>
      </c>
      <c r="K123" s="9">
        <v>0.1</v>
      </c>
    </row>
    <row r="124" spans="1:11" x14ac:dyDescent="0.3">
      <c r="A124" s="12">
        <v>45315</v>
      </c>
      <c r="B124" s="1" t="s">
        <v>417</v>
      </c>
      <c r="C124" s="1" t="s">
        <v>494</v>
      </c>
      <c r="D124" s="1" t="s">
        <v>71</v>
      </c>
      <c r="E124" s="7">
        <v>21945</v>
      </c>
      <c r="F124" s="1" t="s">
        <v>68</v>
      </c>
      <c r="G124" s="1">
        <v>227</v>
      </c>
      <c r="H124" s="1" t="s">
        <v>47</v>
      </c>
      <c r="I124" s="1" t="s">
        <v>28</v>
      </c>
      <c r="J124" s="1" t="s">
        <v>17</v>
      </c>
      <c r="K124" s="9">
        <v>0.1</v>
      </c>
    </row>
    <row r="125" spans="1:11" x14ac:dyDescent="0.3">
      <c r="A125" s="12">
        <v>45315</v>
      </c>
      <c r="B125" s="1" t="s">
        <v>905</v>
      </c>
      <c r="C125" s="1" t="s">
        <v>848</v>
      </c>
      <c r="D125" s="1" t="s">
        <v>46</v>
      </c>
      <c r="E125" s="7">
        <v>37440</v>
      </c>
      <c r="F125" s="1" t="s">
        <v>14</v>
      </c>
      <c r="G125" s="1">
        <v>83</v>
      </c>
      <c r="H125" s="1" t="s">
        <v>47</v>
      </c>
      <c r="I125" s="1" t="s">
        <v>52</v>
      </c>
      <c r="J125" s="1" t="s">
        <v>17</v>
      </c>
      <c r="K125" s="9">
        <v>0.1</v>
      </c>
    </row>
    <row r="126" spans="1:11" x14ac:dyDescent="0.3">
      <c r="A126" s="12">
        <v>45316</v>
      </c>
      <c r="B126" s="1" t="s">
        <v>186</v>
      </c>
      <c r="C126" s="1" t="s">
        <v>110</v>
      </c>
      <c r="D126" s="1" t="s">
        <v>71</v>
      </c>
      <c r="E126" s="7">
        <v>21296</v>
      </c>
      <c r="F126" s="1" t="s">
        <v>33</v>
      </c>
      <c r="G126" s="1">
        <v>447</v>
      </c>
      <c r="H126" s="1" t="s">
        <v>34</v>
      </c>
      <c r="I126" s="1" t="s">
        <v>52</v>
      </c>
      <c r="J126" s="1" t="s">
        <v>17</v>
      </c>
      <c r="K126" s="9">
        <v>0.1</v>
      </c>
    </row>
    <row r="127" spans="1:11" x14ac:dyDescent="0.3">
      <c r="A127" s="12">
        <v>45316</v>
      </c>
      <c r="B127" s="1" t="s">
        <v>421</v>
      </c>
      <c r="C127" s="1" t="s">
        <v>422</v>
      </c>
      <c r="D127" s="1" t="s">
        <v>55</v>
      </c>
      <c r="E127" s="7">
        <v>33960</v>
      </c>
      <c r="F127" s="1" t="s">
        <v>20</v>
      </c>
      <c r="G127" s="1">
        <v>230</v>
      </c>
      <c r="H127" s="1" t="s">
        <v>34</v>
      </c>
      <c r="I127" s="1" t="s">
        <v>48</v>
      </c>
      <c r="J127" s="1" t="s">
        <v>17</v>
      </c>
      <c r="K127" s="9">
        <v>0.1</v>
      </c>
    </row>
    <row r="128" spans="1:11" x14ac:dyDescent="0.3">
      <c r="A128" s="12">
        <v>45316</v>
      </c>
      <c r="B128" s="1" t="s">
        <v>496</v>
      </c>
      <c r="C128" s="1" t="s">
        <v>396</v>
      </c>
      <c r="D128" s="1" t="s">
        <v>51</v>
      </c>
      <c r="E128" s="7">
        <v>18353</v>
      </c>
      <c r="F128" s="1" t="s">
        <v>20</v>
      </c>
      <c r="G128" s="1">
        <v>195</v>
      </c>
      <c r="H128" s="1" t="s">
        <v>56</v>
      </c>
      <c r="I128" s="1" t="s">
        <v>28</v>
      </c>
      <c r="J128" s="1" t="s">
        <v>17</v>
      </c>
      <c r="K128" s="9">
        <v>0.1</v>
      </c>
    </row>
    <row r="129" spans="1:11" x14ac:dyDescent="0.3">
      <c r="A129" s="12">
        <v>45316</v>
      </c>
      <c r="B129" s="1" t="s">
        <v>526</v>
      </c>
      <c r="C129" s="1" t="s">
        <v>31</v>
      </c>
      <c r="D129" s="1" t="s">
        <v>38</v>
      </c>
      <c r="E129" s="7">
        <v>32320</v>
      </c>
      <c r="F129" s="1" t="s">
        <v>68</v>
      </c>
      <c r="G129" s="1">
        <v>191</v>
      </c>
      <c r="H129" s="1" t="s">
        <v>64</v>
      </c>
      <c r="I129" s="1" t="s">
        <v>48</v>
      </c>
      <c r="J129" s="1" t="s">
        <v>17</v>
      </c>
      <c r="K129" s="9">
        <v>0.1</v>
      </c>
    </row>
    <row r="130" spans="1:11" x14ac:dyDescent="0.3">
      <c r="A130" s="12">
        <v>45316</v>
      </c>
      <c r="B130" s="1" t="s">
        <v>191</v>
      </c>
      <c r="C130" s="1" t="s">
        <v>162</v>
      </c>
      <c r="D130" s="1" t="s">
        <v>55</v>
      </c>
      <c r="E130" s="7">
        <v>20280</v>
      </c>
      <c r="F130" s="1" t="s">
        <v>68</v>
      </c>
      <c r="G130" s="1">
        <v>216</v>
      </c>
      <c r="H130" s="1" t="s">
        <v>59</v>
      </c>
      <c r="I130" s="1" t="s">
        <v>52</v>
      </c>
      <c r="J130" s="1" t="s">
        <v>17</v>
      </c>
      <c r="K130" s="9">
        <v>0.1</v>
      </c>
    </row>
    <row r="131" spans="1:11" x14ac:dyDescent="0.3">
      <c r="A131" s="12">
        <v>45316</v>
      </c>
      <c r="B131" s="1" t="s">
        <v>651</v>
      </c>
      <c r="C131" s="1" t="s">
        <v>62</v>
      </c>
      <c r="D131" s="1" t="s">
        <v>51</v>
      </c>
      <c r="E131" s="7">
        <v>25943</v>
      </c>
      <c r="F131" s="1" t="s">
        <v>68</v>
      </c>
      <c r="G131" s="1">
        <v>302</v>
      </c>
      <c r="H131" s="1" t="s">
        <v>56</v>
      </c>
      <c r="I131" s="1" t="s">
        <v>48</v>
      </c>
      <c r="J131" s="1" t="s">
        <v>17</v>
      </c>
      <c r="K131" s="9">
        <v>0.1</v>
      </c>
    </row>
    <row r="132" spans="1:11" x14ac:dyDescent="0.3">
      <c r="A132" s="12">
        <v>45316</v>
      </c>
      <c r="B132" s="1" t="s">
        <v>88</v>
      </c>
      <c r="C132" s="1" t="s">
        <v>362</v>
      </c>
      <c r="D132" s="1" t="s">
        <v>78</v>
      </c>
      <c r="E132" s="7">
        <v>16695</v>
      </c>
      <c r="F132" s="1" t="s">
        <v>33</v>
      </c>
      <c r="G132" s="1">
        <v>49</v>
      </c>
      <c r="H132" s="1" t="s">
        <v>15</v>
      </c>
      <c r="I132" s="1" t="s">
        <v>52</v>
      </c>
      <c r="J132" s="1" t="s">
        <v>17</v>
      </c>
      <c r="K132" s="9">
        <v>0.1</v>
      </c>
    </row>
    <row r="133" spans="1:11" x14ac:dyDescent="0.3">
      <c r="A133" s="12">
        <v>45316</v>
      </c>
      <c r="B133" s="1" t="s">
        <v>731</v>
      </c>
      <c r="C133" s="1" t="s">
        <v>732</v>
      </c>
      <c r="D133" s="1" t="s">
        <v>71</v>
      </c>
      <c r="E133" s="7">
        <v>23091</v>
      </c>
      <c r="F133" s="1" t="s">
        <v>68</v>
      </c>
      <c r="G133" s="1">
        <v>138</v>
      </c>
      <c r="H133" s="1" t="s">
        <v>59</v>
      </c>
      <c r="I133" s="1" t="s">
        <v>52</v>
      </c>
      <c r="J133" s="1" t="s">
        <v>17</v>
      </c>
      <c r="K133" s="9">
        <v>0.1</v>
      </c>
    </row>
    <row r="134" spans="1:11" x14ac:dyDescent="0.3">
      <c r="A134" s="12">
        <v>45316</v>
      </c>
      <c r="B134" s="1" t="s">
        <v>413</v>
      </c>
      <c r="C134" s="1" t="s">
        <v>82</v>
      </c>
      <c r="D134" s="1" t="s">
        <v>32</v>
      </c>
      <c r="E134" s="7">
        <v>20999</v>
      </c>
      <c r="F134" s="1" t="s">
        <v>14</v>
      </c>
      <c r="G134" s="1">
        <v>119</v>
      </c>
      <c r="H134" s="1" t="s">
        <v>64</v>
      </c>
      <c r="I134" s="1" t="s">
        <v>52</v>
      </c>
      <c r="J134" s="1" t="s">
        <v>17</v>
      </c>
      <c r="K134" s="9">
        <v>0.1</v>
      </c>
    </row>
    <row r="135" spans="1:11" x14ac:dyDescent="0.3">
      <c r="A135" s="12">
        <v>45316</v>
      </c>
      <c r="B135" s="1" t="s">
        <v>147</v>
      </c>
      <c r="C135" s="1" t="s">
        <v>803</v>
      </c>
      <c r="D135" s="1" t="s">
        <v>38</v>
      </c>
      <c r="E135" s="7">
        <v>36982</v>
      </c>
      <c r="F135" s="1" t="s">
        <v>20</v>
      </c>
      <c r="G135" s="1">
        <v>57</v>
      </c>
      <c r="H135" s="1" t="s">
        <v>59</v>
      </c>
      <c r="I135" s="1" t="s">
        <v>43</v>
      </c>
      <c r="J135" s="1" t="s">
        <v>17</v>
      </c>
      <c r="K135" s="9">
        <v>0.1</v>
      </c>
    </row>
    <row r="136" spans="1:11" x14ac:dyDescent="0.3">
      <c r="A136" s="12">
        <v>45316</v>
      </c>
      <c r="B136" s="1" t="s">
        <v>902</v>
      </c>
      <c r="C136" s="1" t="s">
        <v>805</v>
      </c>
      <c r="D136" s="1" t="s">
        <v>46</v>
      </c>
      <c r="E136" s="7">
        <v>28557</v>
      </c>
      <c r="F136" s="1" t="s">
        <v>14</v>
      </c>
      <c r="G136" s="1">
        <v>294</v>
      </c>
      <c r="H136" s="1" t="s">
        <v>56</v>
      </c>
      <c r="I136" s="1" t="s">
        <v>48</v>
      </c>
      <c r="J136" s="1" t="s">
        <v>17</v>
      </c>
      <c r="K136" s="9">
        <v>0.1</v>
      </c>
    </row>
    <row r="137" spans="1:11" x14ac:dyDescent="0.3">
      <c r="A137" s="12">
        <v>45317</v>
      </c>
      <c r="B137" s="1" t="s">
        <v>140</v>
      </c>
      <c r="C137" s="1" t="s">
        <v>141</v>
      </c>
      <c r="D137" s="1" t="s">
        <v>83</v>
      </c>
      <c r="E137" s="7">
        <v>33896</v>
      </c>
      <c r="F137" s="1" t="s">
        <v>20</v>
      </c>
      <c r="G137" s="1">
        <v>271</v>
      </c>
      <c r="H137" s="1" t="s">
        <v>64</v>
      </c>
      <c r="I137" s="1" t="s">
        <v>52</v>
      </c>
      <c r="J137" s="1" t="s">
        <v>17</v>
      </c>
      <c r="K137" s="9">
        <v>0.1</v>
      </c>
    </row>
    <row r="138" spans="1:11" x14ac:dyDescent="0.3">
      <c r="A138" s="12">
        <v>45317</v>
      </c>
      <c r="B138" s="1" t="s">
        <v>200</v>
      </c>
      <c r="C138" s="1" t="s">
        <v>37</v>
      </c>
      <c r="D138" s="1" t="s">
        <v>55</v>
      </c>
      <c r="E138" s="7">
        <v>32690</v>
      </c>
      <c r="F138" s="1" t="s">
        <v>14</v>
      </c>
      <c r="G138" s="1">
        <v>274</v>
      </c>
      <c r="H138" s="1" t="s">
        <v>27</v>
      </c>
      <c r="I138" s="1" t="s">
        <v>39</v>
      </c>
      <c r="J138" s="1" t="s">
        <v>23</v>
      </c>
      <c r="K138" s="9">
        <v>0.1</v>
      </c>
    </row>
    <row r="139" spans="1:11" x14ac:dyDescent="0.3">
      <c r="A139" s="12">
        <v>45317</v>
      </c>
      <c r="B139" s="1" t="s">
        <v>30</v>
      </c>
      <c r="C139" s="1" t="s">
        <v>31</v>
      </c>
      <c r="D139" s="1" t="s">
        <v>13</v>
      </c>
      <c r="E139" s="7">
        <v>26964</v>
      </c>
      <c r="F139" s="1" t="s">
        <v>20</v>
      </c>
      <c r="G139" s="1">
        <v>410</v>
      </c>
      <c r="H139" s="1" t="s">
        <v>56</v>
      </c>
      <c r="I139" s="1" t="s">
        <v>52</v>
      </c>
      <c r="J139" s="1" t="s">
        <v>17</v>
      </c>
      <c r="K139" s="9">
        <v>0.1</v>
      </c>
    </row>
    <row r="140" spans="1:11" x14ac:dyDescent="0.3">
      <c r="A140" s="12">
        <v>45317</v>
      </c>
      <c r="B140" s="1" t="s">
        <v>855</v>
      </c>
      <c r="C140" s="1" t="s">
        <v>856</v>
      </c>
      <c r="D140" s="1" t="s">
        <v>26</v>
      </c>
      <c r="E140" s="7">
        <v>17499</v>
      </c>
      <c r="F140" s="1" t="s">
        <v>68</v>
      </c>
      <c r="G140" s="1">
        <v>70</v>
      </c>
      <c r="H140" s="1" t="s">
        <v>59</v>
      </c>
      <c r="I140" s="1" t="s">
        <v>48</v>
      </c>
      <c r="J140" s="1" t="s">
        <v>17</v>
      </c>
      <c r="K140" s="9">
        <v>0.1</v>
      </c>
    </row>
    <row r="141" spans="1:11" x14ac:dyDescent="0.3">
      <c r="A141" s="12">
        <v>45318</v>
      </c>
      <c r="B141" s="1" t="s">
        <v>180</v>
      </c>
      <c r="C141" s="1" t="s">
        <v>181</v>
      </c>
      <c r="D141" s="1" t="s">
        <v>13</v>
      </c>
      <c r="E141" s="7">
        <v>21226</v>
      </c>
      <c r="F141" s="1" t="s">
        <v>33</v>
      </c>
      <c r="G141" s="1">
        <v>221</v>
      </c>
      <c r="H141" s="1" t="s">
        <v>56</v>
      </c>
      <c r="I141" s="1" t="s">
        <v>35</v>
      </c>
      <c r="J141" s="1" t="s">
        <v>17</v>
      </c>
      <c r="K141" s="9">
        <v>0.1</v>
      </c>
    </row>
    <row r="142" spans="1:11" x14ac:dyDescent="0.3">
      <c r="A142" s="12">
        <v>45318</v>
      </c>
      <c r="B142" s="1" t="s">
        <v>371</v>
      </c>
      <c r="C142" s="1" t="s">
        <v>372</v>
      </c>
      <c r="D142" s="1" t="s">
        <v>26</v>
      </c>
      <c r="E142" s="7">
        <v>27887</v>
      </c>
      <c r="F142" s="1" t="s">
        <v>33</v>
      </c>
      <c r="G142" s="1">
        <v>67</v>
      </c>
      <c r="H142" s="1" t="s">
        <v>47</v>
      </c>
      <c r="I142" s="1" t="s">
        <v>52</v>
      </c>
      <c r="J142" s="1" t="s">
        <v>17</v>
      </c>
      <c r="K142" s="9">
        <v>0.1</v>
      </c>
    </row>
    <row r="143" spans="1:11" x14ac:dyDescent="0.3">
      <c r="A143" s="12">
        <v>45318</v>
      </c>
      <c r="B143" s="1" t="s">
        <v>534</v>
      </c>
      <c r="C143" s="1" t="s">
        <v>262</v>
      </c>
      <c r="D143" s="1" t="s">
        <v>78</v>
      </c>
      <c r="E143" s="7">
        <v>30915</v>
      </c>
      <c r="F143" s="1" t="s">
        <v>33</v>
      </c>
      <c r="G143" s="1">
        <v>455</v>
      </c>
      <c r="H143" s="1" t="s">
        <v>21</v>
      </c>
      <c r="I143" s="1" t="s">
        <v>52</v>
      </c>
      <c r="J143" s="1" t="s">
        <v>17</v>
      </c>
      <c r="K143" s="9">
        <v>0.1</v>
      </c>
    </row>
    <row r="144" spans="1:11" x14ac:dyDescent="0.3">
      <c r="A144" s="12">
        <v>45319</v>
      </c>
      <c r="B144" s="1" t="s">
        <v>167</v>
      </c>
      <c r="C144" s="1" t="s">
        <v>168</v>
      </c>
      <c r="D144" s="1" t="s">
        <v>71</v>
      </c>
      <c r="E144" s="7">
        <v>35412</v>
      </c>
      <c r="F144" s="1" t="s">
        <v>33</v>
      </c>
      <c r="G144" s="1">
        <v>481</v>
      </c>
      <c r="H144" s="1" t="s">
        <v>34</v>
      </c>
      <c r="I144" s="1" t="s">
        <v>52</v>
      </c>
      <c r="J144" s="1" t="s">
        <v>17</v>
      </c>
      <c r="K144" s="9">
        <v>0.1</v>
      </c>
    </row>
    <row r="145" spans="1:11" x14ac:dyDescent="0.3">
      <c r="A145" s="12">
        <v>45319</v>
      </c>
      <c r="B145" s="1" t="s">
        <v>154</v>
      </c>
      <c r="C145" s="1" t="s">
        <v>216</v>
      </c>
      <c r="D145" s="1" t="s">
        <v>26</v>
      </c>
      <c r="E145" s="7">
        <v>18192</v>
      </c>
      <c r="F145" s="1" t="s">
        <v>20</v>
      </c>
      <c r="G145" s="1">
        <v>376</v>
      </c>
      <c r="H145" s="1" t="s">
        <v>21</v>
      </c>
      <c r="I145" s="1" t="s">
        <v>28</v>
      </c>
      <c r="J145" s="1" t="s">
        <v>29</v>
      </c>
      <c r="K145" s="9">
        <v>0.1</v>
      </c>
    </row>
    <row r="146" spans="1:11" x14ac:dyDescent="0.3">
      <c r="A146" s="12">
        <v>45319</v>
      </c>
      <c r="B146" s="1" t="s">
        <v>200</v>
      </c>
      <c r="C146" s="1" t="s">
        <v>110</v>
      </c>
      <c r="D146" s="1" t="s">
        <v>71</v>
      </c>
      <c r="E146" s="7">
        <v>23194</v>
      </c>
      <c r="F146" s="1" t="s">
        <v>68</v>
      </c>
      <c r="G146" s="1">
        <v>225</v>
      </c>
      <c r="H146" s="1" t="s">
        <v>27</v>
      </c>
      <c r="I146" s="1" t="s">
        <v>52</v>
      </c>
      <c r="J146" s="1" t="s">
        <v>23</v>
      </c>
      <c r="K146" s="9">
        <v>0.1</v>
      </c>
    </row>
    <row r="147" spans="1:11" x14ac:dyDescent="0.3">
      <c r="A147" s="12">
        <v>45319</v>
      </c>
      <c r="B147" s="1" t="s">
        <v>551</v>
      </c>
      <c r="C147" s="1" t="s">
        <v>552</v>
      </c>
      <c r="D147" s="1" t="s">
        <v>83</v>
      </c>
      <c r="E147" s="7">
        <v>31441</v>
      </c>
      <c r="F147" s="1" t="s">
        <v>20</v>
      </c>
      <c r="G147" s="1">
        <v>251</v>
      </c>
      <c r="H147" s="1" t="s">
        <v>15</v>
      </c>
      <c r="I147" s="1" t="s">
        <v>52</v>
      </c>
      <c r="J147" s="1" t="s">
        <v>17</v>
      </c>
      <c r="K147" s="9">
        <v>0.1</v>
      </c>
    </row>
    <row r="148" spans="1:11" x14ac:dyDescent="0.3">
      <c r="A148" s="12">
        <v>45319</v>
      </c>
      <c r="B148" s="1" t="s">
        <v>707</v>
      </c>
      <c r="C148" s="1" t="s">
        <v>329</v>
      </c>
      <c r="D148" s="1" t="s">
        <v>55</v>
      </c>
      <c r="E148" s="7">
        <v>28872</v>
      </c>
      <c r="F148" s="1" t="s">
        <v>14</v>
      </c>
      <c r="G148" s="1">
        <v>131</v>
      </c>
      <c r="H148" s="1" t="s">
        <v>21</v>
      </c>
      <c r="I148" s="1" t="s">
        <v>48</v>
      </c>
      <c r="J148" s="1" t="s">
        <v>17</v>
      </c>
      <c r="K148" s="9">
        <v>0.1</v>
      </c>
    </row>
    <row r="149" spans="1:11" x14ac:dyDescent="0.3">
      <c r="A149" s="12">
        <v>45319</v>
      </c>
      <c r="B149" s="1" t="s">
        <v>403</v>
      </c>
      <c r="C149" s="1" t="s">
        <v>759</v>
      </c>
      <c r="D149" s="1" t="s">
        <v>32</v>
      </c>
      <c r="E149" s="7">
        <v>21749</v>
      </c>
      <c r="F149" s="1" t="s">
        <v>20</v>
      </c>
      <c r="G149" s="1">
        <v>361</v>
      </c>
      <c r="H149" s="1" t="s">
        <v>64</v>
      </c>
      <c r="I149" s="1" t="s">
        <v>52</v>
      </c>
      <c r="J149" s="1" t="s">
        <v>17</v>
      </c>
      <c r="K149" s="9">
        <v>0.1</v>
      </c>
    </row>
    <row r="150" spans="1:11" x14ac:dyDescent="0.3">
      <c r="A150" s="12">
        <v>45319</v>
      </c>
      <c r="B150" s="1" t="s">
        <v>76</v>
      </c>
      <c r="C150" s="1" t="s">
        <v>898</v>
      </c>
      <c r="D150" s="1" t="s">
        <v>26</v>
      </c>
      <c r="E150" s="7">
        <v>18018</v>
      </c>
      <c r="F150" s="1" t="s">
        <v>33</v>
      </c>
      <c r="G150" s="1">
        <v>188</v>
      </c>
      <c r="H150" s="1" t="s">
        <v>64</v>
      </c>
      <c r="I150" s="1" t="s">
        <v>28</v>
      </c>
      <c r="J150" s="1" t="s">
        <v>17</v>
      </c>
      <c r="K150" s="9">
        <v>0.1</v>
      </c>
    </row>
    <row r="151" spans="1:11" x14ac:dyDescent="0.3">
      <c r="A151" s="12">
        <v>45320</v>
      </c>
      <c r="B151" s="1" t="s">
        <v>274</v>
      </c>
      <c r="C151" s="1" t="s">
        <v>255</v>
      </c>
      <c r="D151" s="1" t="s">
        <v>26</v>
      </c>
      <c r="E151" s="7">
        <v>36686</v>
      </c>
      <c r="F151" s="1" t="s">
        <v>20</v>
      </c>
      <c r="G151" s="1">
        <v>440</v>
      </c>
      <c r="H151" s="1" t="s">
        <v>15</v>
      </c>
      <c r="I151" s="1" t="s">
        <v>43</v>
      </c>
      <c r="J151" s="1" t="s">
        <v>17</v>
      </c>
      <c r="K151" s="9">
        <v>0.1</v>
      </c>
    </row>
    <row r="152" spans="1:11" x14ac:dyDescent="0.3">
      <c r="A152" s="12">
        <v>45320</v>
      </c>
      <c r="B152" s="1" t="s">
        <v>314</v>
      </c>
      <c r="C152" s="1" t="s">
        <v>120</v>
      </c>
      <c r="D152" s="1" t="s">
        <v>71</v>
      </c>
      <c r="E152" s="7">
        <v>23807</v>
      </c>
      <c r="F152" s="1" t="s">
        <v>68</v>
      </c>
      <c r="G152" s="1">
        <v>18</v>
      </c>
      <c r="H152" s="1" t="s">
        <v>59</v>
      </c>
      <c r="I152" s="1" t="s">
        <v>28</v>
      </c>
      <c r="J152" s="1" t="s">
        <v>17</v>
      </c>
      <c r="K152" s="9">
        <v>0.1</v>
      </c>
    </row>
    <row r="153" spans="1:11" x14ac:dyDescent="0.3">
      <c r="A153" s="12">
        <v>45320</v>
      </c>
      <c r="B153" s="1" t="s">
        <v>200</v>
      </c>
      <c r="C153" s="1" t="s">
        <v>647</v>
      </c>
      <c r="D153" s="1" t="s">
        <v>13</v>
      </c>
      <c r="E153" s="7">
        <v>21232</v>
      </c>
      <c r="F153" s="1" t="s">
        <v>20</v>
      </c>
      <c r="G153" s="1">
        <v>390</v>
      </c>
      <c r="H153" s="1" t="s">
        <v>15</v>
      </c>
      <c r="I153" s="1" t="s">
        <v>35</v>
      </c>
      <c r="J153" s="1" t="s">
        <v>23</v>
      </c>
      <c r="K153" s="9">
        <v>0.1</v>
      </c>
    </row>
    <row r="154" spans="1:11" x14ac:dyDescent="0.3">
      <c r="A154" s="12">
        <v>45320</v>
      </c>
      <c r="B154" s="1" t="s">
        <v>686</v>
      </c>
      <c r="C154" s="1" t="s">
        <v>295</v>
      </c>
      <c r="D154" s="1" t="s">
        <v>51</v>
      </c>
      <c r="E154" s="7">
        <v>36359</v>
      </c>
      <c r="F154" s="1" t="s">
        <v>33</v>
      </c>
      <c r="G154" s="1">
        <v>447</v>
      </c>
      <c r="H154" s="1" t="s">
        <v>42</v>
      </c>
      <c r="I154" s="1" t="s">
        <v>52</v>
      </c>
      <c r="J154" s="1" t="s">
        <v>17</v>
      </c>
      <c r="K154" s="9">
        <v>0.1</v>
      </c>
    </row>
    <row r="155" spans="1:11" x14ac:dyDescent="0.3">
      <c r="A155" s="12">
        <v>45320</v>
      </c>
      <c r="B155" s="1" t="s">
        <v>690</v>
      </c>
      <c r="C155" s="1" t="s">
        <v>406</v>
      </c>
      <c r="D155" s="1" t="s">
        <v>71</v>
      </c>
      <c r="E155" s="7">
        <v>23915</v>
      </c>
      <c r="F155" s="1" t="s">
        <v>20</v>
      </c>
      <c r="G155" s="1">
        <v>243</v>
      </c>
      <c r="H155" s="1" t="s">
        <v>34</v>
      </c>
      <c r="I155" s="1" t="s">
        <v>28</v>
      </c>
      <c r="J155" s="1" t="s">
        <v>17</v>
      </c>
      <c r="K155" s="9">
        <v>0.1</v>
      </c>
    </row>
    <row r="156" spans="1:11" x14ac:dyDescent="0.3">
      <c r="A156" s="12">
        <v>45320</v>
      </c>
      <c r="B156" s="1" t="s">
        <v>737</v>
      </c>
      <c r="C156" s="1" t="s">
        <v>738</v>
      </c>
      <c r="D156" s="1" t="s">
        <v>83</v>
      </c>
      <c r="E156" s="7">
        <v>30327</v>
      </c>
      <c r="F156" s="1" t="s">
        <v>68</v>
      </c>
      <c r="G156" s="1">
        <v>456</v>
      </c>
      <c r="H156" s="1" t="s">
        <v>42</v>
      </c>
      <c r="I156" s="1" t="s">
        <v>52</v>
      </c>
      <c r="J156" s="1" t="s">
        <v>17</v>
      </c>
      <c r="K156" s="9">
        <v>0.1</v>
      </c>
    </row>
    <row r="157" spans="1:11" x14ac:dyDescent="0.3">
      <c r="A157" s="12">
        <v>45320</v>
      </c>
      <c r="B157" s="1" t="s">
        <v>508</v>
      </c>
      <c r="C157" s="1" t="s">
        <v>533</v>
      </c>
      <c r="D157" s="1" t="s">
        <v>83</v>
      </c>
      <c r="E157" s="7">
        <v>32198</v>
      </c>
      <c r="F157" s="1" t="s">
        <v>33</v>
      </c>
      <c r="G157" s="1">
        <v>383</v>
      </c>
      <c r="H157" s="1" t="s">
        <v>59</v>
      </c>
      <c r="I157" s="1" t="s">
        <v>52</v>
      </c>
      <c r="J157" s="1" t="s">
        <v>17</v>
      </c>
      <c r="K157" s="9">
        <v>0.1</v>
      </c>
    </row>
    <row r="158" spans="1:11" x14ac:dyDescent="0.3">
      <c r="A158" s="12">
        <v>45320</v>
      </c>
      <c r="B158" s="1" t="s">
        <v>233</v>
      </c>
      <c r="C158" s="1" t="s">
        <v>639</v>
      </c>
      <c r="D158" s="1" t="s">
        <v>26</v>
      </c>
      <c r="E158" s="7">
        <v>22854</v>
      </c>
      <c r="F158" s="1" t="s">
        <v>33</v>
      </c>
      <c r="G158" s="1">
        <v>94</v>
      </c>
      <c r="H158" s="1" t="s">
        <v>21</v>
      </c>
      <c r="I158" s="1" t="s">
        <v>52</v>
      </c>
      <c r="J158" s="1" t="s">
        <v>17</v>
      </c>
      <c r="K158" s="9">
        <v>0.1</v>
      </c>
    </row>
    <row r="159" spans="1:11" x14ac:dyDescent="0.3">
      <c r="A159" s="12">
        <v>45321</v>
      </c>
      <c r="B159" s="1" t="s">
        <v>57</v>
      </c>
      <c r="C159" s="1" t="s">
        <v>58</v>
      </c>
      <c r="D159" s="1" t="s">
        <v>13</v>
      </c>
      <c r="E159" s="7">
        <v>24246</v>
      </c>
      <c r="F159" s="1" t="s">
        <v>20</v>
      </c>
      <c r="G159" s="1">
        <v>220</v>
      </c>
      <c r="H159" s="1" t="s">
        <v>27</v>
      </c>
      <c r="I159" s="1" t="s">
        <v>35</v>
      </c>
      <c r="J159" s="1" t="s">
        <v>29</v>
      </c>
      <c r="K159" s="9">
        <v>0.1</v>
      </c>
    </row>
    <row r="160" spans="1:11" x14ac:dyDescent="0.3">
      <c r="A160" s="12">
        <v>45321</v>
      </c>
      <c r="B160" s="1" t="s">
        <v>69</v>
      </c>
      <c r="C160" s="1" t="s">
        <v>198</v>
      </c>
      <c r="D160" s="1" t="s">
        <v>32</v>
      </c>
      <c r="E160" s="7">
        <v>26530</v>
      </c>
      <c r="F160" s="1" t="s">
        <v>68</v>
      </c>
      <c r="G160" s="1">
        <v>59</v>
      </c>
      <c r="H160" s="1" t="s">
        <v>34</v>
      </c>
      <c r="I160" s="1" t="s">
        <v>52</v>
      </c>
      <c r="J160" s="1" t="s">
        <v>17</v>
      </c>
      <c r="K160" s="9">
        <v>0.1</v>
      </c>
    </row>
    <row r="161" spans="1:11" x14ac:dyDescent="0.3">
      <c r="A161" s="12">
        <v>45321</v>
      </c>
      <c r="B161" s="1" t="s">
        <v>199</v>
      </c>
      <c r="C161" s="1" t="s">
        <v>153</v>
      </c>
      <c r="D161" s="1" t="s">
        <v>46</v>
      </c>
      <c r="E161" s="7">
        <v>27299</v>
      </c>
      <c r="F161" s="1" t="s">
        <v>68</v>
      </c>
      <c r="G161" s="1">
        <v>258</v>
      </c>
      <c r="H161" s="1" t="s">
        <v>64</v>
      </c>
      <c r="I161" s="1" t="s">
        <v>28</v>
      </c>
      <c r="J161" s="1" t="s">
        <v>17</v>
      </c>
      <c r="K161" s="9">
        <v>0.1</v>
      </c>
    </row>
    <row r="162" spans="1:11" x14ac:dyDescent="0.3">
      <c r="A162" s="12">
        <v>45322</v>
      </c>
      <c r="B162" s="1" t="s">
        <v>184</v>
      </c>
      <c r="C162" s="1" t="s">
        <v>185</v>
      </c>
      <c r="D162" s="1" t="s">
        <v>83</v>
      </c>
      <c r="E162" s="7">
        <v>22412</v>
      </c>
      <c r="F162" s="1" t="s">
        <v>68</v>
      </c>
      <c r="G162" s="1">
        <v>216</v>
      </c>
      <c r="H162" s="1" t="s">
        <v>21</v>
      </c>
      <c r="I162" s="1" t="s">
        <v>48</v>
      </c>
      <c r="J162" s="1" t="s">
        <v>17</v>
      </c>
      <c r="K162" s="9">
        <v>0.1</v>
      </c>
    </row>
    <row r="163" spans="1:11" x14ac:dyDescent="0.3">
      <c r="A163" s="12">
        <v>45322</v>
      </c>
      <c r="B163" s="1" t="s">
        <v>49</v>
      </c>
      <c r="C163" s="1" t="s">
        <v>196</v>
      </c>
      <c r="D163" s="1" t="s">
        <v>94</v>
      </c>
      <c r="E163" s="7">
        <v>38291</v>
      </c>
      <c r="F163" s="1" t="s">
        <v>68</v>
      </c>
      <c r="G163" s="1">
        <v>340</v>
      </c>
      <c r="H163" s="1" t="s">
        <v>21</v>
      </c>
      <c r="I163" s="1" t="s">
        <v>52</v>
      </c>
      <c r="J163" s="1" t="s">
        <v>17</v>
      </c>
      <c r="K163" s="9">
        <v>0.1</v>
      </c>
    </row>
    <row r="164" spans="1:11" x14ac:dyDescent="0.3">
      <c r="A164" s="12">
        <v>45322</v>
      </c>
      <c r="B164" s="1" t="s">
        <v>316</v>
      </c>
      <c r="C164" s="1" t="s">
        <v>317</v>
      </c>
      <c r="D164" s="1" t="s">
        <v>78</v>
      </c>
      <c r="E164" s="7">
        <v>15974</v>
      </c>
      <c r="F164" s="1" t="s">
        <v>20</v>
      </c>
      <c r="G164" s="1">
        <v>205</v>
      </c>
      <c r="H164" s="1" t="s">
        <v>21</v>
      </c>
      <c r="I164" s="1" t="s">
        <v>52</v>
      </c>
      <c r="J164" s="1" t="s">
        <v>29</v>
      </c>
      <c r="K164" s="9">
        <v>0.1</v>
      </c>
    </row>
    <row r="165" spans="1:11" x14ac:dyDescent="0.3">
      <c r="A165" s="12">
        <v>45322</v>
      </c>
      <c r="B165" s="1" t="s">
        <v>397</v>
      </c>
      <c r="C165" s="1" t="s">
        <v>398</v>
      </c>
      <c r="D165" s="1" t="s">
        <v>83</v>
      </c>
      <c r="E165" s="7">
        <v>38111</v>
      </c>
      <c r="F165" s="1" t="s">
        <v>68</v>
      </c>
      <c r="G165" s="1">
        <v>39</v>
      </c>
      <c r="H165" s="1" t="s">
        <v>47</v>
      </c>
      <c r="I165" s="1" t="s">
        <v>28</v>
      </c>
      <c r="J165" s="1" t="s">
        <v>17</v>
      </c>
      <c r="K165" s="9">
        <v>0.1</v>
      </c>
    </row>
    <row r="166" spans="1:11" x14ac:dyDescent="0.3">
      <c r="A166" s="12">
        <v>45322</v>
      </c>
      <c r="B166" s="1" t="s">
        <v>438</v>
      </c>
      <c r="C166" s="1" t="s">
        <v>439</v>
      </c>
      <c r="D166" s="1" t="s">
        <v>94</v>
      </c>
      <c r="E166" s="7">
        <v>37651</v>
      </c>
      <c r="F166" s="1" t="s">
        <v>14</v>
      </c>
      <c r="G166" s="1">
        <v>134</v>
      </c>
      <c r="H166" s="1" t="s">
        <v>65</v>
      </c>
      <c r="I166" s="1" t="s">
        <v>52</v>
      </c>
      <c r="J166" s="1" t="s">
        <v>17</v>
      </c>
      <c r="K166" s="9">
        <v>0.1</v>
      </c>
    </row>
    <row r="167" spans="1:11" x14ac:dyDescent="0.3">
      <c r="A167" s="12">
        <v>45322</v>
      </c>
      <c r="B167" s="1" t="s">
        <v>620</v>
      </c>
      <c r="C167" s="1" t="s">
        <v>329</v>
      </c>
      <c r="D167" s="1" t="s">
        <v>83</v>
      </c>
      <c r="E167" s="7">
        <v>16513</v>
      </c>
      <c r="F167" s="1" t="s">
        <v>33</v>
      </c>
      <c r="G167" s="1">
        <v>388</v>
      </c>
      <c r="H167" s="1" t="s">
        <v>59</v>
      </c>
      <c r="I167" s="1" t="s">
        <v>28</v>
      </c>
      <c r="J167" s="1" t="s">
        <v>17</v>
      </c>
      <c r="K167" s="9">
        <v>0.1</v>
      </c>
    </row>
    <row r="168" spans="1:11" x14ac:dyDescent="0.3">
      <c r="A168" s="12">
        <v>45322</v>
      </c>
      <c r="B168" s="1" t="s">
        <v>186</v>
      </c>
      <c r="C168" s="1" t="s">
        <v>718</v>
      </c>
      <c r="D168" s="1" t="s">
        <v>71</v>
      </c>
      <c r="E168" s="7">
        <v>33792</v>
      </c>
      <c r="F168" s="1" t="s">
        <v>14</v>
      </c>
      <c r="G168" s="1">
        <v>344</v>
      </c>
      <c r="H168" s="1" t="s">
        <v>21</v>
      </c>
      <c r="I168" s="1" t="s">
        <v>43</v>
      </c>
      <c r="J168" s="1" t="s">
        <v>17</v>
      </c>
      <c r="K168" s="9">
        <v>0.1</v>
      </c>
    </row>
    <row r="169" spans="1:11" x14ac:dyDescent="0.3">
      <c r="A169" s="12">
        <v>45323</v>
      </c>
      <c r="B169" s="1" t="s">
        <v>156</v>
      </c>
      <c r="C169" s="1" t="s">
        <v>157</v>
      </c>
      <c r="D169" s="1" t="s">
        <v>26</v>
      </c>
      <c r="E169" s="7">
        <v>38514</v>
      </c>
      <c r="F169" s="1" t="s">
        <v>14</v>
      </c>
      <c r="G169" s="1">
        <v>116</v>
      </c>
      <c r="H169" s="1" t="s">
        <v>59</v>
      </c>
      <c r="I169" s="1" t="s">
        <v>39</v>
      </c>
      <c r="J169" s="1" t="s">
        <v>17</v>
      </c>
      <c r="K169" s="9">
        <v>0.1</v>
      </c>
    </row>
    <row r="170" spans="1:11" x14ac:dyDescent="0.3">
      <c r="A170" s="12">
        <v>45323</v>
      </c>
      <c r="B170" s="1" t="s">
        <v>66</v>
      </c>
      <c r="C170" s="1" t="s">
        <v>238</v>
      </c>
      <c r="D170" s="1" t="s">
        <v>83</v>
      </c>
      <c r="E170" s="7">
        <v>22472</v>
      </c>
      <c r="F170" s="1" t="s">
        <v>14</v>
      </c>
      <c r="G170" s="1">
        <v>390</v>
      </c>
      <c r="H170" s="1" t="s">
        <v>65</v>
      </c>
      <c r="I170" s="1" t="s">
        <v>48</v>
      </c>
      <c r="J170" s="1" t="s">
        <v>17</v>
      </c>
      <c r="K170" s="9">
        <v>0.1</v>
      </c>
    </row>
    <row r="171" spans="1:11" x14ac:dyDescent="0.3">
      <c r="A171" s="12">
        <v>45323</v>
      </c>
      <c r="B171" s="1" t="s">
        <v>429</v>
      </c>
      <c r="C171" s="1" t="s">
        <v>581</v>
      </c>
      <c r="D171" s="1" t="s">
        <v>83</v>
      </c>
      <c r="E171" s="7">
        <v>17370</v>
      </c>
      <c r="F171" s="1" t="s">
        <v>33</v>
      </c>
      <c r="G171" s="1">
        <v>469</v>
      </c>
      <c r="H171" s="1" t="s">
        <v>59</v>
      </c>
      <c r="I171" s="1" t="s">
        <v>52</v>
      </c>
      <c r="J171" s="1" t="s">
        <v>17</v>
      </c>
      <c r="K171" s="9">
        <v>0.1</v>
      </c>
    </row>
    <row r="172" spans="1:11" x14ac:dyDescent="0.3">
      <c r="A172" s="12">
        <v>45323</v>
      </c>
      <c r="B172" s="1" t="s">
        <v>642</v>
      </c>
      <c r="C172" s="1" t="s">
        <v>643</v>
      </c>
      <c r="D172" s="1" t="s">
        <v>78</v>
      </c>
      <c r="E172" s="7">
        <v>19201</v>
      </c>
      <c r="F172" s="1" t="s">
        <v>68</v>
      </c>
      <c r="G172" s="1">
        <v>486</v>
      </c>
      <c r="H172" s="1" t="s">
        <v>47</v>
      </c>
      <c r="I172" s="1" t="s">
        <v>52</v>
      </c>
      <c r="J172" s="1" t="s">
        <v>17</v>
      </c>
      <c r="K172" s="9">
        <v>0.1</v>
      </c>
    </row>
    <row r="173" spans="1:11" x14ac:dyDescent="0.3">
      <c r="A173" s="12">
        <v>45323</v>
      </c>
      <c r="B173" s="1" t="s">
        <v>198</v>
      </c>
      <c r="C173" s="1" t="s">
        <v>388</v>
      </c>
      <c r="D173" s="1" t="s">
        <v>94</v>
      </c>
      <c r="E173" s="7">
        <v>27527</v>
      </c>
      <c r="F173" s="1" t="s">
        <v>14</v>
      </c>
      <c r="G173" s="1">
        <v>207</v>
      </c>
      <c r="H173" s="1" t="s">
        <v>64</v>
      </c>
      <c r="I173" s="1" t="s">
        <v>43</v>
      </c>
      <c r="J173" s="1" t="s">
        <v>17</v>
      </c>
      <c r="K173" s="9">
        <v>0.1</v>
      </c>
    </row>
    <row r="174" spans="1:11" x14ac:dyDescent="0.3">
      <c r="A174" s="12">
        <v>45324</v>
      </c>
      <c r="B174" s="1" t="s">
        <v>86</v>
      </c>
      <c r="C174" s="1" t="s">
        <v>63</v>
      </c>
      <c r="D174" s="1" t="s">
        <v>38</v>
      </c>
      <c r="E174" s="7">
        <v>35291</v>
      </c>
      <c r="F174" s="1" t="s">
        <v>14</v>
      </c>
      <c r="G174" s="1">
        <v>92</v>
      </c>
      <c r="H174" s="1" t="s">
        <v>15</v>
      </c>
      <c r="I174" s="1" t="s">
        <v>52</v>
      </c>
      <c r="J174" s="1" t="s">
        <v>17</v>
      </c>
      <c r="K174" s="9">
        <v>0.1</v>
      </c>
    </row>
    <row r="175" spans="1:11" x14ac:dyDescent="0.3">
      <c r="A175" s="12">
        <v>45324</v>
      </c>
      <c r="B175" s="1" t="s">
        <v>541</v>
      </c>
      <c r="C175" s="1" t="s">
        <v>542</v>
      </c>
      <c r="D175" s="1" t="s">
        <v>71</v>
      </c>
      <c r="E175" s="7">
        <v>36917</v>
      </c>
      <c r="F175" s="1" t="s">
        <v>68</v>
      </c>
      <c r="G175" s="1">
        <v>43</v>
      </c>
      <c r="H175" s="1" t="s">
        <v>27</v>
      </c>
      <c r="I175" s="1" t="s">
        <v>43</v>
      </c>
      <c r="J175" s="1" t="s">
        <v>17</v>
      </c>
      <c r="K175" s="9">
        <v>0.1</v>
      </c>
    </row>
    <row r="176" spans="1:11" x14ac:dyDescent="0.3">
      <c r="A176" s="12">
        <v>45324</v>
      </c>
      <c r="B176" s="1" t="s">
        <v>316</v>
      </c>
      <c r="C176" s="1" t="s">
        <v>153</v>
      </c>
      <c r="D176" s="1" t="s">
        <v>78</v>
      </c>
      <c r="E176" s="7">
        <v>19529</v>
      </c>
      <c r="F176" s="1" t="s">
        <v>68</v>
      </c>
      <c r="G176" s="1">
        <v>390</v>
      </c>
      <c r="H176" s="1" t="s">
        <v>64</v>
      </c>
      <c r="I176" s="1" t="s">
        <v>28</v>
      </c>
      <c r="J176" s="1" t="s">
        <v>17</v>
      </c>
      <c r="K176" s="9">
        <v>0.1</v>
      </c>
    </row>
    <row r="177" spans="1:11" x14ac:dyDescent="0.3">
      <c r="A177" s="12">
        <v>45324</v>
      </c>
      <c r="B177" s="1" t="s">
        <v>481</v>
      </c>
      <c r="C177" s="1" t="s">
        <v>67</v>
      </c>
      <c r="D177" s="1" t="s">
        <v>83</v>
      </c>
      <c r="E177" s="7">
        <v>31658</v>
      </c>
      <c r="F177" s="1" t="s">
        <v>20</v>
      </c>
      <c r="G177" s="1">
        <v>412</v>
      </c>
      <c r="H177" s="1" t="s">
        <v>56</v>
      </c>
      <c r="I177" s="1" t="s">
        <v>48</v>
      </c>
      <c r="J177" s="1" t="s">
        <v>17</v>
      </c>
      <c r="K177" s="9">
        <v>0.1</v>
      </c>
    </row>
    <row r="178" spans="1:11" x14ac:dyDescent="0.3">
      <c r="A178" s="12">
        <v>45324</v>
      </c>
      <c r="B178" s="1" t="s">
        <v>897</v>
      </c>
      <c r="C178" s="1" t="s">
        <v>533</v>
      </c>
      <c r="D178" s="1" t="s">
        <v>78</v>
      </c>
      <c r="E178" s="7">
        <v>28457</v>
      </c>
      <c r="F178" s="1" t="s">
        <v>68</v>
      </c>
      <c r="G178" s="1">
        <v>318</v>
      </c>
      <c r="H178" s="1" t="s">
        <v>65</v>
      </c>
      <c r="I178" s="1" t="s">
        <v>52</v>
      </c>
      <c r="J178" s="1" t="s">
        <v>17</v>
      </c>
      <c r="K178" s="9">
        <v>0.1</v>
      </c>
    </row>
    <row r="179" spans="1:11" x14ac:dyDescent="0.3">
      <c r="A179" s="12">
        <v>45325</v>
      </c>
      <c r="B179" s="1" t="s">
        <v>248</v>
      </c>
      <c r="C179" s="1" t="s">
        <v>544</v>
      </c>
      <c r="D179" s="1" t="s">
        <v>94</v>
      </c>
      <c r="E179" s="7">
        <v>27174</v>
      </c>
      <c r="F179" s="1" t="s">
        <v>33</v>
      </c>
      <c r="G179" s="1">
        <v>313</v>
      </c>
      <c r="H179" s="1" t="s">
        <v>47</v>
      </c>
      <c r="I179" s="1" t="s">
        <v>52</v>
      </c>
      <c r="J179" s="1" t="s">
        <v>17</v>
      </c>
      <c r="K179" s="9">
        <v>0.1</v>
      </c>
    </row>
    <row r="180" spans="1:11" x14ac:dyDescent="0.3">
      <c r="A180" s="12">
        <v>45325</v>
      </c>
      <c r="B180" s="1" t="s">
        <v>502</v>
      </c>
      <c r="C180" s="1" t="s">
        <v>415</v>
      </c>
      <c r="D180" s="1" t="s">
        <v>71</v>
      </c>
      <c r="E180" s="7">
        <v>18424</v>
      </c>
      <c r="F180" s="1" t="s">
        <v>14</v>
      </c>
      <c r="G180" s="1">
        <v>415</v>
      </c>
      <c r="H180" s="1" t="s">
        <v>21</v>
      </c>
      <c r="I180" s="1" t="s">
        <v>48</v>
      </c>
      <c r="J180" s="1" t="s">
        <v>17</v>
      </c>
      <c r="K180" s="9">
        <v>0.1</v>
      </c>
    </row>
    <row r="181" spans="1:11" x14ac:dyDescent="0.3">
      <c r="A181" s="12">
        <v>45325</v>
      </c>
      <c r="B181" s="1" t="s">
        <v>674</v>
      </c>
      <c r="C181" s="1" t="s">
        <v>506</v>
      </c>
      <c r="D181" s="1" t="s">
        <v>78</v>
      </c>
      <c r="E181" s="7">
        <v>31204</v>
      </c>
      <c r="F181" s="1" t="s">
        <v>33</v>
      </c>
      <c r="G181" s="1">
        <v>314</v>
      </c>
      <c r="H181" s="1" t="s">
        <v>56</v>
      </c>
      <c r="I181" s="1" t="s">
        <v>39</v>
      </c>
      <c r="J181" s="1" t="s">
        <v>17</v>
      </c>
      <c r="K181" s="9">
        <v>0.1</v>
      </c>
    </row>
    <row r="182" spans="1:11" x14ac:dyDescent="0.3">
      <c r="A182" s="12">
        <v>45326</v>
      </c>
      <c r="B182" s="1" t="s">
        <v>69</v>
      </c>
      <c r="C182" s="1" t="s">
        <v>361</v>
      </c>
      <c r="D182" s="1" t="s">
        <v>51</v>
      </c>
      <c r="E182" s="7">
        <v>32653</v>
      </c>
      <c r="F182" s="1" t="s">
        <v>20</v>
      </c>
      <c r="G182" s="1">
        <v>297</v>
      </c>
      <c r="H182" s="1" t="s">
        <v>15</v>
      </c>
      <c r="I182" s="1" t="s">
        <v>48</v>
      </c>
      <c r="J182" s="1" t="s">
        <v>17</v>
      </c>
      <c r="K182" s="9">
        <v>0.1</v>
      </c>
    </row>
    <row r="183" spans="1:11" x14ac:dyDescent="0.3">
      <c r="A183" s="12">
        <v>45326</v>
      </c>
      <c r="B183" s="1" t="s">
        <v>36</v>
      </c>
      <c r="C183" s="1" t="s">
        <v>225</v>
      </c>
      <c r="D183" s="1" t="s">
        <v>55</v>
      </c>
      <c r="E183" s="7">
        <v>18184</v>
      </c>
      <c r="F183" s="1" t="s">
        <v>68</v>
      </c>
      <c r="G183" s="1">
        <v>99</v>
      </c>
      <c r="H183" s="1" t="s">
        <v>15</v>
      </c>
      <c r="I183" s="1" t="s">
        <v>43</v>
      </c>
      <c r="J183" s="1" t="s">
        <v>23</v>
      </c>
      <c r="K183" s="9">
        <v>0.1</v>
      </c>
    </row>
    <row r="184" spans="1:11" x14ac:dyDescent="0.3">
      <c r="A184" s="12">
        <v>45327</v>
      </c>
      <c r="B184" s="1" t="s">
        <v>292</v>
      </c>
      <c r="C184" s="1" t="s">
        <v>293</v>
      </c>
      <c r="D184" s="1" t="s">
        <v>51</v>
      </c>
      <c r="E184" s="7">
        <v>23325</v>
      </c>
      <c r="F184" s="1" t="s">
        <v>68</v>
      </c>
      <c r="G184" s="1">
        <v>320</v>
      </c>
      <c r="H184" s="1" t="s">
        <v>15</v>
      </c>
      <c r="I184" s="1" t="s">
        <v>52</v>
      </c>
      <c r="J184" s="1" t="s">
        <v>17</v>
      </c>
      <c r="K184" s="9">
        <v>0.1</v>
      </c>
    </row>
    <row r="185" spans="1:11" x14ac:dyDescent="0.3">
      <c r="A185" s="12">
        <v>45327</v>
      </c>
      <c r="B185" s="1" t="s">
        <v>119</v>
      </c>
      <c r="C185" s="1" t="s">
        <v>162</v>
      </c>
      <c r="D185" s="1" t="s">
        <v>46</v>
      </c>
      <c r="E185" s="7">
        <v>32694</v>
      </c>
      <c r="F185" s="1" t="s">
        <v>33</v>
      </c>
      <c r="G185" s="1">
        <v>457</v>
      </c>
      <c r="H185" s="1" t="s">
        <v>15</v>
      </c>
      <c r="I185" s="1" t="s">
        <v>52</v>
      </c>
      <c r="J185" s="1" t="s">
        <v>17</v>
      </c>
      <c r="K185" s="9">
        <v>0.1</v>
      </c>
    </row>
    <row r="186" spans="1:11" x14ac:dyDescent="0.3">
      <c r="A186" s="12">
        <v>45327</v>
      </c>
      <c r="B186" s="1" t="s">
        <v>675</v>
      </c>
      <c r="C186" s="1" t="s">
        <v>511</v>
      </c>
      <c r="D186" s="1" t="s">
        <v>38</v>
      </c>
      <c r="E186" s="7">
        <v>16389</v>
      </c>
      <c r="F186" s="1" t="s">
        <v>33</v>
      </c>
      <c r="G186" s="1">
        <v>407</v>
      </c>
      <c r="H186" s="1" t="s">
        <v>64</v>
      </c>
      <c r="I186" s="1" t="s">
        <v>52</v>
      </c>
      <c r="J186" s="1" t="s">
        <v>17</v>
      </c>
      <c r="K186" s="9">
        <v>0.1</v>
      </c>
    </row>
    <row r="187" spans="1:11" x14ac:dyDescent="0.3">
      <c r="A187" s="12">
        <v>45328</v>
      </c>
      <c r="B187" s="1" t="s">
        <v>152</v>
      </c>
      <c r="C187" s="1" t="s">
        <v>153</v>
      </c>
      <c r="D187" s="1" t="s">
        <v>26</v>
      </c>
      <c r="E187" s="7">
        <v>28992</v>
      </c>
      <c r="F187" s="1" t="s">
        <v>20</v>
      </c>
      <c r="G187" s="1">
        <v>364</v>
      </c>
      <c r="H187" s="1" t="s">
        <v>65</v>
      </c>
      <c r="I187" s="1" t="s">
        <v>28</v>
      </c>
      <c r="J187" s="1" t="s">
        <v>29</v>
      </c>
      <c r="K187" s="9">
        <v>0.1</v>
      </c>
    </row>
    <row r="188" spans="1:11" x14ac:dyDescent="0.3">
      <c r="A188" s="12">
        <v>45328</v>
      </c>
      <c r="B188" s="1" t="s">
        <v>416</v>
      </c>
      <c r="C188" s="1" t="s">
        <v>271</v>
      </c>
      <c r="D188" s="1" t="s">
        <v>55</v>
      </c>
      <c r="E188" s="7">
        <v>20979</v>
      </c>
      <c r="F188" s="1" t="s">
        <v>33</v>
      </c>
      <c r="G188" s="1">
        <v>11</v>
      </c>
      <c r="H188" s="1" t="s">
        <v>47</v>
      </c>
      <c r="I188" s="1" t="s">
        <v>52</v>
      </c>
      <c r="J188" s="1" t="s">
        <v>17</v>
      </c>
      <c r="K188" s="9">
        <v>0.1</v>
      </c>
    </row>
    <row r="189" spans="1:11" x14ac:dyDescent="0.3">
      <c r="A189" s="12">
        <v>45328</v>
      </c>
      <c r="B189" s="1" t="s">
        <v>426</v>
      </c>
      <c r="C189" s="1" t="s">
        <v>287</v>
      </c>
      <c r="D189" s="1" t="s">
        <v>38</v>
      </c>
      <c r="E189" s="7">
        <v>21186</v>
      </c>
      <c r="F189" s="1" t="s">
        <v>20</v>
      </c>
      <c r="G189" s="1">
        <v>119</v>
      </c>
      <c r="H189" s="1" t="s">
        <v>59</v>
      </c>
      <c r="I189" s="1" t="s">
        <v>52</v>
      </c>
      <c r="J189" s="1" t="s">
        <v>17</v>
      </c>
      <c r="K189" s="9">
        <v>0.1</v>
      </c>
    </row>
    <row r="190" spans="1:11" x14ac:dyDescent="0.3">
      <c r="A190" s="12">
        <v>45328</v>
      </c>
      <c r="B190" s="1" t="s">
        <v>555</v>
      </c>
      <c r="C190" s="1" t="s">
        <v>556</v>
      </c>
      <c r="D190" s="1" t="s">
        <v>13</v>
      </c>
      <c r="E190" s="7">
        <v>36601</v>
      </c>
      <c r="F190" s="1" t="s">
        <v>68</v>
      </c>
      <c r="G190" s="1">
        <v>355</v>
      </c>
      <c r="H190" s="1" t="s">
        <v>56</v>
      </c>
      <c r="I190" s="1" t="s">
        <v>52</v>
      </c>
      <c r="J190" s="1" t="s">
        <v>17</v>
      </c>
      <c r="K190" s="9">
        <v>0.1</v>
      </c>
    </row>
    <row r="191" spans="1:11" x14ac:dyDescent="0.3">
      <c r="A191" s="12">
        <v>45328</v>
      </c>
      <c r="B191" s="1" t="s">
        <v>569</v>
      </c>
      <c r="C191" s="1" t="s">
        <v>604</v>
      </c>
      <c r="D191" s="1" t="s">
        <v>32</v>
      </c>
      <c r="E191" s="7">
        <v>30599</v>
      </c>
      <c r="F191" s="1" t="s">
        <v>33</v>
      </c>
      <c r="G191" s="1">
        <v>273</v>
      </c>
      <c r="H191" s="1" t="s">
        <v>42</v>
      </c>
      <c r="I191" s="1" t="s">
        <v>39</v>
      </c>
      <c r="J191" s="1" t="s">
        <v>23</v>
      </c>
      <c r="K191" s="9">
        <v>0.1</v>
      </c>
    </row>
    <row r="192" spans="1:11" x14ac:dyDescent="0.3">
      <c r="A192" s="12">
        <v>45329</v>
      </c>
      <c r="B192" s="1" t="s">
        <v>30</v>
      </c>
      <c r="C192" s="1" t="s">
        <v>31</v>
      </c>
      <c r="D192" s="1" t="s">
        <v>13</v>
      </c>
      <c r="E192" s="7">
        <v>28393</v>
      </c>
      <c r="F192" s="1" t="s">
        <v>14</v>
      </c>
      <c r="G192" s="1">
        <v>327</v>
      </c>
      <c r="H192" s="1" t="s">
        <v>21</v>
      </c>
      <c r="I192" s="1" t="s">
        <v>22</v>
      </c>
      <c r="J192" s="1" t="s">
        <v>29</v>
      </c>
      <c r="K192" s="9">
        <v>0.1</v>
      </c>
    </row>
    <row r="193" spans="1:11" x14ac:dyDescent="0.3">
      <c r="A193" s="12">
        <v>45329</v>
      </c>
      <c r="B193" s="1" t="s">
        <v>191</v>
      </c>
      <c r="C193" s="1" t="s">
        <v>192</v>
      </c>
      <c r="D193" s="1" t="s">
        <v>71</v>
      </c>
      <c r="E193" s="7">
        <v>34490</v>
      </c>
      <c r="F193" s="1" t="s">
        <v>14</v>
      </c>
      <c r="G193" s="1">
        <v>292</v>
      </c>
      <c r="H193" s="1" t="s">
        <v>56</v>
      </c>
      <c r="I193" s="1" t="s">
        <v>52</v>
      </c>
      <c r="J193" s="1" t="s">
        <v>17</v>
      </c>
      <c r="K193" s="9">
        <v>0.1</v>
      </c>
    </row>
    <row r="194" spans="1:11" x14ac:dyDescent="0.3">
      <c r="A194" s="12">
        <v>45329</v>
      </c>
      <c r="B194" s="1" t="s">
        <v>161</v>
      </c>
      <c r="C194" s="1" t="s">
        <v>367</v>
      </c>
      <c r="D194" s="1" t="s">
        <v>38</v>
      </c>
      <c r="E194" s="7">
        <v>20187</v>
      </c>
      <c r="F194" s="1" t="s">
        <v>20</v>
      </c>
      <c r="G194" s="1">
        <v>263</v>
      </c>
      <c r="H194" s="1" t="s">
        <v>64</v>
      </c>
      <c r="I194" s="1" t="s">
        <v>48</v>
      </c>
      <c r="J194" s="1" t="s">
        <v>17</v>
      </c>
      <c r="K194" s="9">
        <v>0.1</v>
      </c>
    </row>
    <row r="195" spans="1:11" x14ac:dyDescent="0.3">
      <c r="A195" s="12">
        <v>45329</v>
      </c>
      <c r="B195" s="1" t="s">
        <v>187</v>
      </c>
      <c r="C195" s="1" t="s">
        <v>497</v>
      </c>
      <c r="D195" s="1" t="s">
        <v>55</v>
      </c>
      <c r="E195" s="7">
        <v>30389</v>
      </c>
      <c r="F195" s="1" t="s">
        <v>68</v>
      </c>
      <c r="G195" s="1">
        <v>227</v>
      </c>
      <c r="H195" s="1" t="s">
        <v>56</v>
      </c>
      <c r="I195" s="1" t="s">
        <v>39</v>
      </c>
      <c r="J195" s="1" t="s">
        <v>17</v>
      </c>
      <c r="K195" s="9">
        <v>0.1</v>
      </c>
    </row>
    <row r="196" spans="1:11" x14ac:dyDescent="0.3">
      <c r="A196" s="12">
        <v>45329</v>
      </c>
      <c r="B196" s="1" t="s">
        <v>53</v>
      </c>
      <c r="C196" s="1" t="s">
        <v>565</v>
      </c>
      <c r="D196" s="1" t="s">
        <v>51</v>
      </c>
      <c r="E196" s="7">
        <v>18082</v>
      </c>
      <c r="F196" s="1" t="s">
        <v>33</v>
      </c>
      <c r="G196" s="1">
        <v>219</v>
      </c>
      <c r="H196" s="1" t="s">
        <v>47</v>
      </c>
      <c r="I196" s="1" t="s">
        <v>48</v>
      </c>
      <c r="J196" s="1" t="s">
        <v>17</v>
      </c>
      <c r="K196" s="9">
        <v>0.1</v>
      </c>
    </row>
    <row r="197" spans="1:11" x14ac:dyDescent="0.3">
      <c r="A197" s="12">
        <v>45329</v>
      </c>
      <c r="B197" s="1" t="s">
        <v>368</v>
      </c>
      <c r="C197" s="1" t="s">
        <v>617</v>
      </c>
      <c r="D197" s="1" t="s">
        <v>26</v>
      </c>
      <c r="E197" s="7">
        <v>35067</v>
      </c>
      <c r="F197" s="1" t="s">
        <v>20</v>
      </c>
      <c r="G197" s="1">
        <v>14</v>
      </c>
      <c r="H197" s="1" t="s">
        <v>56</v>
      </c>
      <c r="I197" s="1" t="s">
        <v>48</v>
      </c>
      <c r="J197" s="1" t="s">
        <v>17</v>
      </c>
      <c r="K197" s="9">
        <v>0.1</v>
      </c>
    </row>
    <row r="198" spans="1:11" x14ac:dyDescent="0.3">
      <c r="A198" s="12">
        <v>45329</v>
      </c>
      <c r="B198" s="1" t="s">
        <v>494</v>
      </c>
      <c r="C198" s="1" t="s">
        <v>624</v>
      </c>
      <c r="D198" s="1" t="s">
        <v>38</v>
      </c>
      <c r="E198" s="7">
        <v>18593</v>
      </c>
      <c r="F198" s="1" t="s">
        <v>33</v>
      </c>
      <c r="G198" s="1">
        <v>164</v>
      </c>
      <c r="H198" s="1" t="s">
        <v>56</v>
      </c>
      <c r="I198" s="1" t="s">
        <v>52</v>
      </c>
      <c r="J198" s="1" t="s">
        <v>17</v>
      </c>
      <c r="K198" s="9">
        <v>0.1</v>
      </c>
    </row>
    <row r="199" spans="1:11" x14ac:dyDescent="0.3">
      <c r="A199" s="12">
        <v>45329</v>
      </c>
      <c r="B199" s="1" t="s">
        <v>360</v>
      </c>
      <c r="C199" s="1" t="s">
        <v>783</v>
      </c>
      <c r="D199" s="1" t="s">
        <v>78</v>
      </c>
      <c r="E199" s="7">
        <v>35474</v>
      </c>
      <c r="F199" s="1" t="s">
        <v>68</v>
      </c>
      <c r="G199" s="1">
        <v>400</v>
      </c>
      <c r="H199" s="1" t="s">
        <v>21</v>
      </c>
      <c r="I199" s="1" t="s">
        <v>52</v>
      </c>
      <c r="J199" s="1" t="s">
        <v>17</v>
      </c>
      <c r="K199" s="9">
        <v>0.1</v>
      </c>
    </row>
    <row r="200" spans="1:11" x14ac:dyDescent="0.3">
      <c r="A200" s="12">
        <v>45329</v>
      </c>
      <c r="B200" s="1" t="s">
        <v>610</v>
      </c>
      <c r="C200" s="1" t="s">
        <v>788</v>
      </c>
      <c r="D200" s="1" t="s">
        <v>38</v>
      </c>
      <c r="E200" s="7">
        <v>30268</v>
      </c>
      <c r="F200" s="1" t="s">
        <v>33</v>
      </c>
      <c r="G200" s="1">
        <v>367</v>
      </c>
      <c r="H200" s="1" t="s">
        <v>15</v>
      </c>
      <c r="I200" s="1" t="s">
        <v>39</v>
      </c>
      <c r="J200" s="1" t="s">
        <v>17</v>
      </c>
      <c r="K200" s="9">
        <v>0.1</v>
      </c>
    </row>
    <row r="201" spans="1:11" x14ac:dyDescent="0.3">
      <c r="A201" s="12">
        <v>45329</v>
      </c>
      <c r="B201" s="1" t="s">
        <v>86</v>
      </c>
      <c r="C201" s="1" t="s">
        <v>153</v>
      </c>
      <c r="D201" s="1" t="s">
        <v>51</v>
      </c>
      <c r="E201" s="7">
        <v>18076</v>
      </c>
      <c r="F201" s="1" t="s">
        <v>14</v>
      </c>
      <c r="G201" s="1">
        <v>226</v>
      </c>
      <c r="H201" s="1" t="s">
        <v>56</v>
      </c>
      <c r="I201" s="1" t="s">
        <v>52</v>
      </c>
      <c r="J201" s="1" t="s">
        <v>17</v>
      </c>
      <c r="K201" s="9">
        <v>0.1</v>
      </c>
    </row>
    <row r="202" spans="1:11" x14ac:dyDescent="0.3">
      <c r="A202" s="12">
        <v>45330</v>
      </c>
      <c r="B202" s="1" t="s">
        <v>237</v>
      </c>
      <c r="C202" s="1" t="s">
        <v>238</v>
      </c>
      <c r="D202" s="1" t="s">
        <v>26</v>
      </c>
      <c r="E202" s="7">
        <v>23311</v>
      </c>
      <c r="F202" s="1" t="s">
        <v>20</v>
      </c>
      <c r="G202" s="1">
        <v>332</v>
      </c>
      <c r="H202" s="1" t="s">
        <v>27</v>
      </c>
      <c r="I202" s="1" t="s">
        <v>52</v>
      </c>
      <c r="J202" s="1" t="s">
        <v>17</v>
      </c>
      <c r="K202" s="9">
        <v>0.1</v>
      </c>
    </row>
    <row r="203" spans="1:11" x14ac:dyDescent="0.3">
      <c r="A203" s="12">
        <v>45330</v>
      </c>
      <c r="B203" s="1" t="s">
        <v>243</v>
      </c>
      <c r="C203" s="1" t="s">
        <v>244</v>
      </c>
      <c r="D203" s="1" t="s">
        <v>71</v>
      </c>
      <c r="E203" s="7">
        <v>33010</v>
      </c>
      <c r="F203" s="1" t="s">
        <v>33</v>
      </c>
      <c r="G203" s="1">
        <v>54</v>
      </c>
      <c r="H203" s="1" t="s">
        <v>59</v>
      </c>
      <c r="I203" s="1" t="s">
        <v>48</v>
      </c>
      <c r="J203" s="1" t="s">
        <v>29</v>
      </c>
      <c r="K203" s="9">
        <v>0.1</v>
      </c>
    </row>
    <row r="204" spans="1:11" x14ac:dyDescent="0.3">
      <c r="A204" s="12">
        <v>45330</v>
      </c>
      <c r="B204" s="1" t="s">
        <v>434</v>
      </c>
      <c r="C204" s="1" t="s">
        <v>347</v>
      </c>
      <c r="D204" s="1" t="s">
        <v>83</v>
      </c>
      <c r="E204" s="7">
        <v>23622</v>
      </c>
      <c r="F204" s="1" t="s">
        <v>14</v>
      </c>
      <c r="G204" s="1">
        <v>138</v>
      </c>
      <c r="H204" s="1" t="s">
        <v>56</v>
      </c>
      <c r="I204" s="1" t="s">
        <v>39</v>
      </c>
      <c r="J204" s="1" t="s">
        <v>17</v>
      </c>
      <c r="K204" s="9">
        <v>0.1</v>
      </c>
    </row>
    <row r="205" spans="1:11" x14ac:dyDescent="0.3">
      <c r="A205" s="12">
        <v>45330</v>
      </c>
      <c r="B205" s="1" t="s">
        <v>436</v>
      </c>
      <c r="C205" s="1" t="s">
        <v>437</v>
      </c>
      <c r="D205" s="1" t="s">
        <v>55</v>
      </c>
      <c r="E205" s="7">
        <v>26917</v>
      </c>
      <c r="F205" s="1" t="s">
        <v>33</v>
      </c>
      <c r="G205" s="1">
        <v>424</v>
      </c>
      <c r="H205" s="1" t="s">
        <v>42</v>
      </c>
      <c r="I205" s="1" t="s">
        <v>48</v>
      </c>
      <c r="J205" s="1" t="s">
        <v>23</v>
      </c>
      <c r="K205" s="9">
        <v>0.1</v>
      </c>
    </row>
    <row r="206" spans="1:11" x14ac:dyDescent="0.3">
      <c r="A206" s="12">
        <v>45330</v>
      </c>
      <c r="B206" s="1" t="s">
        <v>630</v>
      </c>
      <c r="C206" s="1" t="s">
        <v>31</v>
      </c>
      <c r="D206" s="1" t="s">
        <v>55</v>
      </c>
      <c r="E206" s="7">
        <v>19941</v>
      </c>
      <c r="F206" s="1" t="s">
        <v>14</v>
      </c>
      <c r="G206" s="1">
        <v>311</v>
      </c>
      <c r="H206" s="1" t="s">
        <v>65</v>
      </c>
      <c r="I206" s="1" t="s">
        <v>28</v>
      </c>
      <c r="J206" s="1" t="s">
        <v>17</v>
      </c>
      <c r="K206" s="9">
        <v>0.1</v>
      </c>
    </row>
    <row r="207" spans="1:11" x14ac:dyDescent="0.3">
      <c r="A207" s="12">
        <v>45330</v>
      </c>
      <c r="B207" s="1" t="s">
        <v>907</v>
      </c>
      <c r="C207" s="1" t="s">
        <v>884</v>
      </c>
      <c r="D207" s="1" t="s">
        <v>51</v>
      </c>
      <c r="E207" s="7">
        <v>16138</v>
      </c>
      <c r="F207" s="1" t="s">
        <v>68</v>
      </c>
      <c r="G207" s="1">
        <v>493</v>
      </c>
      <c r="H207" s="1" t="s">
        <v>42</v>
      </c>
      <c r="I207" s="1" t="s">
        <v>39</v>
      </c>
      <c r="J207" s="1" t="s">
        <v>17</v>
      </c>
      <c r="K207" s="9">
        <v>0.1</v>
      </c>
    </row>
    <row r="208" spans="1:11" x14ac:dyDescent="0.3">
      <c r="A208" s="12">
        <v>45331</v>
      </c>
      <c r="B208" s="1" t="s">
        <v>545</v>
      </c>
      <c r="C208" s="1" t="s">
        <v>546</v>
      </c>
      <c r="D208" s="1" t="s">
        <v>38</v>
      </c>
      <c r="E208" s="7">
        <v>22221</v>
      </c>
      <c r="F208" s="1" t="s">
        <v>33</v>
      </c>
      <c r="G208" s="1">
        <v>175</v>
      </c>
      <c r="H208" s="1" t="s">
        <v>42</v>
      </c>
      <c r="I208" s="1" t="s">
        <v>28</v>
      </c>
      <c r="J208" s="1" t="s">
        <v>17</v>
      </c>
      <c r="K208" s="9">
        <v>0.1</v>
      </c>
    </row>
    <row r="209" spans="1:11" x14ac:dyDescent="0.3">
      <c r="A209" s="12">
        <v>45331</v>
      </c>
      <c r="B209" s="1" t="s">
        <v>36</v>
      </c>
      <c r="C209" s="1" t="s">
        <v>37</v>
      </c>
      <c r="D209" s="1" t="s">
        <v>38</v>
      </c>
      <c r="E209" s="7">
        <v>31999</v>
      </c>
      <c r="F209" s="1" t="s">
        <v>68</v>
      </c>
      <c r="G209" s="1">
        <v>376</v>
      </c>
      <c r="H209" s="1" t="s">
        <v>65</v>
      </c>
      <c r="I209" s="1" t="s">
        <v>43</v>
      </c>
      <c r="J209" s="1" t="s">
        <v>23</v>
      </c>
      <c r="K209" s="9">
        <v>0.1</v>
      </c>
    </row>
    <row r="210" spans="1:11" x14ac:dyDescent="0.3">
      <c r="A210" s="12">
        <v>45331</v>
      </c>
      <c r="B210" s="1" t="s">
        <v>914</v>
      </c>
      <c r="C210" s="1" t="s">
        <v>369</v>
      </c>
      <c r="D210" s="1" t="s">
        <v>78</v>
      </c>
      <c r="E210" s="7">
        <v>16667</v>
      </c>
      <c r="F210" s="1" t="s">
        <v>14</v>
      </c>
      <c r="G210" s="1">
        <v>386</v>
      </c>
      <c r="H210" s="1" t="s">
        <v>47</v>
      </c>
      <c r="I210" s="1" t="s">
        <v>28</v>
      </c>
      <c r="J210" s="1" t="s">
        <v>17</v>
      </c>
      <c r="K210" s="9">
        <v>0.1</v>
      </c>
    </row>
    <row r="211" spans="1:11" x14ac:dyDescent="0.3">
      <c r="A211" s="12">
        <v>45331</v>
      </c>
      <c r="B211" s="1" t="s">
        <v>192</v>
      </c>
      <c r="C211" s="1" t="s">
        <v>171</v>
      </c>
      <c r="D211" s="1" t="s">
        <v>55</v>
      </c>
      <c r="E211" s="7">
        <v>25704</v>
      </c>
      <c r="F211" s="1" t="s">
        <v>68</v>
      </c>
      <c r="G211" s="1">
        <v>289</v>
      </c>
      <c r="H211" s="1" t="s">
        <v>59</v>
      </c>
      <c r="I211" s="1" t="s">
        <v>52</v>
      </c>
      <c r="J211" s="1" t="s">
        <v>17</v>
      </c>
      <c r="K211" s="9">
        <v>0.1</v>
      </c>
    </row>
    <row r="212" spans="1:11" x14ac:dyDescent="0.3">
      <c r="A212" s="12">
        <v>45332</v>
      </c>
      <c r="B212" s="1" t="s">
        <v>105</v>
      </c>
      <c r="C212" s="1" t="s">
        <v>106</v>
      </c>
      <c r="D212" s="1" t="s">
        <v>13</v>
      </c>
      <c r="E212" s="7">
        <v>17318</v>
      </c>
      <c r="F212" s="1" t="s">
        <v>33</v>
      </c>
      <c r="G212" s="1">
        <v>484</v>
      </c>
      <c r="H212" s="1" t="s">
        <v>56</v>
      </c>
      <c r="I212" s="1" t="s">
        <v>43</v>
      </c>
      <c r="J212" s="1" t="s">
        <v>29</v>
      </c>
      <c r="K212" s="9">
        <v>0.1</v>
      </c>
    </row>
    <row r="213" spans="1:11" x14ac:dyDescent="0.3">
      <c r="A213" s="12">
        <v>45332</v>
      </c>
      <c r="B213" s="1" t="s">
        <v>576</v>
      </c>
      <c r="C213" s="1" t="s">
        <v>168</v>
      </c>
      <c r="D213" s="1" t="s">
        <v>46</v>
      </c>
      <c r="E213" s="7">
        <v>31905</v>
      </c>
      <c r="F213" s="1" t="s">
        <v>20</v>
      </c>
      <c r="G213" s="1">
        <v>471</v>
      </c>
      <c r="H213" s="1" t="s">
        <v>42</v>
      </c>
      <c r="I213" s="1" t="s">
        <v>43</v>
      </c>
      <c r="J213" s="1" t="s">
        <v>17</v>
      </c>
      <c r="K213" s="9">
        <v>0.1</v>
      </c>
    </row>
    <row r="214" spans="1:11" x14ac:dyDescent="0.3">
      <c r="A214" s="12">
        <v>45332</v>
      </c>
      <c r="B214" s="1" t="s">
        <v>675</v>
      </c>
      <c r="C214" s="1" t="s">
        <v>255</v>
      </c>
      <c r="D214" s="1" t="s">
        <v>71</v>
      </c>
      <c r="E214" s="7">
        <v>22705</v>
      </c>
      <c r="F214" s="1" t="s">
        <v>33</v>
      </c>
      <c r="G214" s="1">
        <v>92</v>
      </c>
      <c r="H214" s="1" t="s">
        <v>34</v>
      </c>
      <c r="I214" s="1" t="s">
        <v>43</v>
      </c>
      <c r="J214" s="1" t="s">
        <v>17</v>
      </c>
      <c r="K214" s="9">
        <v>0.1</v>
      </c>
    </row>
    <row r="215" spans="1:11" x14ac:dyDescent="0.3">
      <c r="A215" s="12">
        <v>45332</v>
      </c>
      <c r="B215" s="1" t="s">
        <v>734</v>
      </c>
      <c r="C215" s="1" t="s">
        <v>735</v>
      </c>
      <c r="D215" s="1" t="s">
        <v>46</v>
      </c>
      <c r="E215" s="7">
        <v>16564</v>
      </c>
      <c r="F215" s="1" t="s">
        <v>33</v>
      </c>
      <c r="G215" s="1">
        <v>288</v>
      </c>
      <c r="H215" s="1" t="s">
        <v>34</v>
      </c>
      <c r="I215" s="1" t="s">
        <v>28</v>
      </c>
      <c r="J215" s="1" t="s">
        <v>17</v>
      </c>
      <c r="K215" s="9">
        <v>0.1</v>
      </c>
    </row>
    <row r="216" spans="1:11" x14ac:dyDescent="0.3">
      <c r="A216" s="12">
        <v>45332</v>
      </c>
      <c r="B216" s="1" t="s">
        <v>833</v>
      </c>
      <c r="C216" s="1" t="s">
        <v>834</v>
      </c>
      <c r="D216" s="1" t="s">
        <v>32</v>
      </c>
      <c r="E216" s="7">
        <v>35141</v>
      </c>
      <c r="F216" s="1" t="s">
        <v>68</v>
      </c>
      <c r="G216" s="1">
        <v>421</v>
      </c>
      <c r="H216" s="1" t="s">
        <v>34</v>
      </c>
      <c r="I216" s="1" t="s">
        <v>35</v>
      </c>
      <c r="J216" s="1" t="s">
        <v>17</v>
      </c>
      <c r="K216" s="9">
        <v>0.1</v>
      </c>
    </row>
    <row r="217" spans="1:11" x14ac:dyDescent="0.3">
      <c r="A217" s="12">
        <v>45333</v>
      </c>
      <c r="B217" s="1" t="s">
        <v>99</v>
      </c>
      <c r="C217" s="1" t="s">
        <v>100</v>
      </c>
      <c r="D217" s="1" t="s">
        <v>78</v>
      </c>
      <c r="E217" s="7">
        <v>37889</v>
      </c>
      <c r="F217" s="1" t="s">
        <v>68</v>
      </c>
      <c r="G217" s="1">
        <v>242</v>
      </c>
      <c r="H217" s="1" t="s">
        <v>64</v>
      </c>
      <c r="I217" s="1" t="s">
        <v>28</v>
      </c>
      <c r="J217" s="1" t="s">
        <v>17</v>
      </c>
      <c r="K217" s="9">
        <v>0.1</v>
      </c>
    </row>
    <row r="218" spans="1:11" x14ac:dyDescent="0.3">
      <c r="A218" s="12">
        <v>45333</v>
      </c>
      <c r="B218" s="1" t="s">
        <v>73</v>
      </c>
      <c r="C218" s="1" t="s">
        <v>171</v>
      </c>
      <c r="D218" s="1" t="s">
        <v>46</v>
      </c>
      <c r="E218" s="7">
        <v>32465</v>
      </c>
      <c r="F218" s="1" t="s">
        <v>14</v>
      </c>
      <c r="G218" s="1">
        <v>81</v>
      </c>
      <c r="H218" s="1" t="s">
        <v>42</v>
      </c>
      <c r="I218" s="1" t="s">
        <v>48</v>
      </c>
      <c r="J218" s="1" t="s">
        <v>17</v>
      </c>
      <c r="K218" s="9">
        <v>0.1</v>
      </c>
    </row>
    <row r="219" spans="1:11" x14ac:dyDescent="0.3">
      <c r="A219" s="12">
        <v>45333</v>
      </c>
      <c r="B219" s="1" t="s">
        <v>169</v>
      </c>
      <c r="C219" s="1" t="s">
        <v>654</v>
      </c>
      <c r="D219" s="1" t="s">
        <v>13</v>
      </c>
      <c r="E219" s="7">
        <v>20942</v>
      </c>
      <c r="F219" s="1" t="s">
        <v>68</v>
      </c>
      <c r="G219" s="1">
        <v>167</v>
      </c>
      <c r="H219" s="1" t="s">
        <v>56</v>
      </c>
      <c r="I219" s="1" t="s">
        <v>48</v>
      </c>
      <c r="J219" s="1" t="s">
        <v>17</v>
      </c>
      <c r="K219" s="9">
        <v>0.1</v>
      </c>
    </row>
    <row r="220" spans="1:11" x14ac:dyDescent="0.3">
      <c r="A220" s="12">
        <v>45333</v>
      </c>
      <c r="B220" s="1" t="s">
        <v>36</v>
      </c>
      <c r="C220" s="1" t="s">
        <v>37</v>
      </c>
      <c r="D220" s="1" t="s">
        <v>38</v>
      </c>
      <c r="E220" s="7">
        <v>25141</v>
      </c>
      <c r="F220" s="1" t="s">
        <v>33</v>
      </c>
      <c r="G220" s="1">
        <v>90</v>
      </c>
      <c r="H220" s="1" t="s">
        <v>15</v>
      </c>
      <c r="I220" s="1" t="s">
        <v>48</v>
      </c>
      <c r="J220" s="1" t="s">
        <v>23</v>
      </c>
      <c r="K220" s="9">
        <v>0.1</v>
      </c>
    </row>
    <row r="221" spans="1:11" x14ac:dyDescent="0.3">
      <c r="A221" s="12">
        <v>45333</v>
      </c>
      <c r="B221" s="1" t="s">
        <v>833</v>
      </c>
      <c r="C221" s="1" t="s">
        <v>886</v>
      </c>
      <c r="D221" s="1" t="s">
        <v>38</v>
      </c>
      <c r="E221" s="7">
        <v>29017</v>
      </c>
      <c r="F221" s="1" t="s">
        <v>14</v>
      </c>
      <c r="G221" s="1">
        <v>143</v>
      </c>
      <c r="H221" s="1" t="s">
        <v>59</v>
      </c>
      <c r="I221" s="1" t="s">
        <v>28</v>
      </c>
      <c r="J221" s="1" t="s">
        <v>17</v>
      </c>
      <c r="K221" s="9">
        <v>0.1</v>
      </c>
    </row>
    <row r="222" spans="1:11" x14ac:dyDescent="0.3">
      <c r="A222" s="12">
        <v>45333</v>
      </c>
      <c r="B222" s="1" t="s">
        <v>265</v>
      </c>
      <c r="C222" s="1" t="s">
        <v>921</v>
      </c>
      <c r="D222" s="1" t="s">
        <v>71</v>
      </c>
      <c r="E222" s="7">
        <v>20321</v>
      </c>
      <c r="F222" s="1" t="s">
        <v>14</v>
      </c>
      <c r="G222" s="1">
        <v>164</v>
      </c>
      <c r="H222" s="1" t="s">
        <v>47</v>
      </c>
      <c r="I222" s="1" t="s">
        <v>52</v>
      </c>
      <c r="J222" s="1" t="s">
        <v>17</v>
      </c>
      <c r="K222" s="9">
        <v>0.1</v>
      </c>
    </row>
    <row r="223" spans="1:11" x14ac:dyDescent="0.3">
      <c r="A223" s="12">
        <v>45334</v>
      </c>
      <c r="B223" s="1" t="s">
        <v>226</v>
      </c>
      <c r="C223" s="1" t="s">
        <v>114</v>
      </c>
      <c r="D223" s="1" t="s">
        <v>38</v>
      </c>
      <c r="E223" s="7">
        <v>37589</v>
      </c>
      <c r="F223" s="1" t="s">
        <v>14</v>
      </c>
      <c r="G223" s="1">
        <v>66</v>
      </c>
      <c r="H223" s="1" t="s">
        <v>56</v>
      </c>
      <c r="I223" s="1" t="s">
        <v>48</v>
      </c>
      <c r="J223" s="1" t="s">
        <v>29</v>
      </c>
      <c r="K223" s="9">
        <v>0.1</v>
      </c>
    </row>
    <row r="224" spans="1:11" x14ac:dyDescent="0.3">
      <c r="A224" s="12">
        <v>45334</v>
      </c>
      <c r="B224" s="1" t="s">
        <v>229</v>
      </c>
      <c r="C224" s="1" t="s">
        <v>209</v>
      </c>
      <c r="D224" s="1" t="s">
        <v>78</v>
      </c>
      <c r="E224" s="7">
        <v>17690</v>
      </c>
      <c r="F224" s="1" t="s">
        <v>68</v>
      </c>
      <c r="G224" s="1">
        <v>318</v>
      </c>
      <c r="H224" s="1" t="s">
        <v>56</v>
      </c>
      <c r="I224" s="1" t="s">
        <v>52</v>
      </c>
      <c r="J224" s="1" t="s">
        <v>29</v>
      </c>
      <c r="K224" s="9">
        <v>0.1</v>
      </c>
    </row>
    <row r="225" spans="1:11" x14ac:dyDescent="0.3">
      <c r="A225" s="12">
        <v>45334</v>
      </c>
      <c r="B225" s="1" t="s">
        <v>250</v>
      </c>
      <c r="C225" s="1" t="s">
        <v>251</v>
      </c>
      <c r="D225" s="1" t="s">
        <v>32</v>
      </c>
      <c r="E225" s="7">
        <v>21346</v>
      </c>
      <c r="F225" s="1" t="s">
        <v>33</v>
      </c>
      <c r="G225" s="1">
        <v>496</v>
      </c>
      <c r="H225" s="1" t="s">
        <v>34</v>
      </c>
      <c r="I225" s="1" t="s">
        <v>52</v>
      </c>
      <c r="J225" s="1" t="s">
        <v>17</v>
      </c>
      <c r="K225" s="9">
        <v>0.1</v>
      </c>
    </row>
    <row r="226" spans="1:11" x14ac:dyDescent="0.3">
      <c r="A226" s="12">
        <v>45334</v>
      </c>
      <c r="B226" s="1" t="s">
        <v>320</v>
      </c>
      <c r="C226" s="1" t="s">
        <v>62</v>
      </c>
      <c r="D226" s="1" t="s">
        <v>71</v>
      </c>
      <c r="E226" s="7">
        <v>17261</v>
      </c>
      <c r="F226" s="1" t="s">
        <v>14</v>
      </c>
      <c r="G226" s="1">
        <v>59</v>
      </c>
      <c r="H226" s="1" t="s">
        <v>15</v>
      </c>
      <c r="I226" s="1" t="s">
        <v>28</v>
      </c>
      <c r="J226" s="1" t="s">
        <v>29</v>
      </c>
      <c r="K226" s="9">
        <v>0.1</v>
      </c>
    </row>
    <row r="227" spans="1:11" x14ac:dyDescent="0.3">
      <c r="A227" s="12">
        <v>45334</v>
      </c>
      <c r="B227" s="1" t="s">
        <v>115</v>
      </c>
      <c r="C227" s="1" t="s">
        <v>449</v>
      </c>
      <c r="D227" s="1" t="s">
        <v>83</v>
      </c>
      <c r="E227" s="7">
        <v>28380</v>
      </c>
      <c r="F227" s="1" t="s">
        <v>33</v>
      </c>
      <c r="G227" s="1">
        <v>190</v>
      </c>
      <c r="H227" s="1" t="s">
        <v>59</v>
      </c>
      <c r="I227" s="1" t="s">
        <v>43</v>
      </c>
      <c r="J227" s="1" t="s">
        <v>17</v>
      </c>
      <c r="K227" s="9">
        <v>0.1</v>
      </c>
    </row>
    <row r="228" spans="1:11" x14ac:dyDescent="0.3">
      <c r="A228" s="12">
        <v>45334</v>
      </c>
      <c r="B228" s="1" t="s">
        <v>505</v>
      </c>
      <c r="C228" s="1" t="s">
        <v>506</v>
      </c>
      <c r="D228" s="1" t="s">
        <v>83</v>
      </c>
      <c r="E228" s="7">
        <v>19706</v>
      </c>
      <c r="F228" s="1" t="s">
        <v>68</v>
      </c>
      <c r="G228" s="1">
        <v>181</v>
      </c>
      <c r="H228" s="1" t="s">
        <v>21</v>
      </c>
      <c r="I228" s="1" t="s">
        <v>48</v>
      </c>
      <c r="J228" s="1" t="s">
        <v>23</v>
      </c>
      <c r="K228" s="9">
        <v>0.1</v>
      </c>
    </row>
    <row r="229" spans="1:11" x14ac:dyDescent="0.3">
      <c r="A229" s="12">
        <v>45334</v>
      </c>
      <c r="B229" s="1" t="s">
        <v>151</v>
      </c>
      <c r="C229" s="1" t="s">
        <v>215</v>
      </c>
      <c r="D229" s="1" t="s">
        <v>83</v>
      </c>
      <c r="E229" s="7">
        <v>21939</v>
      </c>
      <c r="F229" s="1" t="s">
        <v>14</v>
      </c>
      <c r="G229" s="1">
        <v>15</v>
      </c>
      <c r="H229" s="1" t="s">
        <v>34</v>
      </c>
      <c r="I229" s="1" t="s">
        <v>43</v>
      </c>
      <c r="J229" s="1" t="s">
        <v>17</v>
      </c>
      <c r="K229" s="9">
        <v>0.1</v>
      </c>
    </row>
    <row r="230" spans="1:11" x14ac:dyDescent="0.3">
      <c r="A230" s="12">
        <v>45334</v>
      </c>
      <c r="B230" s="1" t="s">
        <v>484</v>
      </c>
      <c r="C230" s="1" t="s">
        <v>580</v>
      </c>
      <c r="D230" s="1" t="s">
        <v>46</v>
      </c>
      <c r="E230" s="7">
        <v>37469</v>
      </c>
      <c r="F230" s="1" t="s">
        <v>14</v>
      </c>
      <c r="G230" s="1">
        <v>164</v>
      </c>
      <c r="H230" s="1" t="s">
        <v>15</v>
      </c>
      <c r="I230" s="1" t="s">
        <v>52</v>
      </c>
      <c r="J230" s="1" t="s">
        <v>17</v>
      </c>
      <c r="K230" s="9">
        <v>0.1</v>
      </c>
    </row>
    <row r="231" spans="1:11" x14ac:dyDescent="0.3">
      <c r="A231" s="12">
        <v>45334</v>
      </c>
      <c r="B231" s="1" t="s">
        <v>642</v>
      </c>
      <c r="C231" s="1" t="s">
        <v>249</v>
      </c>
      <c r="D231" s="1" t="s">
        <v>26</v>
      </c>
      <c r="E231" s="7">
        <v>38580</v>
      </c>
      <c r="F231" s="1" t="s">
        <v>14</v>
      </c>
      <c r="G231" s="1">
        <v>493</v>
      </c>
      <c r="H231" s="1" t="s">
        <v>42</v>
      </c>
      <c r="I231" s="1" t="s">
        <v>28</v>
      </c>
      <c r="J231" s="1" t="s">
        <v>17</v>
      </c>
      <c r="K231" s="9">
        <v>0.1</v>
      </c>
    </row>
    <row r="232" spans="1:11" x14ac:dyDescent="0.3">
      <c r="A232" s="12">
        <v>45334</v>
      </c>
      <c r="B232" s="1" t="s">
        <v>429</v>
      </c>
      <c r="C232" s="1" t="s">
        <v>89</v>
      </c>
      <c r="D232" s="1" t="s">
        <v>55</v>
      </c>
      <c r="E232" s="7">
        <v>19604</v>
      </c>
      <c r="F232" s="1" t="s">
        <v>68</v>
      </c>
      <c r="G232" s="1">
        <v>107</v>
      </c>
      <c r="H232" s="1" t="s">
        <v>15</v>
      </c>
      <c r="I232" s="1" t="s">
        <v>28</v>
      </c>
      <c r="J232" s="1" t="s">
        <v>17</v>
      </c>
      <c r="K232" s="9">
        <v>0.1</v>
      </c>
    </row>
    <row r="233" spans="1:11" x14ac:dyDescent="0.3">
      <c r="A233" s="12">
        <v>45334</v>
      </c>
      <c r="B233" s="1" t="s">
        <v>434</v>
      </c>
      <c r="C233" s="1" t="s">
        <v>850</v>
      </c>
      <c r="D233" s="1" t="s">
        <v>46</v>
      </c>
      <c r="E233" s="7">
        <v>31747</v>
      </c>
      <c r="F233" s="1" t="s">
        <v>14</v>
      </c>
      <c r="G233" s="1">
        <v>187</v>
      </c>
      <c r="H233" s="1" t="s">
        <v>59</v>
      </c>
      <c r="I233" s="1" t="s">
        <v>48</v>
      </c>
      <c r="J233" s="1" t="s">
        <v>17</v>
      </c>
      <c r="K233" s="9">
        <v>0.1</v>
      </c>
    </row>
    <row r="234" spans="1:11" x14ac:dyDescent="0.3">
      <c r="A234" s="12">
        <v>45334</v>
      </c>
      <c r="B234" s="1" t="s">
        <v>852</v>
      </c>
      <c r="C234" s="1" t="s">
        <v>824</v>
      </c>
      <c r="D234" s="1" t="s">
        <v>51</v>
      </c>
      <c r="E234" s="7">
        <v>36140</v>
      </c>
      <c r="F234" s="1" t="s">
        <v>68</v>
      </c>
      <c r="G234" s="1">
        <v>450</v>
      </c>
      <c r="H234" s="1" t="s">
        <v>21</v>
      </c>
      <c r="I234" s="1" t="s">
        <v>35</v>
      </c>
      <c r="J234" s="1" t="s">
        <v>17</v>
      </c>
      <c r="K234" s="9">
        <v>0.1</v>
      </c>
    </row>
    <row r="235" spans="1:11" x14ac:dyDescent="0.3">
      <c r="A235" s="12">
        <v>45335</v>
      </c>
      <c r="B235" s="1" t="s">
        <v>283</v>
      </c>
      <c r="C235" s="1" t="s">
        <v>25</v>
      </c>
      <c r="D235" s="1" t="s">
        <v>46</v>
      </c>
      <c r="E235" s="7">
        <v>34483</v>
      </c>
      <c r="F235" s="1" t="s">
        <v>20</v>
      </c>
      <c r="G235" s="1">
        <v>483</v>
      </c>
      <c r="H235" s="1" t="s">
        <v>56</v>
      </c>
      <c r="I235" s="1" t="s">
        <v>35</v>
      </c>
      <c r="J235" s="1" t="s">
        <v>23</v>
      </c>
      <c r="K235" s="9">
        <v>0.1</v>
      </c>
    </row>
    <row r="236" spans="1:11" x14ac:dyDescent="0.3">
      <c r="A236" s="12">
        <v>45335</v>
      </c>
      <c r="B236" s="1" t="s">
        <v>484</v>
      </c>
      <c r="C236" s="1" t="s">
        <v>249</v>
      </c>
      <c r="D236" s="1" t="s">
        <v>46</v>
      </c>
      <c r="E236" s="7">
        <v>26589</v>
      </c>
      <c r="F236" s="1" t="s">
        <v>14</v>
      </c>
      <c r="G236" s="1">
        <v>320</v>
      </c>
      <c r="H236" s="1" t="s">
        <v>56</v>
      </c>
      <c r="I236" s="1" t="s">
        <v>39</v>
      </c>
      <c r="J236" s="1" t="s">
        <v>17</v>
      </c>
      <c r="K236" s="9">
        <v>0.1</v>
      </c>
    </row>
    <row r="237" spans="1:11" x14ac:dyDescent="0.3">
      <c r="A237" s="12">
        <v>45335</v>
      </c>
      <c r="B237" s="1" t="s">
        <v>107</v>
      </c>
      <c r="C237" s="1" t="s">
        <v>163</v>
      </c>
      <c r="D237" s="1" t="s">
        <v>32</v>
      </c>
      <c r="E237" s="7">
        <v>34701</v>
      </c>
      <c r="F237" s="1" t="s">
        <v>68</v>
      </c>
      <c r="G237" s="1">
        <v>339</v>
      </c>
      <c r="H237" s="1" t="s">
        <v>56</v>
      </c>
      <c r="I237" s="1" t="s">
        <v>52</v>
      </c>
      <c r="J237" s="1" t="s">
        <v>17</v>
      </c>
      <c r="K237" s="9">
        <v>0.1</v>
      </c>
    </row>
    <row r="238" spans="1:11" x14ac:dyDescent="0.3">
      <c r="A238" s="12">
        <v>45335</v>
      </c>
      <c r="B238" s="1" t="s">
        <v>95</v>
      </c>
      <c r="C238" s="1" t="s">
        <v>656</v>
      </c>
      <c r="D238" s="1" t="s">
        <v>38</v>
      </c>
      <c r="E238" s="7">
        <v>36142</v>
      </c>
      <c r="F238" s="1" t="s">
        <v>33</v>
      </c>
      <c r="G238" s="1">
        <v>58</v>
      </c>
      <c r="H238" s="1" t="s">
        <v>47</v>
      </c>
      <c r="I238" s="1" t="s">
        <v>39</v>
      </c>
      <c r="J238" s="1" t="s">
        <v>17</v>
      </c>
      <c r="K238" s="9">
        <v>0.1</v>
      </c>
    </row>
    <row r="239" spans="1:11" x14ac:dyDescent="0.3">
      <c r="A239" s="12">
        <v>45335</v>
      </c>
      <c r="B239" s="1" t="s">
        <v>758</v>
      </c>
      <c r="C239" s="1" t="s">
        <v>471</v>
      </c>
      <c r="D239" s="1" t="s">
        <v>71</v>
      </c>
      <c r="E239" s="7">
        <v>19109</v>
      </c>
      <c r="F239" s="1" t="s">
        <v>14</v>
      </c>
      <c r="G239" s="1">
        <v>35</v>
      </c>
      <c r="H239" s="1" t="s">
        <v>15</v>
      </c>
      <c r="I239" s="1" t="s">
        <v>48</v>
      </c>
      <c r="J239" s="1" t="s">
        <v>17</v>
      </c>
      <c r="K239" s="9">
        <v>0.1</v>
      </c>
    </row>
    <row r="240" spans="1:11" x14ac:dyDescent="0.3">
      <c r="A240" s="12">
        <v>45336</v>
      </c>
      <c r="B240" s="1" t="s">
        <v>392</v>
      </c>
      <c r="C240" s="1" t="s">
        <v>393</v>
      </c>
      <c r="D240" s="1" t="s">
        <v>83</v>
      </c>
      <c r="E240" s="7">
        <v>24152</v>
      </c>
      <c r="F240" s="1" t="s">
        <v>33</v>
      </c>
      <c r="G240" s="1">
        <v>409</v>
      </c>
      <c r="H240" s="1" t="s">
        <v>42</v>
      </c>
      <c r="I240" s="1" t="s">
        <v>52</v>
      </c>
      <c r="J240" s="1" t="s">
        <v>17</v>
      </c>
      <c r="K240" s="9">
        <v>0.1</v>
      </c>
    </row>
    <row r="241" spans="1:11" x14ac:dyDescent="0.3">
      <c r="A241" s="12">
        <v>45336</v>
      </c>
      <c r="B241" s="1" t="s">
        <v>360</v>
      </c>
      <c r="C241" s="1" t="s">
        <v>365</v>
      </c>
      <c r="D241" s="1" t="s">
        <v>13</v>
      </c>
      <c r="E241" s="7">
        <v>28835</v>
      </c>
      <c r="F241" s="1" t="s">
        <v>14</v>
      </c>
      <c r="G241" s="1">
        <v>240</v>
      </c>
      <c r="H241" s="1" t="s">
        <v>47</v>
      </c>
      <c r="I241" s="1" t="s">
        <v>28</v>
      </c>
      <c r="J241" s="1" t="s">
        <v>17</v>
      </c>
      <c r="K241" s="9">
        <v>0.1</v>
      </c>
    </row>
    <row r="242" spans="1:11" x14ac:dyDescent="0.3">
      <c r="A242" s="12">
        <v>45336</v>
      </c>
      <c r="B242" s="1" t="s">
        <v>587</v>
      </c>
      <c r="C242" s="1" t="s">
        <v>588</v>
      </c>
      <c r="D242" s="1" t="s">
        <v>46</v>
      </c>
      <c r="E242" s="7">
        <v>30212</v>
      </c>
      <c r="F242" s="1" t="s">
        <v>14</v>
      </c>
      <c r="G242" s="1">
        <v>482</v>
      </c>
      <c r="H242" s="1" t="s">
        <v>27</v>
      </c>
      <c r="I242" s="1" t="s">
        <v>52</v>
      </c>
      <c r="J242" s="1" t="s">
        <v>17</v>
      </c>
      <c r="K242" s="9">
        <v>0.1</v>
      </c>
    </row>
    <row r="243" spans="1:11" x14ac:dyDescent="0.3">
      <c r="A243" s="12">
        <v>45336</v>
      </c>
      <c r="B243" s="1" t="s">
        <v>640</v>
      </c>
      <c r="C243" s="1" t="s">
        <v>641</v>
      </c>
      <c r="D243" s="1" t="s">
        <v>32</v>
      </c>
      <c r="E243" s="7">
        <v>26707</v>
      </c>
      <c r="F243" s="1" t="s">
        <v>20</v>
      </c>
      <c r="G243" s="1">
        <v>427</v>
      </c>
      <c r="H243" s="1" t="s">
        <v>47</v>
      </c>
      <c r="I243" s="1" t="s">
        <v>48</v>
      </c>
      <c r="J243" s="1" t="s">
        <v>17</v>
      </c>
      <c r="K243" s="9">
        <v>0.1</v>
      </c>
    </row>
    <row r="244" spans="1:11" x14ac:dyDescent="0.3">
      <c r="A244" s="12">
        <v>45336</v>
      </c>
      <c r="B244" s="1" t="s">
        <v>411</v>
      </c>
      <c r="C244" s="1" t="s">
        <v>248</v>
      </c>
      <c r="D244" s="1" t="s">
        <v>71</v>
      </c>
      <c r="E244" s="7">
        <v>25646</v>
      </c>
      <c r="F244" s="1" t="s">
        <v>14</v>
      </c>
      <c r="G244" s="1">
        <v>255</v>
      </c>
      <c r="H244" s="1" t="s">
        <v>56</v>
      </c>
      <c r="I244" s="1" t="s">
        <v>39</v>
      </c>
      <c r="J244" s="1" t="s">
        <v>17</v>
      </c>
      <c r="K244" s="9">
        <v>0.1</v>
      </c>
    </row>
    <row r="245" spans="1:11" x14ac:dyDescent="0.3">
      <c r="A245" s="12">
        <v>45336</v>
      </c>
      <c r="B245" s="1" t="s">
        <v>115</v>
      </c>
      <c r="C245" s="1" t="s">
        <v>605</v>
      </c>
      <c r="D245" s="1" t="s">
        <v>71</v>
      </c>
      <c r="E245" s="7">
        <v>27617</v>
      </c>
      <c r="F245" s="1" t="s">
        <v>33</v>
      </c>
      <c r="G245" s="1">
        <v>120</v>
      </c>
      <c r="H245" s="1" t="s">
        <v>21</v>
      </c>
      <c r="I245" s="1" t="s">
        <v>52</v>
      </c>
      <c r="J245" s="1" t="s">
        <v>17</v>
      </c>
      <c r="K245" s="9">
        <v>0.1</v>
      </c>
    </row>
    <row r="246" spans="1:11" x14ac:dyDescent="0.3">
      <c r="A246" s="12">
        <v>45336</v>
      </c>
      <c r="B246" s="1" t="s">
        <v>640</v>
      </c>
      <c r="C246" s="1" t="s">
        <v>692</v>
      </c>
      <c r="D246" s="1" t="s">
        <v>51</v>
      </c>
      <c r="E246" s="7">
        <v>36748</v>
      </c>
      <c r="F246" s="1" t="s">
        <v>14</v>
      </c>
      <c r="G246" s="1">
        <v>35</v>
      </c>
      <c r="H246" s="1" t="s">
        <v>59</v>
      </c>
      <c r="I246" s="1" t="s">
        <v>48</v>
      </c>
      <c r="J246" s="1" t="s">
        <v>17</v>
      </c>
      <c r="K246" s="9">
        <v>0.1</v>
      </c>
    </row>
    <row r="247" spans="1:11" x14ac:dyDescent="0.3">
      <c r="A247" s="12">
        <v>45336</v>
      </c>
      <c r="B247" s="1" t="s">
        <v>373</v>
      </c>
      <c r="C247" s="1" t="s">
        <v>796</v>
      </c>
      <c r="D247" s="1" t="s">
        <v>83</v>
      </c>
      <c r="E247" s="7">
        <v>26091</v>
      </c>
      <c r="F247" s="1" t="s">
        <v>20</v>
      </c>
      <c r="G247" s="1">
        <v>381</v>
      </c>
      <c r="H247" s="1" t="s">
        <v>59</v>
      </c>
      <c r="I247" s="1" t="s">
        <v>52</v>
      </c>
      <c r="J247" s="1" t="s">
        <v>17</v>
      </c>
      <c r="K247" s="9">
        <v>0.1</v>
      </c>
    </row>
    <row r="248" spans="1:11" x14ac:dyDescent="0.3">
      <c r="A248" s="12">
        <v>45336</v>
      </c>
      <c r="B248" s="1" t="s">
        <v>332</v>
      </c>
      <c r="C248" s="1" t="s">
        <v>446</v>
      </c>
      <c r="D248" s="1" t="s">
        <v>71</v>
      </c>
      <c r="E248" s="7">
        <v>29279</v>
      </c>
      <c r="F248" s="1" t="s">
        <v>33</v>
      </c>
      <c r="G248" s="1">
        <v>271</v>
      </c>
      <c r="H248" s="1" t="s">
        <v>15</v>
      </c>
      <c r="I248" s="1" t="s">
        <v>52</v>
      </c>
      <c r="J248" s="1" t="s">
        <v>17</v>
      </c>
      <c r="K248" s="9">
        <v>0.1</v>
      </c>
    </row>
    <row r="249" spans="1:11" x14ac:dyDescent="0.3">
      <c r="A249" s="12">
        <v>45336</v>
      </c>
      <c r="B249" s="1" t="s">
        <v>750</v>
      </c>
      <c r="C249" s="1" t="s">
        <v>885</v>
      </c>
      <c r="D249" s="1" t="s">
        <v>83</v>
      </c>
      <c r="E249" s="7">
        <v>37185</v>
      </c>
      <c r="F249" s="1" t="s">
        <v>68</v>
      </c>
      <c r="G249" s="1">
        <v>196</v>
      </c>
      <c r="H249" s="1" t="s">
        <v>64</v>
      </c>
      <c r="I249" s="1" t="s">
        <v>48</v>
      </c>
      <c r="J249" s="1" t="s">
        <v>17</v>
      </c>
      <c r="K249" s="9">
        <v>0.1</v>
      </c>
    </row>
    <row r="250" spans="1:11" x14ac:dyDescent="0.3">
      <c r="A250" s="12">
        <v>45337</v>
      </c>
      <c r="B250" s="1" t="s">
        <v>53</v>
      </c>
      <c r="C250" s="1" t="s">
        <v>54</v>
      </c>
      <c r="D250" s="1" t="s">
        <v>55</v>
      </c>
      <c r="E250" s="7">
        <v>17492</v>
      </c>
      <c r="F250" s="1" t="s">
        <v>20</v>
      </c>
      <c r="G250" s="1">
        <v>468</v>
      </c>
      <c r="H250" s="1" t="s">
        <v>56</v>
      </c>
      <c r="I250" s="1" t="s">
        <v>28</v>
      </c>
      <c r="J250" s="1" t="s">
        <v>17</v>
      </c>
      <c r="K250" s="9">
        <v>0.1</v>
      </c>
    </row>
    <row r="251" spans="1:11" x14ac:dyDescent="0.3">
      <c r="A251" s="12">
        <v>45338</v>
      </c>
      <c r="B251" s="1" t="s">
        <v>66</v>
      </c>
      <c r="C251" s="1" t="s">
        <v>425</v>
      </c>
      <c r="D251" s="1" t="s">
        <v>83</v>
      </c>
      <c r="E251" s="7">
        <v>18001</v>
      </c>
      <c r="F251" s="1" t="s">
        <v>33</v>
      </c>
      <c r="G251" s="1">
        <v>250</v>
      </c>
      <c r="H251" s="1" t="s">
        <v>56</v>
      </c>
      <c r="I251" s="1" t="s">
        <v>48</v>
      </c>
      <c r="J251" s="1" t="s">
        <v>17</v>
      </c>
      <c r="K251" s="9">
        <v>0.1</v>
      </c>
    </row>
    <row r="252" spans="1:11" x14ac:dyDescent="0.3">
      <c r="A252" s="12">
        <v>45338</v>
      </c>
      <c r="B252" s="1" t="s">
        <v>509</v>
      </c>
      <c r="C252" s="1" t="s">
        <v>540</v>
      </c>
      <c r="D252" s="1" t="s">
        <v>51</v>
      </c>
      <c r="E252" s="7">
        <v>32667</v>
      </c>
      <c r="F252" s="1" t="s">
        <v>33</v>
      </c>
      <c r="G252" s="1">
        <v>146</v>
      </c>
      <c r="H252" s="1" t="s">
        <v>15</v>
      </c>
      <c r="I252" s="1" t="s">
        <v>48</v>
      </c>
      <c r="J252" s="1" t="s">
        <v>17</v>
      </c>
      <c r="K252" s="9">
        <v>0.1</v>
      </c>
    </row>
    <row r="253" spans="1:11" x14ac:dyDescent="0.3">
      <c r="A253" s="12">
        <v>45338</v>
      </c>
      <c r="B253" s="1" t="s">
        <v>149</v>
      </c>
      <c r="C253" s="1" t="s">
        <v>894</v>
      </c>
      <c r="D253" s="1" t="s">
        <v>46</v>
      </c>
      <c r="E253" s="7">
        <v>37315</v>
      </c>
      <c r="F253" s="1" t="s">
        <v>14</v>
      </c>
      <c r="G253" s="1">
        <v>367</v>
      </c>
      <c r="H253" s="1" t="s">
        <v>56</v>
      </c>
      <c r="I253" s="1" t="s">
        <v>43</v>
      </c>
      <c r="J253" s="1" t="s">
        <v>17</v>
      </c>
      <c r="K253" s="9">
        <v>0.1</v>
      </c>
    </row>
    <row r="254" spans="1:11" x14ac:dyDescent="0.3">
      <c r="A254" s="12">
        <v>45339</v>
      </c>
      <c r="B254" s="1" t="s">
        <v>44</v>
      </c>
      <c r="C254" s="1" t="s">
        <v>45</v>
      </c>
      <c r="D254" s="1" t="s">
        <v>46</v>
      </c>
      <c r="E254" s="7">
        <v>22039</v>
      </c>
      <c r="F254" s="1" t="s">
        <v>14</v>
      </c>
      <c r="G254" s="1">
        <v>366</v>
      </c>
      <c r="H254" s="1" t="s">
        <v>47</v>
      </c>
      <c r="I254" s="1" t="s">
        <v>48</v>
      </c>
      <c r="J254" s="1" t="s">
        <v>29</v>
      </c>
      <c r="K254" s="9">
        <v>0.1</v>
      </c>
    </row>
    <row r="255" spans="1:11" x14ac:dyDescent="0.3">
      <c r="A255" s="12">
        <v>45339</v>
      </c>
      <c r="B255" s="1" t="s">
        <v>36</v>
      </c>
      <c r="C255" s="1" t="s">
        <v>37</v>
      </c>
      <c r="D255" s="1" t="s">
        <v>38</v>
      </c>
      <c r="E255" s="7">
        <v>17049</v>
      </c>
      <c r="F255" s="1" t="s">
        <v>33</v>
      </c>
      <c r="G255" s="1">
        <v>229</v>
      </c>
      <c r="H255" s="1" t="s">
        <v>65</v>
      </c>
      <c r="I255" s="1" t="s">
        <v>43</v>
      </c>
      <c r="J255" s="1" t="s">
        <v>23</v>
      </c>
      <c r="K255" s="9">
        <v>0.1</v>
      </c>
    </row>
    <row r="256" spans="1:11" x14ac:dyDescent="0.3">
      <c r="A256" s="12">
        <v>45339</v>
      </c>
      <c r="B256" s="1" t="s">
        <v>53</v>
      </c>
      <c r="C256" s="1" t="s">
        <v>25</v>
      </c>
      <c r="D256" s="1" t="s">
        <v>55</v>
      </c>
      <c r="E256" s="7">
        <v>35271</v>
      </c>
      <c r="F256" s="1" t="s">
        <v>14</v>
      </c>
      <c r="G256" s="1">
        <v>377</v>
      </c>
      <c r="H256" s="1" t="s">
        <v>21</v>
      </c>
      <c r="I256" s="1" t="s">
        <v>52</v>
      </c>
      <c r="J256" s="1" t="s">
        <v>17</v>
      </c>
      <c r="K256" s="9">
        <v>0.1</v>
      </c>
    </row>
    <row r="257" spans="1:11" x14ac:dyDescent="0.3">
      <c r="A257" s="12">
        <v>45339</v>
      </c>
      <c r="B257" s="1" t="s">
        <v>558</v>
      </c>
      <c r="C257" s="1" t="s">
        <v>525</v>
      </c>
      <c r="D257" s="1" t="s">
        <v>55</v>
      </c>
      <c r="E257" s="7">
        <v>19966</v>
      </c>
      <c r="F257" s="1" t="s">
        <v>14</v>
      </c>
      <c r="G257" s="1">
        <v>366</v>
      </c>
      <c r="H257" s="1" t="s">
        <v>34</v>
      </c>
      <c r="I257" s="1" t="s">
        <v>52</v>
      </c>
      <c r="J257" s="1" t="s">
        <v>17</v>
      </c>
      <c r="K257" s="9">
        <v>0.1</v>
      </c>
    </row>
    <row r="258" spans="1:11" x14ac:dyDescent="0.3">
      <c r="A258" s="12">
        <v>45340</v>
      </c>
      <c r="B258" s="1" t="s">
        <v>642</v>
      </c>
      <c r="C258" s="1" t="s">
        <v>644</v>
      </c>
      <c r="D258" s="1" t="s">
        <v>38</v>
      </c>
      <c r="E258" s="7">
        <v>18337</v>
      </c>
      <c r="F258" s="1" t="s">
        <v>33</v>
      </c>
      <c r="G258" s="1">
        <v>132</v>
      </c>
      <c r="H258" s="1" t="s">
        <v>56</v>
      </c>
      <c r="I258" s="1" t="s">
        <v>48</v>
      </c>
      <c r="J258" s="1" t="s">
        <v>17</v>
      </c>
      <c r="K258" s="9">
        <v>0.1</v>
      </c>
    </row>
    <row r="259" spans="1:11" x14ac:dyDescent="0.3">
      <c r="A259" s="12">
        <v>45340</v>
      </c>
      <c r="B259" s="1" t="s">
        <v>274</v>
      </c>
      <c r="C259" s="1" t="s">
        <v>474</v>
      </c>
      <c r="D259" s="1" t="s">
        <v>38</v>
      </c>
      <c r="E259" s="7">
        <v>23406</v>
      </c>
      <c r="F259" s="1" t="s">
        <v>14</v>
      </c>
      <c r="G259" s="1">
        <v>73</v>
      </c>
      <c r="H259" s="1" t="s">
        <v>42</v>
      </c>
      <c r="I259" s="1" t="s">
        <v>43</v>
      </c>
      <c r="J259" s="1" t="s">
        <v>17</v>
      </c>
      <c r="K259" s="9">
        <v>0.1</v>
      </c>
    </row>
    <row r="260" spans="1:11" x14ac:dyDescent="0.3">
      <c r="A260" s="12">
        <v>45340</v>
      </c>
      <c r="B260" s="1" t="s">
        <v>616</v>
      </c>
      <c r="C260" s="1" t="s">
        <v>859</v>
      </c>
      <c r="D260" s="1" t="s">
        <v>46</v>
      </c>
      <c r="E260" s="7">
        <v>32602</v>
      </c>
      <c r="F260" s="1" t="s">
        <v>14</v>
      </c>
      <c r="G260" s="1">
        <v>107</v>
      </c>
      <c r="H260" s="1" t="s">
        <v>34</v>
      </c>
      <c r="I260" s="1" t="s">
        <v>28</v>
      </c>
      <c r="J260" s="1" t="s">
        <v>17</v>
      </c>
      <c r="K260" s="9">
        <v>0.1</v>
      </c>
    </row>
    <row r="261" spans="1:11" x14ac:dyDescent="0.3">
      <c r="A261" s="12">
        <v>45340</v>
      </c>
      <c r="B261" s="1" t="s">
        <v>896</v>
      </c>
      <c r="C261" s="1" t="s">
        <v>225</v>
      </c>
      <c r="D261" s="1" t="s">
        <v>55</v>
      </c>
      <c r="E261" s="7">
        <v>24034</v>
      </c>
      <c r="F261" s="1" t="s">
        <v>68</v>
      </c>
      <c r="G261" s="1">
        <v>173</v>
      </c>
      <c r="H261" s="1" t="s">
        <v>65</v>
      </c>
      <c r="I261" s="1" t="s">
        <v>52</v>
      </c>
      <c r="J261" s="1" t="s">
        <v>17</v>
      </c>
      <c r="K261" s="9">
        <v>0.1</v>
      </c>
    </row>
    <row r="262" spans="1:11" x14ac:dyDescent="0.3">
      <c r="A262" s="12">
        <v>45340</v>
      </c>
      <c r="B262" s="1" t="s">
        <v>534</v>
      </c>
      <c r="C262" s="1" t="s">
        <v>908</v>
      </c>
      <c r="D262" s="1" t="s">
        <v>78</v>
      </c>
      <c r="E262" s="7">
        <v>36460</v>
      </c>
      <c r="F262" s="1" t="s">
        <v>20</v>
      </c>
      <c r="G262" s="1">
        <v>482</v>
      </c>
      <c r="H262" s="1" t="s">
        <v>42</v>
      </c>
      <c r="I262" s="1" t="s">
        <v>43</v>
      </c>
      <c r="J262" s="1" t="s">
        <v>17</v>
      </c>
      <c r="K262" s="9">
        <v>0.1</v>
      </c>
    </row>
    <row r="263" spans="1:11" x14ac:dyDescent="0.3">
      <c r="A263" s="12">
        <v>45341</v>
      </c>
      <c r="B263" s="1" t="s">
        <v>226</v>
      </c>
      <c r="C263" s="1" t="s">
        <v>446</v>
      </c>
      <c r="D263" s="1" t="s">
        <v>38</v>
      </c>
      <c r="E263" s="7">
        <v>22832</v>
      </c>
      <c r="F263" s="1" t="s">
        <v>20</v>
      </c>
      <c r="G263" s="1">
        <v>496</v>
      </c>
      <c r="H263" s="1" t="s">
        <v>59</v>
      </c>
      <c r="I263" s="1" t="s">
        <v>28</v>
      </c>
      <c r="J263" s="1" t="s">
        <v>17</v>
      </c>
      <c r="K263" s="9">
        <v>0.1</v>
      </c>
    </row>
    <row r="264" spans="1:11" x14ac:dyDescent="0.3">
      <c r="A264" s="12">
        <v>45341</v>
      </c>
      <c r="B264" s="1" t="s">
        <v>464</v>
      </c>
      <c r="C264" s="1" t="s">
        <v>465</v>
      </c>
      <c r="D264" s="1" t="s">
        <v>94</v>
      </c>
      <c r="E264" s="7">
        <v>26289</v>
      </c>
      <c r="F264" s="1" t="s">
        <v>14</v>
      </c>
      <c r="G264" s="1">
        <v>297</v>
      </c>
      <c r="H264" s="1" t="s">
        <v>21</v>
      </c>
      <c r="I264" s="1" t="s">
        <v>52</v>
      </c>
      <c r="J264" s="1" t="s">
        <v>17</v>
      </c>
      <c r="K264" s="9">
        <v>0.1</v>
      </c>
    </row>
    <row r="265" spans="1:11" x14ac:dyDescent="0.3">
      <c r="A265" s="12">
        <v>45341</v>
      </c>
      <c r="B265" s="1" t="s">
        <v>484</v>
      </c>
      <c r="C265" s="1" t="s">
        <v>498</v>
      </c>
      <c r="D265" s="1" t="s">
        <v>55</v>
      </c>
      <c r="E265" s="7">
        <v>38054</v>
      </c>
      <c r="F265" s="1" t="s">
        <v>68</v>
      </c>
      <c r="G265" s="1">
        <v>67</v>
      </c>
      <c r="H265" s="1" t="s">
        <v>59</v>
      </c>
      <c r="I265" s="1" t="s">
        <v>48</v>
      </c>
      <c r="J265" s="1" t="s">
        <v>17</v>
      </c>
      <c r="K265" s="9">
        <v>0.1</v>
      </c>
    </row>
    <row r="266" spans="1:11" x14ac:dyDescent="0.3">
      <c r="A266" s="12">
        <v>45341</v>
      </c>
      <c r="B266" s="1" t="s">
        <v>74</v>
      </c>
      <c r="C266" s="1" t="s">
        <v>425</v>
      </c>
      <c r="D266" s="1" t="s">
        <v>13</v>
      </c>
      <c r="E266" s="7">
        <v>17373</v>
      </c>
      <c r="F266" s="1" t="s">
        <v>68</v>
      </c>
      <c r="G266" s="1">
        <v>79</v>
      </c>
      <c r="H266" s="1" t="s">
        <v>27</v>
      </c>
      <c r="I266" s="1" t="s">
        <v>52</v>
      </c>
      <c r="J266" s="1" t="s">
        <v>17</v>
      </c>
      <c r="K266" s="9">
        <v>0.1</v>
      </c>
    </row>
    <row r="267" spans="1:11" x14ac:dyDescent="0.3">
      <c r="A267" s="12">
        <v>45341</v>
      </c>
      <c r="B267" s="1" t="s">
        <v>203</v>
      </c>
      <c r="C267" s="1" t="s">
        <v>596</v>
      </c>
      <c r="D267" s="1" t="s">
        <v>83</v>
      </c>
      <c r="E267" s="7">
        <v>37601</v>
      </c>
      <c r="F267" s="1" t="s">
        <v>33</v>
      </c>
      <c r="G267" s="1">
        <v>212</v>
      </c>
      <c r="H267" s="1" t="s">
        <v>47</v>
      </c>
      <c r="I267" s="1" t="s">
        <v>52</v>
      </c>
      <c r="J267" s="1" t="s">
        <v>17</v>
      </c>
      <c r="K267" s="9">
        <v>0.1</v>
      </c>
    </row>
    <row r="268" spans="1:11" x14ac:dyDescent="0.3">
      <c r="A268" s="12">
        <v>45341</v>
      </c>
      <c r="B268" s="1" t="s">
        <v>310</v>
      </c>
      <c r="C268" s="1" t="s">
        <v>698</v>
      </c>
      <c r="D268" s="1" t="s">
        <v>94</v>
      </c>
      <c r="E268" s="7">
        <v>19903</v>
      </c>
      <c r="F268" s="1" t="s">
        <v>33</v>
      </c>
      <c r="G268" s="1">
        <v>124</v>
      </c>
      <c r="H268" s="1" t="s">
        <v>21</v>
      </c>
      <c r="I268" s="1" t="s">
        <v>52</v>
      </c>
      <c r="J268" s="1" t="s">
        <v>17</v>
      </c>
      <c r="K268" s="9">
        <v>0.1</v>
      </c>
    </row>
    <row r="269" spans="1:11" x14ac:dyDescent="0.3">
      <c r="A269" s="12">
        <v>45342</v>
      </c>
      <c r="B269" s="1" t="s">
        <v>11</v>
      </c>
      <c r="C269" s="1" t="s">
        <v>12</v>
      </c>
      <c r="D269" s="1" t="s">
        <v>13</v>
      </c>
      <c r="E269" s="7">
        <v>20020</v>
      </c>
      <c r="F269" s="1" t="s">
        <v>14</v>
      </c>
      <c r="G269" s="1">
        <v>129</v>
      </c>
      <c r="H269" s="1" t="s">
        <v>15</v>
      </c>
      <c r="I269" s="1" t="s">
        <v>16</v>
      </c>
      <c r="J269" s="1" t="s">
        <v>17</v>
      </c>
      <c r="K269" s="9">
        <v>0.1</v>
      </c>
    </row>
    <row r="270" spans="1:11" x14ac:dyDescent="0.3">
      <c r="A270" s="12">
        <v>45342</v>
      </c>
      <c r="B270" s="1" t="s">
        <v>129</v>
      </c>
      <c r="C270" s="1" t="s">
        <v>31</v>
      </c>
      <c r="D270" s="1" t="s">
        <v>38</v>
      </c>
      <c r="E270" s="7">
        <v>22557</v>
      </c>
      <c r="F270" s="1" t="s">
        <v>20</v>
      </c>
      <c r="G270" s="1">
        <v>428</v>
      </c>
      <c r="H270" s="1" t="s">
        <v>64</v>
      </c>
      <c r="I270" s="1" t="s">
        <v>35</v>
      </c>
      <c r="J270" s="1" t="s">
        <v>17</v>
      </c>
      <c r="K270" s="9">
        <v>0.1</v>
      </c>
    </row>
    <row r="271" spans="1:11" x14ac:dyDescent="0.3">
      <c r="A271" s="12">
        <v>45342</v>
      </c>
      <c r="B271" s="1"/>
      <c r="C271" s="1" t="s">
        <v>864</v>
      </c>
      <c r="D271" s="1" t="s">
        <v>26</v>
      </c>
      <c r="E271" s="7">
        <v>16792</v>
      </c>
      <c r="F271" s="1" t="s">
        <v>68</v>
      </c>
      <c r="G271" s="1">
        <v>182</v>
      </c>
      <c r="H271" s="1" t="s">
        <v>56</v>
      </c>
      <c r="I271" s="1" t="s">
        <v>52</v>
      </c>
      <c r="J271" s="1" t="s">
        <v>17</v>
      </c>
      <c r="K271" s="9">
        <v>0.1</v>
      </c>
    </row>
    <row r="272" spans="1:11" x14ac:dyDescent="0.3">
      <c r="A272" s="12">
        <v>45343</v>
      </c>
      <c r="B272" s="1" t="s">
        <v>107</v>
      </c>
      <c r="C272" s="1" t="s">
        <v>730</v>
      </c>
      <c r="D272" s="1" t="s">
        <v>13</v>
      </c>
      <c r="E272" s="7">
        <v>25647</v>
      </c>
      <c r="F272" s="1" t="s">
        <v>20</v>
      </c>
      <c r="G272" s="1">
        <v>32</v>
      </c>
      <c r="H272" s="1" t="s">
        <v>59</v>
      </c>
      <c r="I272" s="1" t="s">
        <v>48</v>
      </c>
      <c r="J272" s="1" t="s">
        <v>17</v>
      </c>
      <c r="K272" s="9">
        <v>0.1</v>
      </c>
    </row>
    <row r="273" spans="1:11" x14ac:dyDescent="0.3">
      <c r="A273" s="12">
        <v>45344</v>
      </c>
      <c r="B273" s="1" t="s">
        <v>290</v>
      </c>
      <c r="C273" s="1" t="s">
        <v>124</v>
      </c>
      <c r="D273" s="1" t="s">
        <v>83</v>
      </c>
      <c r="E273" s="7">
        <v>24881</v>
      </c>
      <c r="F273" s="1" t="s">
        <v>14</v>
      </c>
      <c r="G273" s="1">
        <v>136</v>
      </c>
      <c r="H273" s="1" t="s">
        <v>47</v>
      </c>
      <c r="I273" s="1" t="s">
        <v>43</v>
      </c>
      <c r="J273" s="1" t="s">
        <v>17</v>
      </c>
      <c r="K273" s="9">
        <v>0.1</v>
      </c>
    </row>
    <row r="274" spans="1:11" x14ac:dyDescent="0.3">
      <c r="A274" s="12">
        <v>45344</v>
      </c>
      <c r="B274" s="1" t="s">
        <v>115</v>
      </c>
      <c r="C274" s="1" t="s">
        <v>37</v>
      </c>
      <c r="D274" s="1" t="s">
        <v>71</v>
      </c>
      <c r="E274" s="7">
        <v>35114</v>
      </c>
      <c r="F274" s="1" t="s">
        <v>14</v>
      </c>
      <c r="G274" s="1">
        <v>64</v>
      </c>
      <c r="H274" s="1" t="s">
        <v>56</v>
      </c>
      <c r="I274" s="1" t="s">
        <v>39</v>
      </c>
      <c r="J274" s="1" t="s">
        <v>17</v>
      </c>
      <c r="K274" s="9">
        <v>0.1</v>
      </c>
    </row>
    <row r="275" spans="1:11" x14ac:dyDescent="0.3">
      <c r="A275" s="12">
        <v>45344</v>
      </c>
      <c r="B275" s="1" t="s">
        <v>453</v>
      </c>
      <c r="C275" s="1" t="s">
        <v>697</v>
      </c>
      <c r="D275" s="1" t="s">
        <v>13</v>
      </c>
      <c r="E275" s="7">
        <v>29483</v>
      </c>
      <c r="F275" s="1" t="s">
        <v>68</v>
      </c>
      <c r="G275" s="1">
        <v>456</v>
      </c>
      <c r="H275" s="1" t="s">
        <v>21</v>
      </c>
      <c r="I275" s="1" t="s">
        <v>43</v>
      </c>
      <c r="J275" s="1" t="s">
        <v>17</v>
      </c>
      <c r="K275" s="9">
        <v>0.1</v>
      </c>
    </row>
    <row r="276" spans="1:11" x14ac:dyDescent="0.3">
      <c r="A276" s="12">
        <v>45344</v>
      </c>
      <c r="B276" s="1" t="s">
        <v>24</v>
      </c>
      <c r="C276" s="1" t="s">
        <v>25</v>
      </c>
      <c r="D276" s="1" t="s">
        <v>26</v>
      </c>
      <c r="E276" s="7">
        <v>21801</v>
      </c>
      <c r="F276" s="1" t="s">
        <v>68</v>
      </c>
      <c r="G276" s="1">
        <v>30</v>
      </c>
      <c r="H276" s="1" t="s">
        <v>42</v>
      </c>
      <c r="I276" s="1" t="s">
        <v>39</v>
      </c>
      <c r="J276" s="1" t="s">
        <v>17</v>
      </c>
      <c r="K276" s="9">
        <v>0.1</v>
      </c>
    </row>
    <row r="277" spans="1:11" x14ac:dyDescent="0.3">
      <c r="A277" s="12">
        <v>45345</v>
      </c>
      <c r="B277" s="1" t="s">
        <v>62</v>
      </c>
      <c r="C277" s="1" t="s">
        <v>543</v>
      </c>
      <c r="D277" s="1" t="s">
        <v>55</v>
      </c>
      <c r="E277" s="7">
        <v>24492</v>
      </c>
      <c r="F277" s="1" t="s">
        <v>20</v>
      </c>
      <c r="G277" s="1">
        <v>407</v>
      </c>
      <c r="H277" s="1" t="s">
        <v>21</v>
      </c>
      <c r="I277" s="1" t="s">
        <v>52</v>
      </c>
      <c r="J277" s="1" t="s">
        <v>17</v>
      </c>
      <c r="K277" s="9">
        <v>0.1</v>
      </c>
    </row>
    <row r="278" spans="1:11" x14ac:dyDescent="0.3">
      <c r="A278" s="12">
        <v>45345</v>
      </c>
      <c r="B278" s="1" t="s">
        <v>321</v>
      </c>
      <c r="C278" s="1" t="s">
        <v>766</v>
      </c>
      <c r="D278" s="1" t="s">
        <v>78</v>
      </c>
      <c r="E278" s="7">
        <v>20563</v>
      </c>
      <c r="F278" s="1" t="s">
        <v>33</v>
      </c>
      <c r="G278" s="1">
        <v>265</v>
      </c>
      <c r="H278" s="1" t="s">
        <v>42</v>
      </c>
      <c r="I278" s="1" t="s">
        <v>39</v>
      </c>
      <c r="J278" s="1" t="s">
        <v>17</v>
      </c>
      <c r="K278" s="9">
        <v>0.1</v>
      </c>
    </row>
    <row r="279" spans="1:11" x14ac:dyDescent="0.3">
      <c r="A279" s="12">
        <v>45345</v>
      </c>
      <c r="B279" s="1" t="s">
        <v>878</v>
      </c>
      <c r="C279" s="1" t="s">
        <v>63</v>
      </c>
      <c r="D279" s="1" t="s">
        <v>51</v>
      </c>
      <c r="E279" s="7">
        <v>36850</v>
      </c>
      <c r="F279" s="1" t="s">
        <v>33</v>
      </c>
      <c r="G279" s="1">
        <v>322</v>
      </c>
      <c r="H279" s="1" t="s">
        <v>34</v>
      </c>
      <c r="I279" s="1" t="s">
        <v>28</v>
      </c>
      <c r="J279" s="1" t="s">
        <v>17</v>
      </c>
      <c r="K279" s="9">
        <v>0.1</v>
      </c>
    </row>
    <row r="280" spans="1:11" x14ac:dyDescent="0.3">
      <c r="A280" s="12">
        <v>45346</v>
      </c>
      <c r="B280" s="1" t="s">
        <v>338</v>
      </c>
      <c r="C280" s="1" t="s">
        <v>507</v>
      </c>
      <c r="D280" s="1" t="s">
        <v>78</v>
      </c>
      <c r="E280" s="7">
        <v>26656</v>
      </c>
      <c r="F280" s="1" t="s">
        <v>14</v>
      </c>
      <c r="G280" s="1">
        <v>150</v>
      </c>
      <c r="H280" s="1" t="s">
        <v>42</v>
      </c>
      <c r="I280" s="1" t="s">
        <v>52</v>
      </c>
      <c r="J280" s="1" t="s">
        <v>17</v>
      </c>
      <c r="K280" s="9">
        <v>0.1</v>
      </c>
    </row>
    <row r="281" spans="1:11" x14ac:dyDescent="0.3">
      <c r="A281" s="12">
        <v>45346</v>
      </c>
      <c r="B281" s="1" t="s">
        <v>436</v>
      </c>
      <c r="C281" s="1" t="s">
        <v>308</v>
      </c>
      <c r="D281" s="1" t="s">
        <v>13</v>
      </c>
      <c r="E281" s="7">
        <v>28648</v>
      </c>
      <c r="F281" s="1" t="s">
        <v>68</v>
      </c>
      <c r="G281" s="1">
        <v>349</v>
      </c>
      <c r="H281" s="1" t="s">
        <v>65</v>
      </c>
      <c r="I281" s="1" t="s">
        <v>35</v>
      </c>
      <c r="J281" s="1" t="s">
        <v>23</v>
      </c>
      <c r="K281" s="9">
        <v>0.1</v>
      </c>
    </row>
    <row r="282" spans="1:11" x14ac:dyDescent="0.3">
      <c r="A282" s="12">
        <v>45346</v>
      </c>
      <c r="B282" s="1" t="s">
        <v>154</v>
      </c>
      <c r="C282" s="1" t="s">
        <v>126</v>
      </c>
      <c r="D282" s="1" t="s">
        <v>83</v>
      </c>
      <c r="E282" s="7">
        <v>30406</v>
      </c>
      <c r="F282" s="1" t="s">
        <v>68</v>
      </c>
      <c r="G282" s="1">
        <v>146</v>
      </c>
      <c r="H282" s="1" t="s">
        <v>47</v>
      </c>
      <c r="I282" s="1" t="s">
        <v>52</v>
      </c>
      <c r="J282" s="1" t="s">
        <v>17</v>
      </c>
      <c r="K282" s="9">
        <v>0.1</v>
      </c>
    </row>
    <row r="283" spans="1:11" x14ac:dyDescent="0.3">
      <c r="A283" s="12">
        <v>45346</v>
      </c>
      <c r="B283" s="1" t="s">
        <v>789</v>
      </c>
      <c r="C283" s="1" t="s">
        <v>89</v>
      </c>
      <c r="D283" s="1" t="s">
        <v>71</v>
      </c>
      <c r="E283" s="7">
        <v>35587</v>
      </c>
      <c r="F283" s="1" t="s">
        <v>20</v>
      </c>
      <c r="G283" s="1">
        <v>401</v>
      </c>
      <c r="H283" s="1" t="s">
        <v>15</v>
      </c>
      <c r="I283" s="1" t="s">
        <v>48</v>
      </c>
      <c r="J283" s="1" t="s">
        <v>17</v>
      </c>
      <c r="K283" s="9">
        <v>0.1</v>
      </c>
    </row>
    <row r="284" spans="1:11" x14ac:dyDescent="0.3">
      <c r="A284" s="12">
        <v>45346</v>
      </c>
      <c r="B284" s="1" t="s">
        <v>469</v>
      </c>
      <c r="C284" s="1" t="s">
        <v>793</v>
      </c>
      <c r="D284" s="1" t="s">
        <v>51</v>
      </c>
      <c r="E284" s="7">
        <v>27955</v>
      </c>
      <c r="F284" s="1" t="s">
        <v>20</v>
      </c>
      <c r="G284" s="1">
        <v>81</v>
      </c>
      <c r="H284" s="1" t="s">
        <v>27</v>
      </c>
      <c r="I284" s="1" t="s">
        <v>35</v>
      </c>
      <c r="J284" s="1" t="s">
        <v>17</v>
      </c>
      <c r="K284" s="9">
        <v>0.1</v>
      </c>
    </row>
    <row r="285" spans="1:11" x14ac:dyDescent="0.3">
      <c r="A285" s="12">
        <v>45346</v>
      </c>
      <c r="B285" s="1" t="s">
        <v>817</v>
      </c>
      <c r="C285" s="1" t="s">
        <v>12</v>
      </c>
      <c r="D285" s="1" t="s">
        <v>71</v>
      </c>
      <c r="E285" s="7">
        <v>16241</v>
      </c>
      <c r="F285" s="1" t="s">
        <v>14</v>
      </c>
      <c r="G285" s="1">
        <v>298</v>
      </c>
      <c r="H285" s="1" t="s">
        <v>47</v>
      </c>
      <c r="I285" s="1" t="s">
        <v>48</v>
      </c>
      <c r="J285" s="1" t="s">
        <v>17</v>
      </c>
      <c r="K285" s="9">
        <v>0.1</v>
      </c>
    </row>
    <row r="286" spans="1:11" x14ac:dyDescent="0.3">
      <c r="A286" s="12">
        <v>45346</v>
      </c>
      <c r="B286" s="1" t="s">
        <v>265</v>
      </c>
      <c r="C286" s="1" t="s">
        <v>533</v>
      </c>
      <c r="D286" s="1" t="s">
        <v>71</v>
      </c>
      <c r="E286" s="7">
        <v>31863</v>
      </c>
      <c r="F286" s="1" t="s">
        <v>14</v>
      </c>
      <c r="G286" s="1">
        <v>307</v>
      </c>
      <c r="H286" s="1" t="s">
        <v>56</v>
      </c>
      <c r="I286" s="1" t="s">
        <v>28</v>
      </c>
      <c r="J286" s="1" t="s">
        <v>17</v>
      </c>
      <c r="K286" s="9">
        <v>0.1</v>
      </c>
    </row>
    <row r="287" spans="1:11" x14ac:dyDescent="0.3">
      <c r="A287" s="12">
        <v>45346</v>
      </c>
      <c r="B287" s="1" t="s">
        <v>496</v>
      </c>
      <c r="C287" s="1" t="s">
        <v>890</v>
      </c>
      <c r="D287" s="1" t="s">
        <v>26</v>
      </c>
      <c r="E287" s="7">
        <v>35116</v>
      </c>
      <c r="F287" s="1" t="s">
        <v>14</v>
      </c>
      <c r="G287" s="1">
        <v>31</v>
      </c>
      <c r="H287" s="1" t="s">
        <v>42</v>
      </c>
      <c r="I287" s="1" t="s">
        <v>43</v>
      </c>
      <c r="J287" s="1" t="s">
        <v>17</v>
      </c>
      <c r="K287" s="9">
        <v>0.1</v>
      </c>
    </row>
    <row r="288" spans="1:11" x14ac:dyDescent="0.3">
      <c r="A288" s="12">
        <v>45347</v>
      </c>
      <c r="B288" s="1" t="s">
        <v>90</v>
      </c>
      <c r="C288" s="1" t="s">
        <v>91</v>
      </c>
      <c r="D288" s="1" t="s">
        <v>83</v>
      </c>
      <c r="E288" s="7">
        <v>21451</v>
      </c>
      <c r="F288" s="1" t="s">
        <v>20</v>
      </c>
      <c r="G288" s="1">
        <v>276</v>
      </c>
      <c r="H288" s="1" t="s">
        <v>65</v>
      </c>
      <c r="I288" s="1" t="s">
        <v>52</v>
      </c>
      <c r="J288" s="1" t="s">
        <v>17</v>
      </c>
      <c r="K288" s="9">
        <v>0.1</v>
      </c>
    </row>
    <row r="289" spans="1:11" x14ac:dyDescent="0.3">
      <c r="A289" s="12">
        <v>45347</v>
      </c>
      <c r="B289" s="1" t="s">
        <v>477</v>
      </c>
      <c r="C289" s="1" t="s">
        <v>478</v>
      </c>
      <c r="D289" s="1" t="s">
        <v>55</v>
      </c>
      <c r="E289" s="7">
        <v>25525</v>
      </c>
      <c r="F289" s="1" t="s">
        <v>20</v>
      </c>
      <c r="G289" s="1">
        <v>387</v>
      </c>
      <c r="H289" s="1" t="s">
        <v>47</v>
      </c>
      <c r="I289" s="1" t="s">
        <v>48</v>
      </c>
      <c r="J289" s="1" t="s">
        <v>17</v>
      </c>
      <c r="K289" s="9">
        <v>0.1</v>
      </c>
    </row>
    <row r="290" spans="1:11" x14ac:dyDescent="0.3">
      <c r="A290" s="12">
        <v>45347</v>
      </c>
      <c r="B290" s="1" t="s">
        <v>828</v>
      </c>
      <c r="C290" s="1" t="s">
        <v>829</v>
      </c>
      <c r="D290" s="1" t="s">
        <v>13</v>
      </c>
      <c r="E290" s="7">
        <v>29264</v>
      </c>
      <c r="F290" s="1" t="s">
        <v>33</v>
      </c>
      <c r="G290" s="1">
        <v>74</v>
      </c>
      <c r="H290" s="1" t="s">
        <v>34</v>
      </c>
      <c r="I290" s="1" t="s">
        <v>48</v>
      </c>
      <c r="J290" s="1" t="s">
        <v>17</v>
      </c>
      <c r="K290" s="9">
        <v>0.1</v>
      </c>
    </row>
    <row r="291" spans="1:11" x14ac:dyDescent="0.3">
      <c r="A291" s="12">
        <v>45347</v>
      </c>
      <c r="B291" s="1" t="s">
        <v>219</v>
      </c>
      <c r="C291" s="1" t="s">
        <v>848</v>
      </c>
      <c r="D291" s="1" t="s">
        <v>32</v>
      </c>
      <c r="E291" s="7">
        <v>23274</v>
      </c>
      <c r="F291" s="1" t="s">
        <v>14</v>
      </c>
      <c r="G291" s="1">
        <v>487</v>
      </c>
      <c r="H291" s="1" t="s">
        <v>64</v>
      </c>
      <c r="I291" s="1" t="s">
        <v>48</v>
      </c>
      <c r="J291" s="1" t="s">
        <v>17</v>
      </c>
      <c r="K291" s="9">
        <v>0.1</v>
      </c>
    </row>
    <row r="292" spans="1:11" x14ac:dyDescent="0.3">
      <c r="A292" s="12">
        <v>45348</v>
      </c>
      <c r="B292" s="1" t="s">
        <v>103</v>
      </c>
      <c r="C292" s="1" t="s">
        <v>104</v>
      </c>
      <c r="D292" s="1" t="s">
        <v>26</v>
      </c>
      <c r="E292" s="7">
        <v>28546</v>
      </c>
      <c r="F292" s="1" t="s">
        <v>68</v>
      </c>
      <c r="G292" s="1">
        <v>432</v>
      </c>
      <c r="H292" s="1" t="s">
        <v>56</v>
      </c>
      <c r="I292" s="1" t="s">
        <v>39</v>
      </c>
      <c r="J292" s="1" t="s">
        <v>17</v>
      </c>
      <c r="K292" s="9">
        <v>0.1</v>
      </c>
    </row>
    <row r="293" spans="1:11" x14ac:dyDescent="0.3">
      <c r="A293" s="12">
        <v>45348</v>
      </c>
      <c r="B293" s="1" t="s">
        <v>227</v>
      </c>
      <c r="C293" s="1" t="s">
        <v>228</v>
      </c>
      <c r="D293" s="1" t="s">
        <v>94</v>
      </c>
      <c r="E293" s="7">
        <v>38312</v>
      </c>
      <c r="F293" s="1" t="s">
        <v>20</v>
      </c>
      <c r="G293" s="1">
        <v>56</v>
      </c>
      <c r="H293" s="1" t="s">
        <v>15</v>
      </c>
      <c r="I293" s="1" t="s">
        <v>52</v>
      </c>
      <c r="J293" s="1" t="s">
        <v>17</v>
      </c>
      <c r="K293" s="9">
        <v>0.1</v>
      </c>
    </row>
    <row r="294" spans="1:11" x14ac:dyDescent="0.3">
      <c r="A294" s="12">
        <v>45348</v>
      </c>
      <c r="B294" s="1" t="s">
        <v>193</v>
      </c>
      <c r="C294" s="1" t="s">
        <v>781</v>
      </c>
      <c r="D294" s="1" t="s">
        <v>46</v>
      </c>
      <c r="E294" s="7">
        <v>24414</v>
      </c>
      <c r="F294" s="1" t="s">
        <v>33</v>
      </c>
      <c r="G294" s="1">
        <v>495</v>
      </c>
      <c r="H294" s="1" t="s">
        <v>64</v>
      </c>
      <c r="I294" s="1" t="s">
        <v>52</v>
      </c>
      <c r="J294" s="1" t="s">
        <v>17</v>
      </c>
      <c r="K294" s="9">
        <v>0.1</v>
      </c>
    </row>
    <row r="295" spans="1:11" x14ac:dyDescent="0.3">
      <c r="A295" s="12">
        <v>45349</v>
      </c>
      <c r="B295" s="1" t="s">
        <v>328</v>
      </c>
      <c r="C295" s="1" t="s">
        <v>329</v>
      </c>
      <c r="D295" s="1" t="s">
        <v>94</v>
      </c>
      <c r="E295" s="7">
        <v>22693</v>
      </c>
      <c r="F295" s="1" t="s">
        <v>14</v>
      </c>
      <c r="G295" s="1">
        <v>149</v>
      </c>
      <c r="H295" s="1" t="s">
        <v>65</v>
      </c>
      <c r="I295" s="1" t="s">
        <v>52</v>
      </c>
      <c r="J295" s="1" t="s">
        <v>29</v>
      </c>
      <c r="K295" s="9">
        <v>0.1</v>
      </c>
    </row>
    <row r="296" spans="1:11" x14ac:dyDescent="0.3">
      <c r="A296" s="12">
        <v>45349</v>
      </c>
      <c r="B296" s="1" t="s">
        <v>558</v>
      </c>
      <c r="C296" s="1" t="s">
        <v>89</v>
      </c>
      <c r="D296" s="1" t="s">
        <v>83</v>
      </c>
      <c r="E296" s="7">
        <v>22178</v>
      </c>
      <c r="F296" s="1" t="s">
        <v>20</v>
      </c>
      <c r="G296" s="1">
        <v>223</v>
      </c>
      <c r="H296" s="1" t="s">
        <v>21</v>
      </c>
      <c r="I296" s="1" t="s">
        <v>48</v>
      </c>
      <c r="J296" s="1" t="s">
        <v>17</v>
      </c>
      <c r="K296" s="9">
        <v>0.1</v>
      </c>
    </row>
    <row r="297" spans="1:11" x14ac:dyDescent="0.3">
      <c r="A297" s="12">
        <v>45350</v>
      </c>
      <c r="B297" s="1" t="s">
        <v>314</v>
      </c>
      <c r="C297" s="1" t="s">
        <v>315</v>
      </c>
      <c r="D297" s="1" t="s">
        <v>51</v>
      </c>
      <c r="E297" s="7">
        <v>16651</v>
      </c>
      <c r="F297" s="1" t="s">
        <v>33</v>
      </c>
      <c r="G297" s="1">
        <v>265</v>
      </c>
      <c r="H297" s="1" t="s">
        <v>56</v>
      </c>
      <c r="I297" s="1" t="s">
        <v>48</v>
      </c>
      <c r="J297" s="1"/>
      <c r="K297" s="9">
        <v>0.1</v>
      </c>
    </row>
    <row r="298" spans="1:11" x14ac:dyDescent="0.3">
      <c r="A298" s="12">
        <v>45350</v>
      </c>
      <c r="B298" s="1" t="s">
        <v>314</v>
      </c>
      <c r="C298" s="1" t="s">
        <v>347</v>
      </c>
      <c r="D298" s="1" t="s">
        <v>32</v>
      </c>
      <c r="E298" s="7">
        <v>23334</v>
      </c>
      <c r="F298" s="1" t="s">
        <v>20</v>
      </c>
      <c r="G298" s="1">
        <v>242</v>
      </c>
      <c r="H298" s="1" t="s">
        <v>34</v>
      </c>
      <c r="I298" s="1" t="s">
        <v>48</v>
      </c>
      <c r="J298" s="1" t="s">
        <v>17</v>
      </c>
      <c r="K298" s="9">
        <v>0.1</v>
      </c>
    </row>
    <row r="299" spans="1:11" x14ac:dyDescent="0.3">
      <c r="A299" s="12">
        <v>45350</v>
      </c>
      <c r="B299" s="1"/>
      <c r="C299" s="1" t="s">
        <v>380</v>
      </c>
      <c r="D299" s="1" t="s">
        <v>83</v>
      </c>
      <c r="E299" s="7">
        <v>29025</v>
      </c>
      <c r="F299" s="1" t="s">
        <v>68</v>
      </c>
      <c r="G299" s="1">
        <v>76</v>
      </c>
      <c r="H299" s="1" t="s">
        <v>64</v>
      </c>
      <c r="I299" s="1" t="s">
        <v>52</v>
      </c>
      <c r="J299" s="1" t="s">
        <v>17</v>
      </c>
      <c r="K299" s="9">
        <v>0.1</v>
      </c>
    </row>
    <row r="300" spans="1:11" x14ac:dyDescent="0.3">
      <c r="A300" s="12">
        <v>45350</v>
      </c>
      <c r="B300" s="1" t="s">
        <v>332</v>
      </c>
      <c r="C300" s="1" t="s">
        <v>85</v>
      </c>
      <c r="D300" s="1" t="s">
        <v>78</v>
      </c>
      <c r="E300" s="7">
        <v>27196</v>
      </c>
      <c r="F300" s="1" t="s">
        <v>33</v>
      </c>
      <c r="G300" s="1">
        <v>125</v>
      </c>
      <c r="H300" s="1" t="s">
        <v>34</v>
      </c>
      <c r="I300" s="1" t="s">
        <v>39</v>
      </c>
      <c r="J300" s="1" t="s">
        <v>17</v>
      </c>
      <c r="K300" s="9">
        <v>0.1</v>
      </c>
    </row>
    <row r="301" spans="1:11" x14ac:dyDescent="0.3">
      <c r="A301" s="12">
        <v>45351</v>
      </c>
      <c r="B301" s="1" t="s">
        <v>117</v>
      </c>
      <c r="C301" s="1" t="s">
        <v>19</v>
      </c>
      <c r="D301" s="1" t="s">
        <v>51</v>
      </c>
      <c r="E301" s="7">
        <v>36206</v>
      </c>
      <c r="F301" s="1" t="s">
        <v>14</v>
      </c>
      <c r="G301" s="1">
        <v>252</v>
      </c>
      <c r="H301" s="1" t="s">
        <v>21</v>
      </c>
      <c r="I301" s="1" t="s">
        <v>39</v>
      </c>
      <c r="J301" s="1" t="s">
        <v>17</v>
      </c>
      <c r="K301" s="9">
        <v>0.1</v>
      </c>
    </row>
    <row r="302" spans="1:11" x14ac:dyDescent="0.3">
      <c r="A302" s="12">
        <v>45351</v>
      </c>
      <c r="B302" s="1" t="s">
        <v>233</v>
      </c>
      <c r="C302" s="1" t="s">
        <v>456</v>
      </c>
      <c r="D302" s="1" t="s">
        <v>55</v>
      </c>
      <c r="E302" s="7">
        <v>23786</v>
      </c>
      <c r="F302" s="1" t="s">
        <v>33</v>
      </c>
      <c r="G302" s="1">
        <v>81</v>
      </c>
      <c r="H302" s="1" t="s">
        <v>34</v>
      </c>
      <c r="I302" s="1" t="s">
        <v>35</v>
      </c>
      <c r="J302" s="1" t="s">
        <v>17</v>
      </c>
      <c r="K302" s="9">
        <v>0.1</v>
      </c>
    </row>
    <row r="303" spans="1:11" x14ac:dyDescent="0.3">
      <c r="A303" s="12">
        <v>45351</v>
      </c>
      <c r="B303" s="1" t="s">
        <v>40</v>
      </c>
      <c r="C303" s="1" t="s">
        <v>716</v>
      </c>
      <c r="D303" s="1" t="s">
        <v>51</v>
      </c>
      <c r="E303" s="7">
        <v>16952</v>
      </c>
      <c r="F303" s="1" t="s">
        <v>20</v>
      </c>
      <c r="G303" s="1">
        <v>414</v>
      </c>
      <c r="H303" s="1" t="s">
        <v>65</v>
      </c>
      <c r="I303" s="1" t="s">
        <v>48</v>
      </c>
      <c r="J303" s="1" t="s">
        <v>17</v>
      </c>
      <c r="K303" s="9">
        <v>0.1</v>
      </c>
    </row>
    <row r="304" spans="1:11" x14ac:dyDescent="0.3">
      <c r="A304" s="12">
        <v>45351</v>
      </c>
      <c r="B304" s="1" t="s">
        <v>429</v>
      </c>
      <c r="C304" s="1" t="s">
        <v>729</v>
      </c>
      <c r="D304" s="1" t="s">
        <v>26</v>
      </c>
      <c r="E304" s="7">
        <v>15928</v>
      </c>
      <c r="F304" s="1" t="s">
        <v>68</v>
      </c>
      <c r="G304" s="1">
        <v>380</v>
      </c>
      <c r="H304" s="1" t="s">
        <v>21</v>
      </c>
      <c r="I304" s="1" t="s">
        <v>52</v>
      </c>
      <c r="J304" s="1" t="s">
        <v>17</v>
      </c>
      <c r="K304" s="9">
        <v>0.1</v>
      </c>
    </row>
    <row r="305" spans="1:11" x14ac:dyDescent="0.3">
      <c r="A305" s="12">
        <v>45351</v>
      </c>
      <c r="B305" s="1" t="s">
        <v>847</v>
      </c>
      <c r="C305" s="1" t="s">
        <v>621</v>
      </c>
      <c r="D305" s="1" t="s">
        <v>46</v>
      </c>
      <c r="E305" s="7">
        <v>31366</v>
      </c>
      <c r="F305" s="1" t="s">
        <v>14</v>
      </c>
      <c r="G305" s="1">
        <v>193</v>
      </c>
      <c r="H305" s="1" t="s">
        <v>21</v>
      </c>
      <c r="I305" s="1" t="s">
        <v>39</v>
      </c>
      <c r="J305" s="1" t="s">
        <v>17</v>
      </c>
      <c r="K305" s="9">
        <v>0.1</v>
      </c>
    </row>
    <row r="306" spans="1:11" x14ac:dyDescent="0.3">
      <c r="A306" s="12">
        <v>45352</v>
      </c>
      <c r="B306" s="1" t="s">
        <v>453</v>
      </c>
      <c r="C306" s="1"/>
      <c r="D306" s="1" t="s">
        <v>71</v>
      </c>
      <c r="E306" s="7">
        <v>16069</v>
      </c>
      <c r="F306" s="1" t="s">
        <v>20</v>
      </c>
      <c r="G306" s="1">
        <v>319</v>
      </c>
      <c r="H306" s="1" t="s">
        <v>42</v>
      </c>
      <c r="I306" s="1" t="s">
        <v>52</v>
      </c>
      <c r="J306" s="1"/>
      <c r="K306" s="9">
        <v>0.1</v>
      </c>
    </row>
    <row r="307" spans="1:11" x14ac:dyDescent="0.3">
      <c r="A307" s="12">
        <v>45352</v>
      </c>
      <c r="B307" s="1" t="s">
        <v>600</v>
      </c>
      <c r="C307" s="1" t="s">
        <v>91</v>
      </c>
      <c r="D307" s="1" t="s">
        <v>71</v>
      </c>
      <c r="E307" s="7">
        <v>33100</v>
      </c>
      <c r="F307" s="1" t="s">
        <v>33</v>
      </c>
      <c r="G307" s="1">
        <v>500</v>
      </c>
      <c r="H307" s="1" t="s">
        <v>27</v>
      </c>
      <c r="I307" s="1" t="s">
        <v>52</v>
      </c>
      <c r="J307" s="1" t="s">
        <v>17</v>
      </c>
      <c r="K307" s="9">
        <v>0.1</v>
      </c>
    </row>
    <row r="308" spans="1:11" x14ac:dyDescent="0.3">
      <c r="A308" s="12">
        <v>45352</v>
      </c>
      <c r="B308" s="1" t="s">
        <v>227</v>
      </c>
      <c r="C308" s="1" t="s">
        <v>605</v>
      </c>
      <c r="D308" s="1" t="s">
        <v>94</v>
      </c>
      <c r="E308" s="7">
        <v>37802</v>
      </c>
      <c r="F308" s="1" t="s">
        <v>14</v>
      </c>
      <c r="G308" s="1">
        <v>103</v>
      </c>
      <c r="H308" s="1" t="s">
        <v>42</v>
      </c>
      <c r="I308" s="1" t="s">
        <v>52</v>
      </c>
      <c r="J308" s="1" t="s">
        <v>17</v>
      </c>
      <c r="K308" s="9">
        <v>0.1</v>
      </c>
    </row>
    <row r="309" spans="1:11" x14ac:dyDescent="0.3">
      <c r="A309" s="12">
        <v>45352</v>
      </c>
      <c r="B309" s="1" t="s">
        <v>117</v>
      </c>
      <c r="C309" s="1" t="s">
        <v>700</v>
      </c>
      <c r="D309" s="1" t="s">
        <v>55</v>
      </c>
      <c r="E309" s="7">
        <v>31222</v>
      </c>
      <c r="F309" s="1" t="s">
        <v>20</v>
      </c>
      <c r="G309" s="1">
        <v>229</v>
      </c>
      <c r="H309" s="1" t="s">
        <v>27</v>
      </c>
      <c r="I309" s="1" t="s">
        <v>28</v>
      </c>
      <c r="J309" s="1" t="s">
        <v>17</v>
      </c>
      <c r="K309" s="9">
        <v>0.1</v>
      </c>
    </row>
    <row r="310" spans="1:11" x14ac:dyDescent="0.3">
      <c r="A310" s="12">
        <v>45352</v>
      </c>
      <c r="B310" s="1" t="s">
        <v>107</v>
      </c>
      <c r="C310" s="1" t="s">
        <v>412</v>
      </c>
      <c r="D310" s="1" t="s">
        <v>71</v>
      </c>
      <c r="E310" s="7">
        <v>38474</v>
      </c>
      <c r="F310" s="1" t="s">
        <v>20</v>
      </c>
      <c r="G310" s="1">
        <v>159</v>
      </c>
      <c r="H310" s="1" t="s">
        <v>65</v>
      </c>
      <c r="I310" s="1" t="s">
        <v>48</v>
      </c>
      <c r="J310" s="1" t="s">
        <v>17</v>
      </c>
      <c r="K310" s="9">
        <v>0.1</v>
      </c>
    </row>
    <row r="311" spans="1:11" x14ac:dyDescent="0.3">
      <c r="A311" s="12">
        <v>45352</v>
      </c>
      <c r="B311" s="1" t="s">
        <v>577</v>
      </c>
      <c r="C311" s="1" t="s">
        <v>249</v>
      </c>
      <c r="D311" s="1" t="s">
        <v>55</v>
      </c>
      <c r="E311" s="7">
        <v>36952</v>
      </c>
      <c r="F311" s="1" t="s">
        <v>33</v>
      </c>
      <c r="G311" s="1">
        <v>184</v>
      </c>
      <c r="H311" s="1" t="s">
        <v>15</v>
      </c>
      <c r="I311" s="1" t="s">
        <v>52</v>
      </c>
      <c r="J311" s="1" t="s">
        <v>17</v>
      </c>
      <c r="K311" s="9">
        <v>0.1</v>
      </c>
    </row>
    <row r="312" spans="1:11" x14ac:dyDescent="0.3">
      <c r="A312" s="12">
        <v>45353</v>
      </c>
      <c r="B312" s="1" t="s">
        <v>379</v>
      </c>
      <c r="C312" s="1" t="s">
        <v>380</v>
      </c>
      <c r="D312" s="1" t="s">
        <v>26</v>
      </c>
      <c r="E312" s="7">
        <v>28674</v>
      </c>
      <c r="F312" s="1" t="s">
        <v>33</v>
      </c>
      <c r="G312" s="1">
        <v>78</v>
      </c>
      <c r="H312" s="1" t="s">
        <v>21</v>
      </c>
      <c r="I312" s="1" t="s">
        <v>35</v>
      </c>
      <c r="J312" s="1" t="s">
        <v>17</v>
      </c>
      <c r="K312" s="9">
        <v>0.1</v>
      </c>
    </row>
    <row r="313" spans="1:11" x14ac:dyDescent="0.3">
      <c r="A313" s="12">
        <v>45353</v>
      </c>
      <c r="B313" s="1" t="s">
        <v>509</v>
      </c>
      <c r="C313" s="1" t="s">
        <v>655</v>
      </c>
      <c r="D313" s="1" t="s">
        <v>32</v>
      </c>
      <c r="E313" s="7">
        <v>25705</v>
      </c>
      <c r="F313" s="1" t="s">
        <v>20</v>
      </c>
      <c r="G313" s="1">
        <v>349</v>
      </c>
      <c r="H313" s="1" t="s">
        <v>56</v>
      </c>
      <c r="I313" s="1" t="s">
        <v>52</v>
      </c>
      <c r="J313" s="1" t="s">
        <v>17</v>
      </c>
      <c r="K313" s="9">
        <v>0.1</v>
      </c>
    </row>
    <row r="314" spans="1:11" x14ac:dyDescent="0.3">
      <c r="A314" s="12">
        <v>45353</v>
      </c>
      <c r="B314" s="1" t="s">
        <v>857</v>
      </c>
      <c r="C314" s="1" t="s">
        <v>858</v>
      </c>
      <c r="D314" s="1" t="s">
        <v>94</v>
      </c>
      <c r="E314" s="7">
        <v>32610</v>
      </c>
      <c r="F314" s="1" t="s">
        <v>68</v>
      </c>
      <c r="G314" s="1">
        <v>244</v>
      </c>
      <c r="H314" s="1" t="s">
        <v>59</v>
      </c>
      <c r="I314" s="1" t="s">
        <v>52</v>
      </c>
      <c r="J314" s="1" t="s">
        <v>17</v>
      </c>
      <c r="K314" s="9">
        <v>0.1</v>
      </c>
    </row>
    <row r="315" spans="1:11" x14ac:dyDescent="0.3">
      <c r="A315" s="12">
        <v>45354</v>
      </c>
      <c r="B315" s="1" t="s">
        <v>361</v>
      </c>
      <c r="C315" s="1" t="s">
        <v>89</v>
      </c>
      <c r="D315" s="1" t="s">
        <v>94</v>
      </c>
      <c r="E315" s="7">
        <v>24190</v>
      </c>
      <c r="F315" s="1" t="s">
        <v>33</v>
      </c>
      <c r="G315" s="1">
        <v>20</v>
      </c>
      <c r="H315" s="1" t="s">
        <v>56</v>
      </c>
      <c r="I315" s="1" t="s">
        <v>28</v>
      </c>
      <c r="J315" s="1" t="s">
        <v>17</v>
      </c>
      <c r="K315" s="9">
        <v>0.1</v>
      </c>
    </row>
    <row r="316" spans="1:11" x14ac:dyDescent="0.3">
      <c r="A316" s="12">
        <v>45354</v>
      </c>
      <c r="B316" s="1" t="s">
        <v>392</v>
      </c>
      <c r="C316" s="1" t="s">
        <v>31</v>
      </c>
      <c r="D316" s="1" t="s">
        <v>46</v>
      </c>
      <c r="E316" s="7">
        <v>38461</v>
      </c>
      <c r="F316" s="1" t="s">
        <v>68</v>
      </c>
      <c r="G316" s="1">
        <v>284</v>
      </c>
      <c r="H316" s="1" t="s">
        <v>21</v>
      </c>
      <c r="I316" s="1" t="s">
        <v>43</v>
      </c>
      <c r="J316" s="1" t="s">
        <v>17</v>
      </c>
      <c r="K316" s="9">
        <v>0.1</v>
      </c>
    </row>
    <row r="317" spans="1:11" x14ac:dyDescent="0.3">
      <c r="A317" s="12">
        <v>45354</v>
      </c>
      <c r="B317" s="1" t="s">
        <v>119</v>
      </c>
      <c r="C317" s="1" t="s">
        <v>748</v>
      </c>
      <c r="D317" s="1" t="s">
        <v>51</v>
      </c>
      <c r="E317" s="7">
        <v>38101</v>
      </c>
      <c r="F317" s="1" t="s">
        <v>68</v>
      </c>
      <c r="G317" s="1">
        <v>351</v>
      </c>
      <c r="H317" s="1" t="s">
        <v>34</v>
      </c>
      <c r="I317" s="1" t="s">
        <v>52</v>
      </c>
      <c r="J317" s="1" t="s">
        <v>17</v>
      </c>
      <c r="K317" s="9">
        <v>0.1</v>
      </c>
    </row>
    <row r="318" spans="1:11" x14ac:dyDescent="0.3">
      <c r="A318" s="12">
        <v>45354</v>
      </c>
      <c r="B318" s="1" t="s">
        <v>591</v>
      </c>
      <c r="C318" s="1" t="s">
        <v>170</v>
      </c>
      <c r="D318" s="1" t="s">
        <v>51</v>
      </c>
      <c r="E318" s="7">
        <v>28735</v>
      </c>
      <c r="F318" s="1" t="s">
        <v>33</v>
      </c>
      <c r="G318" s="1">
        <v>207</v>
      </c>
      <c r="H318" s="1" t="s">
        <v>21</v>
      </c>
      <c r="I318" s="1" t="s">
        <v>39</v>
      </c>
      <c r="J318" s="1" t="s">
        <v>17</v>
      </c>
      <c r="K318" s="9">
        <v>0.1</v>
      </c>
    </row>
    <row r="319" spans="1:11" x14ac:dyDescent="0.3">
      <c r="A319" s="12">
        <v>45354</v>
      </c>
      <c r="B319" s="1" t="s">
        <v>95</v>
      </c>
      <c r="C319" s="1" t="s">
        <v>67</v>
      </c>
      <c r="D319" s="1" t="s">
        <v>78</v>
      </c>
      <c r="E319" s="7">
        <v>17440</v>
      </c>
      <c r="F319" s="1" t="s">
        <v>14</v>
      </c>
      <c r="G319" s="1">
        <v>319</v>
      </c>
      <c r="H319" s="1" t="s">
        <v>65</v>
      </c>
      <c r="I319" s="1" t="s">
        <v>52</v>
      </c>
      <c r="J319" s="1" t="s">
        <v>17</v>
      </c>
      <c r="K319" s="9">
        <v>0.1</v>
      </c>
    </row>
    <row r="320" spans="1:11" x14ac:dyDescent="0.3">
      <c r="A320" s="12">
        <v>45355</v>
      </c>
      <c r="B320" s="1" t="s">
        <v>338</v>
      </c>
      <c r="C320" s="1" t="s">
        <v>339</v>
      </c>
      <c r="D320" s="1" t="s">
        <v>26</v>
      </c>
      <c r="E320" s="7">
        <v>28558</v>
      </c>
      <c r="F320" s="1" t="s">
        <v>14</v>
      </c>
      <c r="G320" s="1">
        <v>440</v>
      </c>
      <c r="H320" s="1" t="s">
        <v>56</v>
      </c>
      <c r="I320" s="1" t="s">
        <v>52</v>
      </c>
      <c r="J320" s="1" t="s">
        <v>17</v>
      </c>
      <c r="K320" s="9">
        <v>0.1</v>
      </c>
    </row>
    <row r="321" spans="1:11" x14ac:dyDescent="0.3">
      <c r="A321" s="12">
        <v>45355</v>
      </c>
      <c r="B321" s="1" t="s">
        <v>283</v>
      </c>
      <c r="C321" s="1" t="s">
        <v>474</v>
      </c>
      <c r="D321" s="1" t="s">
        <v>94</v>
      </c>
      <c r="E321" s="7">
        <v>17663</v>
      </c>
      <c r="F321" s="1" t="s">
        <v>33</v>
      </c>
      <c r="G321" s="1">
        <v>492</v>
      </c>
      <c r="H321" s="1" t="s">
        <v>47</v>
      </c>
      <c r="I321" s="1" t="s">
        <v>52</v>
      </c>
      <c r="J321" s="1" t="s">
        <v>23</v>
      </c>
      <c r="K321" s="9">
        <v>0.1</v>
      </c>
    </row>
    <row r="322" spans="1:11" x14ac:dyDescent="0.3">
      <c r="A322" s="12">
        <v>45355</v>
      </c>
      <c r="B322" s="1" t="s">
        <v>508</v>
      </c>
      <c r="C322" s="1" t="s">
        <v>425</v>
      </c>
      <c r="D322" s="1" t="s">
        <v>51</v>
      </c>
      <c r="E322" s="7">
        <v>29648</v>
      </c>
      <c r="F322" s="1" t="s">
        <v>33</v>
      </c>
      <c r="G322" s="1">
        <v>246</v>
      </c>
      <c r="H322" s="1" t="s">
        <v>47</v>
      </c>
      <c r="I322" s="1" t="s">
        <v>48</v>
      </c>
      <c r="J322" s="1" t="s">
        <v>17</v>
      </c>
      <c r="K322" s="9">
        <v>0.1</v>
      </c>
    </row>
    <row r="323" spans="1:11" x14ac:dyDescent="0.3">
      <c r="A323" s="12">
        <v>45355</v>
      </c>
      <c r="B323" s="1" t="s">
        <v>206</v>
      </c>
      <c r="C323" s="1" t="s">
        <v>725</v>
      </c>
      <c r="D323" s="1" t="s">
        <v>83</v>
      </c>
      <c r="E323" s="7">
        <v>21176</v>
      </c>
      <c r="F323" s="1" t="s">
        <v>14</v>
      </c>
      <c r="G323" s="1">
        <v>475</v>
      </c>
      <c r="H323" s="1" t="s">
        <v>56</v>
      </c>
      <c r="I323" s="1" t="s">
        <v>52</v>
      </c>
      <c r="J323" s="1" t="s">
        <v>17</v>
      </c>
      <c r="K323" s="9">
        <v>0.1</v>
      </c>
    </row>
    <row r="324" spans="1:11" x14ac:dyDescent="0.3">
      <c r="A324" s="12">
        <v>45355</v>
      </c>
      <c r="B324" s="1" t="s">
        <v>257</v>
      </c>
      <c r="C324" s="1" t="s">
        <v>31</v>
      </c>
      <c r="D324" s="1" t="s">
        <v>78</v>
      </c>
      <c r="E324" s="7">
        <v>24395</v>
      </c>
      <c r="F324" s="1" t="s">
        <v>33</v>
      </c>
      <c r="G324" s="1">
        <v>252</v>
      </c>
      <c r="H324" s="1" t="s">
        <v>15</v>
      </c>
      <c r="I324" s="1" t="s">
        <v>43</v>
      </c>
      <c r="J324" s="1" t="s">
        <v>17</v>
      </c>
      <c r="K324" s="9">
        <v>0.1</v>
      </c>
    </row>
    <row r="325" spans="1:11" x14ac:dyDescent="0.3">
      <c r="A325" s="12">
        <v>45356</v>
      </c>
      <c r="B325" s="1" t="s">
        <v>60</v>
      </c>
      <c r="C325" s="1" t="s">
        <v>61</v>
      </c>
      <c r="D325" s="1" t="s">
        <v>55</v>
      </c>
      <c r="E325" s="7">
        <v>23912</v>
      </c>
      <c r="F325" s="1" t="s">
        <v>20</v>
      </c>
      <c r="G325" s="1">
        <v>264</v>
      </c>
      <c r="H325" s="1" t="s">
        <v>34</v>
      </c>
      <c r="I325" s="1" t="s">
        <v>52</v>
      </c>
      <c r="J325" s="1" t="s">
        <v>17</v>
      </c>
      <c r="K325" s="9">
        <v>0.1</v>
      </c>
    </row>
    <row r="326" spans="1:11" x14ac:dyDescent="0.3">
      <c r="A326" s="12">
        <v>45356</v>
      </c>
      <c r="B326" s="1" t="s">
        <v>768</v>
      </c>
      <c r="C326" s="1" t="s">
        <v>279</v>
      </c>
      <c r="D326" s="1" t="s">
        <v>83</v>
      </c>
      <c r="E326" s="7">
        <v>32199</v>
      </c>
      <c r="F326" s="1" t="s">
        <v>20</v>
      </c>
      <c r="G326" s="1">
        <v>445</v>
      </c>
      <c r="H326" s="1"/>
      <c r="I326" s="1" t="s">
        <v>48</v>
      </c>
      <c r="J326" s="1" t="s">
        <v>17</v>
      </c>
      <c r="K326" s="9">
        <v>0.1</v>
      </c>
    </row>
    <row r="327" spans="1:11" x14ac:dyDescent="0.3">
      <c r="A327" s="12">
        <v>45356</v>
      </c>
      <c r="B327" s="1"/>
      <c r="C327" s="1" t="s">
        <v>224</v>
      </c>
      <c r="D327" s="1" t="s">
        <v>13</v>
      </c>
      <c r="E327" s="7"/>
      <c r="F327" s="1" t="s">
        <v>20</v>
      </c>
      <c r="G327" s="1">
        <v>158</v>
      </c>
      <c r="H327" s="1" t="s">
        <v>34</v>
      </c>
      <c r="I327" s="1" t="s">
        <v>48</v>
      </c>
      <c r="J327" s="1" t="s">
        <v>17</v>
      </c>
      <c r="K327" s="9">
        <v>0.1</v>
      </c>
    </row>
    <row r="328" spans="1:11" x14ac:dyDescent="0.3">
      <c r="A328" s="12">
        <v>45356</v>
      </c>
      <c r="B328" s="1" t="s">
        <v>195</v>
      </c>
      <c r="C328" s="1" t="s">
        <v>823</v>
      </c>
      <c r="D328" s="1" t="s">
        <v>78</v>
      </c>
      <c r="E328" s="7">
        <v>35848</v>
      </c>
      <c r="F328" s="1" t="s">
        <v>14</v>
      </c>
      <c r="G328" s="1">
        <v>73</v>
      </c>
      <c r="H328" s="1" t="s">
        <v>15</v>
      </c>
      <c r="I328" s="1" t="s">
        <v>48</v>
      </c>
      <c r="J328" s="1" t="s">
        <v>17</v>
      </c>
      <c r="K328" s="9">
        <v>0.1</v>
      </c>
    </row>
    <row r="329" spans="1:11" x14ac:dyDescent="0.3">
      <c r="A329" s="12">
        <v>45357</v>
      </c>
      <c r="B329" s="1" t="s">
        <v>263</v>
      </c>
      <c r="C329" s="1" t="s">
        <v>264</v>
      </c>
      <c r="D329" s="1" t="s">
        <v>94</v>
      </c>
      <c r="E329" s="7">
        <v>37815</v>
      </c>
      <c r="F329" s="1" t="s">
        <v>68</v>
      </c>
      <c r="G329" s="1">
        <v>82</v>
      </c>
      <c r="H329" s="1" t="s">
        <v>65</v>
      </c>
      <c r="I329" s="1" t="s">
        <v>35</v>
      </c>
      <c r="J329" s="1" t="s">
        <v>29</v>
      </c>
      <c r="K329" s="9">
        <v>0.1</v>
      </c>
    </row>
    <row r="330" spans="1:11" x14ac:dyDescent="0.3">
      <c r="A330" s="12">
        <v>45357</v>
      </c>
      <c r="B330" s="1" t="s">
        <v>44</v>
      </c>
      <c r="C330" s="1" t="s">
        <v>355</v>
      </c>
      <c r="D330" s="1" t="s">
        <v>94</v>
      </c>
      <c r="E330" s="7">
        <v>17824</v>
      </c>
      <c r="F330" s="1" t="s">
        <v>33</v>
      </c>
      <c r="G330" s="1">
        <v>385</v>
      </c>
      <c r="H330" s="1" t="s">
        <v>47</v>
      </c>
      <c r="I330" s="1" t="s">
        <v>48</v>
      </c>
      <c r="J330" s="1" t="s">
        <v>17</v>
      </c>
      <c r="K330" s="9">
        <v>0.1</v>
      </c>
    </row>
    <row r="331" spans="1:11" x14ac:dyDescent="0.3">
      <c r="A331" s="12">
        <v>45358</v>
      </c>
      <c r="B331" s="1" t="s">
        <v>721</v>
      </c>
      <c r="C331" s="1" t="s">
        <v>168</v>
      </c>
      <c r="D331" s="1" t="s">
        <v>71</v>
      </c>
      <c r="E331" s="7">
        <v>26412</v>
      </c>
      <c r="F331" s="1" t="s">
        <v>33</v>
      </c>
      <c r="G331" s="1">
        <v>241</v>
      </c>
      <c r="H331" s="1" t="s">
        <v>34</v>
      </c>
      <c r="I331" s="1" t="s">
        <v>28</v>
      </c>
      <c r="J331" s="1" t="s">
        <v>17</v>
      </c>
      <c r="K331" s="9">
        <v>0.1</v>
      </c>
    </row>
    <row r="332" spans="1:11" x14ac:dyDescent="0.3">
      <c r="A332" s="12">
        <v>45358</v>
      </c>
      <c r="B332" s="1" t="s">
        <v>288</v>
      </c>
      <c r="C332" s="1" t="s">
        <v>685</v>
      </c>
      <c r="D332" s="1" t="s">
        <v>46</v>
      </c>
      <c r="E332" s="7">
        <v>19069</v>
      </c>
      <c r="F332" s="1" t="s">
        <v>14</v>
      </c>
      <c r="G332" s="1">
        <v>483</v>
      </c>
      <c r="H332" s="1" t="s">
        <v>15</v>
      </c>
      <c r="I332" s="1" t="s">
        <v>48</v>
      </c>
      <c r="J332" s="1" t="s">
        <v>17</v>
      </c>
      <c r="K332" s="9">
        <v>0.1</v>
      </c>
    </row>
    <row r="333" spans="1:11" x14ac:dyDescent="0.3">
      <c r="A333" s="12">
        <v>45358</v>
      </c>
      <c r="B333" s="1" t="s">
        <v>200</v>
      </c>
      <c r="C333" s="1" t="s">
        <v>380</v>
      </c>
      <c r="D333" s="1" t="s">
        <v>78</v>
      </c>
      <c r="E333" s="7">
        <v>31411</v>
      </c>
      <c r="F333" s="1" t="s">
        <v>68</v>
      </c>
      <c r="G333" s="1">
        <v>283</v>
      </c>
      <c r="H333" s="1" t="s">
        <v>65</v>
      </c>
      <c r="I333" s="1" t="s">
        <v>28</v>
      </c>
      <c r="J333" s="1" t="s">
        <v>23</v>
      </c>
      <c r="K333" s="9">
        <v>0.1</v>
      </c>
    </row>
    <row r="334" spans="1:11" x14ac:dyDescent="0.3">
      <c r="A334" s="12">
        <v>45359</v>
      </c>
      <c r="B334" s="1" t="s">
        <v>302</v>
      </c>
      <c r="C334" s="1" t="s">
        <v>303</v>
      </c>
      <c r="D334" s="1" t="s">
        <v>26</v>
      </c>
      <c r="E334" s="7">
        <v>26569</v>
      </c>
      <c r="F334" s="1" t="s">
        <v>68</v>
      </c>
      <c r="G334" s="1">
        <v>346</v>
      </c>
      <c r="H334" s="1" t="s">
        <v>15</v>
      </c>
      <c r="I334" s="1" t="s">
        <v>43</v>
      </c>
      <c r="J334" s="1" t="s">
        <v>29</v>
      </c>
      <c r="K334" s="9">
        <v>0.1</v>
      </c>
    </row>
    <row r="335" spans="1:11" x14ac:dyDescent="0.3">
      <c r="A335" s="12">
        <v>45359</v>
      </c>
      <c r="B335" s="1" t="s">
        <v>208</v>
      </c>
      <c r="C335" s="1" t="s">
        <v>19</v>
      </c>
      <c r="D335" s="1" t="s">
        <v>32</v>
      </c>
      <c r="E335" s="7">
        <v>26865</v>
      </c>
      <c r="F335" s="1" t="s">
        <v>20</v>
      </c>
      <c r="G335" s="1">
        <v>455</v>
      </c>
      <c r="H335" s="1" t="s">
        <v>15</v>
      </c>
      <c r="I335" s="1" t="s">
        <v>48</v>
      </c>
      <c r="J335" s="1" t="s">
        <v>17</v>
      </c>
      <c r="K335" s="9">
        <v>0.1</v>
      </c>
    </row>
    <row r="336" spans="1:11" x14ac:dyDescent="0.3">
      <c r="A336" s="12">
        <v>45359</v>
      </c>
      <c r="B336" s="1" t="s">
        <v>187</v>
      </c>
      <c r="C336" s="1" t="s">
        <v>163</v>
      </c>
      <c r="D336" s="1" t="s">
        <v>46</v>
      </c>
      <c r="E336" s="7">
        <v>29689</v>
      </c>
      <c r="F336" s="1" t="s">
        <v>33</v>
      </c>
      <c r="G336" s="1">
        <v>361</v>
      </c>
      <c r="H336" s="1" t="s">
        <v>47</v>
      </c>
      <c r="I336" s="1" t="s">
        <v>48</v>
      </c>
      <c r="J336" s="1" t="s">
        <v>17</v>
      </c>
      <c r="K336" s="9">
        <v>0.1</v>
      </c>
    </row>
    <row r="337" spans="1:11" x14ac:dyDescent="0.3">
      <c r="A337" s="12">
        <v>45359</v>
      </c>
      <c r="B337" s="1" t="s">
        <v>602</v>
      </c>
      <c r="C337" s="1" t="s">
        <v>603</v>
      </c>
      <c r="D337" s="1" t="s">
        <v>13</v>
      </c>
      <c r="E337" s="7">
        <v>36464</v>
      </c>
      <c r="F337" s="1" t="s">
        <v>68</v>
      </c>
      <c r="G337" s="1">
        <v>103</v>
      </c>
      <c r="H337" s="1" t="s">
        <v>27</v>
      </c>
      <c r="I337" s="1" t="s">
        <v>28</v>
      </c>
      <c r="J337" s="1" t="s">
        <v>17</v>
      </c>
      <c r="K337" s="9">
        <v>0.1</v>
      </c>
    </row>
    <row r="338" spans="1:11" x14ac:dyDescent="0.3">
      <c r="A338" s="12">
        <v>45359</v>
      </c>
      <c r="B338" s="1" t="s">
        <v>107</v>
      </c>
      <c r="C338" s="1" t="s">
        <v>506</v>
      </c>
      <c r="D338" s="1" t="s">
        <v>32</v>
      </c>
      <c r="E338" s="7">
        <v>21607</v>
      </c>
      <c r="F338" s="1" t="s">
        <v>68</v>
      </c>
      <c r="G338" s="1">
        <v>210</v>
      </c>
      <c r="H338" s="1" t="s">
        <v>34</v>
      </c>
      <c r="I338" s="1" t="s">
        <v>52</v>
      </c>
      <c r="J338" s="1" t="s">
        <v>17</v>
      </c>
      <c r="K338" s="9">
        <v>0.1</v>
      </c>
    </row>
    <row r="339" spans="1:11" x14ac:dyDescent="0.3">
      <c r="A339" s="12">
        <v>45359</v>
      </c>
      <c r="B339" s="1" t="s">
        <v>800</v>
      </c>
      <c r="C339" s="1" t="s">
        <v>87</v>
      </c>
      <c r="D339" s="1" t="s">
        <v>51</v>
      </c>
      <c r="E339" s="7">
        <v>32210</v>
      </c>
      <c r="F339" s="1" t="s">
        <v>14</v>
      </c>
      <c r="G339" s="1">
        <v>355</v>
      </c>
      <c r="H339" s="1" t="s">
        <v>59</v>
      </c>
      <c r="I339" s="1" t="s">
        <v>28</v>
      </c>
      <c r="J339" s="1" t="s">
        <v>17</v>
      </c>
      <c r="K339" s="9">
        <v>0.1</v>
      </c>
    </row>
    <row r="340" spans="1:11" x14ac:dyDescent="0.3">
      <c r="A340" s="12">
        <v>45359</v>
      </c>
      <c r="B340" s="1" t="s">
        <v>373</v>
      </c>
      <c r="C340" s="1" t="s">
        <v>808</v>
      </c>
      <c r="D340" s="1" t="s">
        <v>78</v>
      </c>
      <c r="E340" s="7">
        <v>33191</v>
      </c>
      <c r="F340" s="1" t="s">
        <v>33</v>
      </c>
      <c r="G340" s="1">
        <v>342</v>
      </c>
      <c r="H340" s="1" t="s">
        <v>56</v>
      </c>
      <c r="I340" s="1" t="s">
        <v>43</v>
      </c>
      <c r="J340" s="1" t="s">
        <v>17</v>
      </c>
      <c r="K340" s="9">
        <v>0.1</v>
      </c>
    </row>
    <row r="341" spans="1:11" x14ac:dyDescent="0.3">
      <c r="A341" s="12">
        <v>45359</v>
      </c>
      <c r="B341" s="1" t="s">
        <v>338</v>
      </c>
      <c r="C341" s="1" t="s">
        <v>244</v>
      </c>
      <c r="D341" s="1" t="s">
        <v>94</v>
      </c>
      <c r="E341" s="7">
        <v>29041</v>
      </c>
      <c r="F341" s="1" t="s">
        <v>14</v>
      </c>
      <c r="G341" s="1">
        <v>319</v>
      </c>
      <c r="H341" s="1" t="s">
        <v>59</v>
      </c>
      <c r="I341" s="1" t="s">
        <v>52</v>
      </c>
      <c r="J341" s="1" t="s">
        <v>17</v>
      </c>
      <c r="K341" s="9">
        <v>0.1</v>
      </c>
    </row>
    <row r="342" spans="1:11" x14ac:dyDescent="0.3">
      <c r="A342" s="12">
        <v>45359</v>
      </c>
      <c r="B342" s="1" t="s">
        <v>910</v>
      </c>
      <c r="C342" s="1" t="s">
        <v>131</v>
      </c>
      <c r="D342" s="1" t="s">
        <v>94</v>
      </c>
      <c r="E342" s="7">
        <v>18542</v>
      </c>
      <c r="F342" s="1" t="s">
        <v>33</v>
      </c>
      <c r="G342" s="1">
        <v>350</v>
      </c>
      <c r="H342" s="1" t="s">
        <v>15</v>
      </c>
      <c r="I342" s="1" t="s">
        <v>48</v>
      </c>
      <c r="J342" s="1" t="s">
        <v>17</v>
      </c>
      <c r="K342" s="9">
        <v>0.1</v>
      </c>
    </row>
    <row r="343" spans="1:11" x14ac:dyDescent="0.3">
      <c r="A343" s="12">
        <v>45360</v>
      </c>
      <c r="B343" s="1" t="s">
        <v>103</v>
      </c>
      <c r="C343" s="1" t="s">
        <v>536</v>
      </c>
      <c r="D343" s="1" t="s">
        <v>78</v>
      </c>
      <c r="E343" s="7">
        <v>24468</v>
      </c>
      <c r="F343" s="1" t="s">
        <v>14</v>
      </c>
      <c r="G343" s="1">
        <v>181</v>
      </c>
      <c r="H343" s="1" t="s">
        <v>47</v>
      </c>
      <c r="I343" s="1" t="s">
        <v>35</v>
      </c>
      <c r="J343" s="1" t="s">
        <v>17</v>
      </c>
      <c r="K343" s="9">
        <v>0.1</v>
      </c>
    </row>
    <row r="344" spans="1:11" x14ac:dyDescent="0.3">
      <c r="A344" s="12">
        <v>45360</v>
      </c>
      <c r="B344" s="1" t="s">
        <v>664</v>
      </c>
      <c r="C344" s="1" t="s">
        <v>677</v>
      </c>
      <c r="D344" s="1" t="s">
        <v>55</v>
      </c>
      <c r="E344" s="7">
        <v>33671</v>
      </c>
      <c r="F344" s="1" t="s">
        <v>33</v>
      </c>
      <c r="G344" s="1">
        <v>444</v>
      </c>
      <c r="H344" s="1" t="s">
        <v>47</v>
      </c>
      <c r="I344" s="1" t="s">
        <v>48</v>
      </c>
      <c r="J344" s="1" t="s">
        <v>17</v>
      </c>
      <c r="K344" s="9">
        <v>0.1</v>
      </c>
    </row>
    <row r="345" spans="1:11" x14ac:dyDescent="0.3">
      <c r="A345" s="12">
        <v>45360</v>
      </c>
      <c r="B345" s="1" t="s">
        <v>482</v>
      </c>
      <c r="C345" s="1" t="s">
        <v>682</v>
      </c>
      <c r="D345" s="1" t="s">
        <v>32</v>
      </c>
      <c r="E345" s="7">
        <v>30710</v>
      </c>
      <c r="F345" s="1" t="s">
        <v>20</v>
      </c>
      <c r="G345" s="1">
        <v>143</v>
      </c>
      <c r="H345" s="1"/>
      <c r="I345" s="1" t="s">
        <v>39</v>
      </c>
      <c r="J345" s="1" t="s">
        <v>17</v>
      </c>
      <c r="K345" s="9">
        <v>0.1</v>
      </c>
    </row>
    <row r="346" spans="1:11" x14ac:dyDescent="0.3">
      <c r="A346" s="12">
        <v>45360</v>
      </c>
      <c r="B346" s="1" t="s">
        <v>606</v>
      </c>
      <c r="C346" s="1" t="s">
        <v>31</v>
      </c>
      <c r="D346" s="1" t="s">
        <v>55</v>
      </c>
      <c r="E346" s="7">
        <v>30878</v>
      </c>
      <c r="F346" s="1" t="s">
        <v>20</v>
      </c>
      <c r="G346" s="1">
        <v>311</v>
      </c>
      <c r="H346" s="1" t="s">
        <v>56</v>
      </c>
      <c r="I346" s="1" t="s">
        <v>52</v>
      </c>
      <c r="J346" s="1" t="s">
        <v>17</v>
      </c>
      <c r="K346" s="9">
        <v>0.1</v>
      </c>
    </row>
    <row r="347" spans="1:11" x14ac:dyDescent="0.3">
      <c r="A347" s="12">
        <v>45360</v>
      </c>
      <c r="B347" s="1" t="s">
        <v>917</v>
      </c>
      <c r="C347" s="1" t="s">
        <v>918</v>
      </c>
      <c r="D347" s="1" t="s">
        <v>13</v>
      </c>
      <c r="E347" s="7">
        <v>20230</v>
      </c>
      <c r="F347" s="1" t="s">
        <v>68</v>
      </c>
      <c r="G347" s="1">
        <v>34</v>
      </c>
      <c r="H347" s="1" t="s">
        <v>42</v>
      </c>
      <c r="I347" s="1" t="s">
        <v>48</v>
      </c>
      <c r="J347" s="1" t="s">
        <v>17</v>
      </c>
      <c r="K347" s="9">
        <v>0.1</v>
      </c>
    </row>
    <row r="348" spans="1:11" x14ac:dyDescent="0.3">
      <c r="A348" s="12">
        <v>45361</v>
      </c>
      <c r="B348" s="1" t="s">
        <v>123</v>
      </c>
      <c r="C348" s="1" t="s">
        <v>67</v>
      </c>
      <c r="D348" s="1" t="s">
        <v>71</v>
      </c>
      <c r="E348" s="7">
        <v>31440</v>
      </c>
      <c r="F348" s="1" t="s">
        <v>14</v>
      </c>
      <c r="G348" s="1">
        <v>500</v>
      </c>
      <c r="H348" s="1" t="s">
        <v>56</v>
      </c>
      <c r="I348" s="1" t="s">
        <v>48</v>
      </c>
      <c r="J348" s="1" t="s">
        <v>29</v>
      </c>
      <c r="K348" s="9">
        <v>0.1</v>
      </c>
    </row>
    <row r="349" spans="1:11" x14ac:dyDescent="0.3">
      <c r="A349" s="12">
        <v>45361</v>
      </c>
      <c r="B349" s="1" t="s">
        <v>212</v>
      </c>
      <c r="C349" s="1" t="s">
        <v>213</v>
      </c>
      <c r="D349" s="1" t="s">
        <v>32</v>
      </c>
      <c r="E349" s="7">
        <v>35063</v>
      </c>
      <c r="F349" s="1" t="s">
        <v>20</v>
      </c>
      <c r="G349" s="1">
        <v>150</v>
      </c>
      <c r="H349" s="1" t="s">
        <v>21</v>
      </c>
      <c r="I349" s="1" t="s">
        <v>52</v>
      </c>
      <c r="J349" s="1" t="s">
        <v>29</v>
      </c>
      <c r="K349" s="9">
        <v>0.1</v>
      </c>
    </row>
    <row r="350" spans="1:11" x14ac:dyDescent="0.3">
      <c r="A350" s="12">
        <v>45361</v>
      </c>
      <c r="B350" s="1" t="s">
        <v>257</v>
      </c>
      <c r="C350" s="1" t="s">
        <v>391</v>
      </c>
      <c r="D350" s="1" t="s">
        <v>51</v>
      </c>
      <c r="E350" s="7">
        <v>33559</v>
      </c>
      <c r="F350" s="1" t="s">
        <v>68</v>
      </c>
      <c r="G350" s="1">
        <v>77</v>
      </c>
      <c r="H350" s="1" t="s">
        <v>47</v>
      </c>
      <c r="I350" s="1" t="s">
        <v>43</v>
      </c>
      <c r="J350" s="1" t="s">
        <v>17</v>
      </c>
      <c r="K350" s="9">
        <v>0.1</v>
      </c>
    </row>
    <row r="351" spans="1:11" x14ac:dyDescent="0.3">
      <c r="A351" s="12">
        <v>45361</v>
      </c>
      <c r="B351" s="1" t="s">
        <v>314</v>
      </c>
      <c r="C351" s="1" t="s">
        <v>624</v>
      </c>
      <c r="D351" s="1" t="s">
        <v>51</v>
      </c>
      <c r="E351" s="7">
        <v>28620</v>
      </c>
      <c r="F351" s="1" t="s">
        <v>20</v>
      </c>
      <c r="G351" s="1">
        <v>381</v>
      </c>
      <c r="H351" s="1" t="s">
        <v>27</v>
      </c>
      <c r="I351" s="1" t="s">
        <v>48</v>
      </c>
      <c r="J351" s="1" t="s">
        <v>17</v>
      </c>
      <c r="K351" s="9">
        <v>0.1</v>
      </c>
    </row>
    <row r="352" spans="1:11" x14ac:dyDescent="0.3">
      <c r="A352" s="12">
        <v>45361</v>
      </c>
      <c r="B352" s="1" t="s">
        <v>200</v>
      </c>
      <c r="C352" s="1" t="s">
        <v>388</v>
      </c>
      <c r="D352" s="1" t="s">
        <v>38</v>
      </c>
      <c r="E352" s="7"/>
      <c r="F352" s="1" t="s">
        <v>68</v>
      </c>
      <c r="G352" s="1">
        <v>329</v>
      </c>
      <c r="H352" s="1" t="s">
        <v>42</v>
      </c>
      <c r="I352" s="1" t="s">
        <v>28</v>
      </c>
      <c r="J352" s="1" t="s">
        <v>23</v>
      </c>
      <c r="K352" s="9">
        <v>0.1</v>
      </c>
    </row>
    <row r="353" spans="1:11" x14ac:dyDescent="0.3">
      <c r="A353" s="12">
        <v>45362</v>
      </c>
      <c r="B353" s="1" t="s">
        <v>458</v>
      </c>
      <c r="C353" s="1" t="s">
        <v>459</v>
      </c>
      <c r="D353" s="1" t="s">
        <v>26</v>
      </c>
      <c r="E353" s="7">
        <v>29672</v>
      </c>
      <c r="F353" s="1" t="s">
        <v>20</v>
      </c>
      <c r="G353" s="1">
        <v>117</v>
      </c>
      <c r="H353" s="1" t="s">
        <v>65</v>
      </c>
      <c r="I353" s="1" t="s">
        <v>43</v>
      </c>
      <c r="J353" s="1" t="s">
        <v>17</v>
      </c>
      <c r="K353" s="9">
        <v>0.1</v>
      </c>
    </row>
    <row r="354" spans="1:11" x14ac:dyDescent="0.3">
      <c r="A354" s="12">
        <v>45362</v>
      </c>
      <c r="B354" s="1" t="s">
        <v>224</v>
      </c>
      <c r="C354" s="1" t="s">
        <v>30</v>
      </c>
      <c r="D354" s="1" t="s">
        <v>83</v>
      </c>
      <c r="E354" s="7">
        <v>33269</v>
      </c>
      <c r="F354" s="1" t="s">
        <v>68</v>
      </c>
      <c r="G354" s="1">
        <v>107</v>
      </c>
      <c r="H354" s="1" t="s">
        <v>34</v>
      </c>
      <c r="I354" s="1" t="s">
        <v>28</v>
      </c>
      <c r="J354" s="1" t="s">
        <v>17</v>
      </c>
      <c r="K354" s="9">
        <v>0.1</v>
      </c>
    </row>
    <row r="355" spans="1:11" x14ac:dyDescent="0.3">
      <c r="A355" s="12">
        <v>45362</v>
      </c>
      <c r="B355" s="1" t="s">
        <v>11</v>
      </c>
      <c r="C355" s="1" t="s">
        <v>31</v>
      </c>
      <c r="D355" s="1" t="s">
        <v>83</v>
      </c>
      <c r="E355" s="7">
        <v>32535</v>
      </c>
      <c r="F355" s="1" t="s">
        <v>20</v>
      </c>
      <c r="G355" s="1">
        <v>479</v>
      </c>
      <c r="H355" s="1" t="s">
        <v>34</v>
      </c>
      <c r="I355" s="1" t="s">
        <v>48</v>
      </c>
      <c r="J355" s="1" t="s">
        <v>17</v>
      </c>
      <c r="K355" s="9">
        <v>0.1</v>
      </c>
    </row>
    <row r="356" spans="1:11" x14ac:dyDescent="0.3">
      <c r="A356" s="12">
        <v>45363</v>
      </c>
      <c r="B356" s="1" t="s">
        <v>222</v>
      </c>
      <c r="C356" s="1" t="s">
        <v>223</v>
      </c>
      <c r="D356" s="1" t="s">
        <v>78</v>
      </c>
      <c r="E356" s="7">
        <v>17143</v>
      </c>
      <c r="F356" s="1" t="s">
        <v>20</v>
      </c>
      <c r="G356" s="1">
        <v>122</v>
      </c>
      <c r="H356" s="1" t="s">
        <v>27</v>
      </c>
      <c r="I356" s="1" t="s">
        <v>48</v>
      </c>
      <c r="J356" s="1" t="s">
        <v>29</v>
      </c>
      <c r="K356" s="9">
        <v>0.1</v>
      </c>
    </row>
    <row r="357" spans="1:11" x14ac:dyDescent="0.3">
      <c r="A357" s="12">
        <v>45363</v>
      </c>
      <c r="B357" s="1" t="s">
        <v>463</v>
      </c>
      <c r="C357" s="1" t="s">
        <v>135</v>
      </c>
      <c r="D357" s="1" t="s">
        <v>94</v>
      </c>
      <c r="E357" s="7">
        <v>20686</v>
      </c>
      <c r="F357" s="1" t="s">
        <v>20</v>
      </c>
      <c r="G357" s="1">
        <v>115</v>
      </c>
      <c r="H357" s="1" t="s">
        <v>59</v>
      </c>
      <c r="I357" s="1" t="s">
        <v>52</v>
      </c>
      <c r="J357" s="1" t="s">
        <v>17</v>
      </c>
      <c r="K357" s="9">
        <v>0.1</v>
      </c>
    </row>
    <row r="358" spans="1:11" x14ac:dyDescent="0.3">
      <c r="A358" s="12">
        <v>45363</v>
      </c>
      <c r="B358" s="1" t="s">
        <v>463</v>
      </c>
      <c r="C358" s="1" t="s">
        <v>687</v>
      </c>
      <c r="D358" s="1" t="s">
        <v>26</v>
      </c>
      <c r="E358" s="7">
        <v>29444</v>
      </c>
      <c r="F358" s="1" t="s">
        <v>14</v>
      </c>
      <c r="G358" s="1">
        <v>331</v>
      </c>
      <c r="H358" s="1" t="s">
        <v>65</v>
      </c>
      <c r="I358" s="1" t="s">
        <v>52</v>
      </c>
      <c r="J358" s="1" t="s">
        <v>17</v>
      </c>
      <c r="K358" s="9">
        <v>0.1</v>
      </c>
    </row>
    <row r="359" spans="1:11" x14ac:dyDescent="0.3">
      <c r="A359" s="12">
        <v>45363</v>
      </c>
      <c r="B359" s="1" t="s">
        <v>493</v>
      </c>
      <c r="C359" s="1" t="s">
        <v>295</v>
      </c>
      <c r="D359" s="1" t="s">
        <v>51</v>
      </c>
      <c r="E359" s="7">
        <v>36089</v>
      </c>
      <c r="F359" s="1" t="s">
        <v>20</v>
      </c>
      <c r="G359" s="1">
        <v>430</v>
      </c>
      <c r="H359" s="1" t="s">
        <v>64</v>
      </c>
      <c r="I359" s="1" t="s">
        <v>52</v>
      </c>
      <c r="J359" s="1" t="s">
        <v>17</v>
      </c>
      <c r="K359" s="9">
        <v>0.1</v>
      </c>
    </row>
    <row r="360" spans="1:11" x14ac:dyDescent="0.3">
      <c r="A360" s="12">
        <v>45363</v>
      </c>
      <c r="B360" s="1" t="s">
        <v>358</v>
      </c>
      <c r="C360" s="1" t="s">
        <v>853</v>
      </c>
      <c r="D360" s="1" t="s">
        <v>78</v>
      </c>
      <c r="E360" s="7">
        <v>31905</v>
      </c>
      <c r="F360" s="1" t="s">
        <v>33</v>
      </c>
      <c r="G360" s="1">
        <v>471</v>
      </c>
      <c r="H360" s="1" t="s">
        <v>56</v>
      </c>
      <c r="I360" s="1" t="s">
        <v>43</v>
      </c>
      <c r="J360" s="1" t="s">
        <v>17</v>
      </c>
      <c r="K360" s="9">
        <v>0.1</v>
      </c>
    </row>
    <row r="361" spans="1:11" x14ac:dyDescent="0.3">
      <c r="A361" s="12">
        <v>45363</v>
      </c>
      <c r="B361" s="1" t="s">
        <v>429</v>
      </c>
      <c r="C361" s="1" t="s">
        <v>317</v>
      </c>
      <c r="D361" s="1" t="s">
        <v>26</v>
      </c>
      <c r="E361" s="7">
        <v>16740</v>
      </c>
      <c r="F361" s="1" t="s">
        <v>20</v>
      </c>
      <c r="G361" s="1">
        <v>490</v>
      </c>
      <c r="H361" s="1" t="s">
        <v>42</v>
      </c>
      <c r="I361" s="1" t="s">
        <v>48</v>
      </c>
      <c r="J361" s="1" t="s">
        <v>17</v>
      </c>
      <c r="K361" s="9">
        <v>0.1</v>
      </c>
    </row>
    <row r="362" spans="1:11" x14ac:dyDescent="0.3">
      <c r="A362" s="12">
        <v>45364</v>
      </c>
      <c r="B362" s="1" t="s">
        <v>245</v>
      </c>
      <c r="C362" s="1" t="s">
        <v>91</v>
      </c>
      <c r="D362" s="1" t="s">
        <v>13</v>
      </c>
      <c r="E362" s="7">
        <v>20802</v>
      </c>
      <c r="F362" s="1" t="s">
        <v>20</v>
      </c>
      <c r="G362" s="1">
        <v>195</v>
      </c>
      <c r="H362" s="1" t="s">
        <v>47</v>
      </c>
      <c r="I362" s="1" t="s">
        <v>48</v>
      </c>
      <c r="J362" s="1" t="s">
        <v>17</v>
      </c>
      <c r="K362" s="9">
        <v>0.1</v>
      </c>
    </row>
    <row r="363" spans="1:11" x14ac:dyDescent="0.3">
      <c r="A363" s="12">
        <v>45364</v>
      </c>
      <c r="B363" s="1" t="s">
        <v>754</v>
      </c>
      <c r="C363" s="1" t="s">
        <v>63</v>
      </c>
      <c r="D363" s="1" t="s">
        <v>26</v>
      </c>
      <c r="E363" s="7">
        <v>37347</v>
      </c>
      <c r="F363" s="1" t="s">
        <v>20</v>
      </c>
      <c r="G363" s="1">
        <v>458</v>
      </c>
      <c r="H363" s="1" t="s">
        <v>56</v>
      </c>
      <c r="I363" s="1" t="s">
        <v>48</v>
      </c>
      <c r="J363" s="1" t="s">
        <v>17</v>
      </c>
      <c r="K363" s="9">
        <v>0.1</v>
      </c>
    </row>
    <row r="364" spans="1:11" x14ac:dyDescent="0.3">
      <c r="A364" s="12">
        <v>45364</v>
      </c>
      <c r="B364" s="1" t="s">
        <v>200</v>
      </c>
      <c r="C364" s="1" t="s">
        <v>238</v>
      </c>
      <c r="D364" s="1" t="s">
        <v>55</v>
      </c>
      <c r="E364" s="7">
        <v>36820</v>
      </c>
      <c r="F364" s="1" t="s">
        <v>20</v>
      </c>
      <c r="G364" s="1">
        <v>53</v>
      </c>
      <c r="H364" s="1" t="s">
        <v>34</v>
      </c>
      <c r="I364" s="1" t="s">
        <v>48</v>
      </c>
      <c r="J364" s="1" t="s">
        <v>23</v>
      </c>
      <c r="K364" s="9">
        <v>0.1</v>
      </c>
    </row>
    <row r="365" spans="1:11" x14ac:dyDescent="0.3">
      <c r="A365" s="12">
        <v>45364</v>
      </c>
      <c r="B365" s="1" t="s">
        <v>151</v>
      </c>
      <c r="C365" s="1" t="s">
        <v>225</v>
      </c>
      <c r="D365" s="1" t="s">
        <v>51</v>
      </c>
      <c r="E365" s="7">
        <v>18910</v>
      </c>
      <c r="F365" s="1" t="s">
        <v>68</v>
      </c>
      <c r="G365" s="1">
        <v>391</v>
      </c>
      <c r="H365" s="1" t="s">
        <v>59</v>
      </c>
      <c r="I365" s="1" t="s">
        <v>52</v>
      </c>
      <c r="J365" s="1" t="s">
        <v>17</v>
      </c>
      <c r="K365" s="9">
        <v>0.1</v>
      </c>
    </row>
    <row r="366" spans="1:11" x14ac:dyDescent="0.3">
      <c r="A366" s="12">
        <v>45365</v>
      </c>
      <c r="B366" s="1" t="s">
        <v>773</v>
      </c>
      <c r="C366" s="1" t="s">
        <v>228</v>
      </c>
      <c r="D366" s="1" t="s">
        <v>46</v>
      </c>
      <c r="E366" s="7">
        <v>26823</v>
      </c>
      <c r="F366" s="1" t="s">
        <v>20</v>
      </c>
      <c r="G366" s="1">
        <v>200</v>
      </c>
      <c r="H366" s="1" t="s">
        <v>47</v>
      </c>
      <c r="I366" s="1" t="s">
        <v>28</v>
      </c>
      <c r="J366" s="1" t="s">
        <v>17</v>
      </c>
      <c r="K366" s="9">
        <v>0.1</v>
      </c>
    </row>
    <row r="367" spans="1:11" x14ac:dyDescent="0.3">
      <c r="A367" s="12">
        <v>45365</v>
      </c>
      <c r="B367" s="1" t="s">
        <v>119</v>
      </c>
      <c r="C367" s="1" t="s">
        <v>31</v>
      </c>
      <c r="D367" s="1" t="s">
        <v>46</v>
      </c>
      <c r="E367" s="7">
        <v>29154</v>
      </c>
      <c r="F367" s="1" t="s">
        <v>68</v>
      </c>
      <c r="G367" s="1">
        <v>203</v>
      </c>
      <c r="H367" s="1" t="s">
        <v>27</v>
      </c>
      <c r="I367" s="1" t="s">
        <v>28</v>
      </c>
      <c r="J367" s="1" t="s">
        <v>17</v>
      </c>
      <c r="K367" s="9">
        <v>0.1</v>
      </c>
    </row>
    <row r="368" spans="1:11" x14ac:dyDescent="0.3">
      <c r="A368" s="12">
        <v>45365</v>
      </c>
      <c r="B368" s="1" t="s">
        <v>115</v>
      </c>
      <c r="C368" s="1" t="s">
        <v>909</v>
      </c>
      <c r="D368" s="1" t="s">
        <v>78</v>
      </c>
      <c r="E368" s="7">
        <v>33494</v>
      </c>
      <c r="F368" s="1" t="s">
        <v>20</v>
      </c>
      <c r="G368" s="1">
        <v>446</v>
      </c>
      <c r="H368" s="1" t="s">
        <v>34</v>
      </c>
      <c r="I368" s="1" t="s">
        <v>48</v>
      </c>
      <c r="J368" s="1" t="s">
        <v>17</v>
      </c>
      <c r="K368" s="9">
        <v>0.1</v>
      </c>
    </row>
    <row r="369" spans="1:11" x14ac:dyDescent="0.3">
      <c r="A369" s="12">
        <v>45366</v>
      </c>
      <c r="B369" s="1" t="s">
        <v>18</v>
      </c>
      <c r="C369" s="1" t="s">
        <v>19</v>
      </c>
      <c r="D369" s="1" t="s">
        <v>13</v>
      </c>
      <c r="E369" s="7">
        <v>29346</v>
      </c>
      <c r="F369" s="1" t="s">
        <v>20</v>
      </c>
      <c r="G369" s="1">
        <v>370</v>
      </c>
      <c r="H369" s="1" t="s">
        <v>21</v>
      </c>
      <c r="I369" s="1" t="s">
        <v>22</v>
      </c>
      <c r="J369" s="1" t="s">
        <v>23</v>
      </c>
      <c r="K369" s="9">
        <v>0.1</v>
      </c>
    </row>
    <row r="370" spans="1:11" x14ac:dyDescent="0.3">
      <c r="A370" s="12">
        <v>45366</v>
      </c>
      <c r="B370" s="1" t="s">
        <v>184</v>
      </c>
      <c r="C370" s="1" t="s">
        <v>256</v>
      </c>
      <c r="D370" s="1" t="s">
        <v>46</v>
      </c>
      <c r="E370" s="7">
        <v>17200</v>
      </c>
      <c r="F370" s="1" t="s">
        <v>20</v>
      </c>
      <c r="G370" s="1">
        <v>218</v>
      </c>
      <c r="H370" s="1" t="s">
        <v>59</v>
      </c>
      <c r="I370" s="1" t="s">
        <v>52</v>
      </c>
      <c r="J370" s="1" t="s">
        <v>17</v>
      </c>
      <c r="K370" s="9">
        <v>0.1</v>
      </c>
    </row>
    <row r="371" spans="1:11" x14ac:dyDescent="0.3">
      <c r="A371" s="12">
        <v>45366</v>
      </c>
      <c r="B371" s="1" t="s">
        <v>136</v>
      </c>
      <c r="C371" s="1" t="s">
        <v>162</v>
      </c>
      <c r="D371" s="1" t="s">
        <v>26</v>
      </c>
      <c r="E371" s="7">
        <v>16074</v>
      </c>
      <c r="F371" s="1" t="s">
        <v>14</v>
      </c>
      <c r="G371" s="1">
        <v>31</v>
      </c>
      <c r="H371" s="1" t="s">
        <v>42</v>
      </c>
      <c r="I371" s="1" t="s">
        <v>52</v>
      </c>
      <c r="J371" s="1" t="s">
        <v>17</v>
      </c>
      <c r="K371" s="9">
        <v>0.1</v>
      </c>
    </row>
    <row r="372" spans="1:11" x14ac:dyDescent="0.3">
      <c r="A372" s="12">
        <v>45367</v>
      </c>
      <c r="B372" s="1" t="s">
        <v>616</v>
      </c>
      <c r="C372" s="1" t="s">
        <v>617</v>
      </c>
      <c r="D372" s="1" t="s">
        <v>32</v>
      </c>
      <c r="E372" s="7">
        <v>25996</v>
      </c>
      <c r="F372" s="1" t="s">
        <v>14</v>
      </c>
      <c r="G372" s="1">
        <v>99</v>
      </c>
      <c r="H372" s="1" t="s">
        <v>47</v>
      </c>
      <c r="I372" s="1" t="s">
        <v>52</v>
      </c>
      <c r="J372" s="1" t="s">
        <v>17</v>
      </c>
      <c r="K372" s="9">
        <v>0.1</v>
      </c>
    </row>
    <row r="373" spans="1:11" x14ac:dyDescent="0.3">
      <c r="A373" s="12">
        <v>45367</v>
      </c>
      <c r="B373" s="1" t="s">
        <v>318</v>
      </c>
      <c r="C373" s="1" t="s">
        <v>538</v>
      </c>
      <c r="D373" s="1" t="s">
        <v>26</v>
      </c>
      <c r="E373" s="7">
        <v>25315</v>
      </c>
      <c r="F373" s="1" t="s">
        <v>68</v>
      </c>
      <c r="G373" s="1">
        <v>162</v>
      </c>
      <c r="H373" s="1" t="s">
        <v>65</v>
      </c>
      <c r="I373" s="1"/>
      <c r="J373" s="1" t="s">
        <v>17</v>
      </c>
      <c r="K373" s="9">
        <v>0.1</v>
      </c>
    </row>
    <row r="374" spans="1:11" x14ac:dyDescent="0.3">
      <c r="A374" s="12">
        <v>45367</v>
      </c>
      <c r="B374" s="1" t="s">
        <v>630</v>
      </c>
      <c r="C374" s="1" t="s">
        <v>293</v>
      </c>
      <c r="D374" s="1" t="s">
        <v>13</v>
      </c>
      <c r="E374" s="7">
        <v>25279</v>
      </c>
      <c r="F374" s="1" t="s">
        <v>14</v>
      </c>
      <c r="G374" s="1">
        <v>214</v>
      </c>
      <c r="H374" s="1" t="s">
        <v>21</v>
      </c>
      <c r="I374" s="1" t="s">
        <v>35</v>
      </c>
      <c r="J374" s="1" t="s">
        <v>17</v>
      </c>
      <c r="K374" s="9">
        <v>0.1</v>
      </c>
    </row>
    <row r="375" spans="1:11" x14ac:dyDescent="0.3">
      <c r="A375" s="12">
        <v>45368</v>
      </c>
      <c r="B375" s="1" t="s">
        <v>40</v>
      </c>
      <c r="C375" s="1" t="s">
        <v>41</v>
      </c>
      <c r="D375" s="1" t="s">
        <v>26</v>
      </c>
      <c r="E375" s="7">
        <v>36953</v>
      </c>
      <c r="F375" s="1" t="s">
        <v>20</v>
      </c>
      <c r="G375" s="1">
        <v>346</v>
      </c>
      <c r="H375" s="1" t="s">
        <v>42</v>
      </c>
      <c r="I375" s="1" t="s">
        <v>43</v>
      </c>
      <c r="J375" s="1" t="s">
        <v>17</v>
      </c>
      <c r="K375" s="9">
        <v>0.1</v>
      </c>
    </row>
    <row r="376" spans="1:11" x14ac:dyDescent="0.3">
      <c r="A376" s="12">
        <v>45368</v>
      </c>
      <c r="B376" s="1" t="s">
        <v>117</v>
      </c>
      <c r="C376" s="1" t="s">
        <v>25</v>
      </c>
      <c r="D376" s="1" t="s">
        <v>83</v>
      </c>
      <c r="E376" s="7">
        <v>32988</v>
      </c>
      <c r="F376" s="1" t="s">
        <v>33</v>
      </c>
      <c r="G376" s="1">
        <v>473</v>
      </c>
      <c r="H376" s="1" t="s">
        <v>59</v>
      </c>
      <c r="I376" s="1" t="s">
        <v>28</v>
      </c>
      <c r="J376" s="1" t="s">
        <v>17</v>
      </c>
      <c r="K376" s="9">
        <v>0.1</v>
      </c>
    </row>
    <row r="377" spans="1:11" x14ac:dyDescent="0.3">
      <c r="A377" s="12">
        <v>45368</v>
      </c>
      <c r="B377" s="1" t="s">
        <v>872</v>
      </c>
      <c r="C377" s="1" t="s">
        <v>868</v>
      </c>
      <c r="D377" s="1" t="s">
        <v>13</v>
      </c>
      <c r="E377" s="7">
        <v>20544</v>
      </c>
      <c r="F377" s="1" t="s">
        <v>33</v>
      </c>
      <c r="G377" s="1">
        <v>447</v>
      </c>
      <c r="H377" s="1" t="s">
        <v>27</v>
      </c>
      <c r="I377" s="1" t="s">
        <v>35</v>
      </c>
      <c r="J377" s="1" t="s">
        <v>17</v>
      </c>
      <c r="K377" s="9">
        <v>0.1</v>
      </c>
    </row>
    <row r="378" spans="1:11" x14ac:dyDescent="0.3">
      <c r="A378" s="12">
        <v>45369</v>
      </c>
      <c r="B378" s="1" t="s">
        <v>493</v>
      </c>
      <c r="C378" s="1" t="s">
        <v>699</v>
      </c>
      <c r="D378" s="1" t="s">
        <v>51</v>
      </c>
      <c r="E378" s="7">
        <v>19536</v>
      </c>
      <c r="F378" s="1" t="s">
        <v>33</v>
      </c>
      <c r="G378" s="1">
        <v>28</v>
      </c>
      <c r="H378" s="1" t="s">
        <v>34</v>
      </c>
      <c r="I378" s="1" t="s">
        <v>28</v>
      </c>
      <c r="J378" s="1" t="s">
        <v>17</v>
      </c>
      <c r="K378" s="9">
        <v>0.1</v>
      </c>
    </row>
    <row r="379" spans="1:11" x14ac:dyDescent="0.3">
      <c r="A379" s="12">
        <v>45369</v>
      </c>
      <c r="B379" s="1" t="s">
        <v>702</v>
      </c>
      <c r="C379" s="1" t="s">
        <v>63</v>
      </c>
      <c r="D379" s="1" t="s">
        <v>83</v>
      </c>
      <c r="E379" s="7">
        <v>25188</v>
      </c>
      <c r="F379" s="1" t="s">
        <v>14</v>
      </c>
      <c r="G379" s="1">
        <v>182</v>
      </c>
      <c r="H379" s="1" t="s">
        <v>59</v>
      </c>
      <c r="I379" s="1" t="s">
        <v>43</v>
      </c>
      <c r="J379" s="1" t="s">
        <v>17</v>
      </c>
      <c r="K379" s="9">
        <v>0.1</v>
      </c>
    </row>
    <row r="380" spans="1:11" x14ac:dyDescent="0.3">
      <c r="A380" s="12">
        <v>45370</v>
      </c>
      <c r="B380" s="1" t="s">
        <v>356</v>
      </c>
      <c r="C380" s="1" t="s">
        <v>357</v>
      </c>
      <c r="D380" s="1" t="s">
        <v>13</v>
      </c>
      <c r="E380" s="7">
        <v>21114</v>
      </c>
      <c r="F380" s="1" t="s">
        <v>33</v>
      </c>
      <c r="G380" s="1">
        <v>323</v>
      </c>
      <c r="H380" s="1" t="s">
        <v>47</v>
      </c>
      <c r="I380" s="1" t="s">
        <v>52</v>
      </c>
      <c r="J380" s="1" t="s">
        <v>17</v>
      </c>
      <c r="K380" s="9">
        <v>0.1</v>
      </c>
    </row>
    <row r="381" spans="1:11" x14ac:dyDescent="0.3">
      <c r="A381" s="12">
        <v>45370</v>
      </c>
      <c r="B381" s="1" t="s">
        <v>450</v>
      </c>
      <c r="C381" s="1" t="s">
        <v>451</v>
      </c>
      <c r="D381" s="1" t="s">
        <v>55</v>
      </c>
      <c r="E381" s="7">
        <v>17788</v>
      </c>
      <c r="F381" s="1" t="s">
        <v>14</v>
      </c>
      <c r="G381" s="1">
        <v>308</v>
      </c>
      <c r="H381" s="1" t="s">
        <v>56</v>
      </c>
      <c r="I381" s="1" t="s">
        <v>52</v>
      </c>
      <c r="J381" s="1" t="s">
        <v>17</v>
      </c>
      <c r="K381" s="9">
        <v>0.1</v>
      </c>
    </row>
    <row r="382" spans="1:11" x14ac:dyDescent="0.3">
      <c r="A382" s="12">
        <v>45370</v>
      </c>
      <c r="B382" s="1" t="s">
        <v>606</v>
      </c>
      <c r="C382" s="1" t="s">
        <v>225</v>
      </c>
      <c r="D382" s="1" t="s">
        <v>26</v>
      </c>
      <c r="E382" s="7">
        <v>26807</v>
      </c>
      <c r="F382" s="1" t="s">
        <v>68</v>
      </c>
      <c r="G382" s="1">
        <v>360</v>
      </c>
      <c r="H382" s="1" t="s">
        <v>42</v>
      </c>
      <c r="I382" s="1" t="s">
        <v>48</v>
      </c>
      <c r="J382" s="1" t="s">
        <v>17</v>
      </c>
      <c r="K382" s="9">
        <v>0.1</v>
      </c>
    </row>
    <row r="383" spans="1:11" x14ac:dyDescent="0.3">
      <c r="A383" s="12">
        <v>45370</v>
      </c>
      <c r="B383" s="1" t="s">
        <v>151</v>
      </c>
      <c r="C383" s="1" t="s">
        <v>835</v>
      </c>
      <c r="D383" s="1" t="s">
        <v>83</v>
      </c>
      <c r="E383" s="7">
        <v>21926</v>
      </c>
      <c r="F383" s="1" t="s">
        <v>33</v>
      </c>
      <c r="G383" s="1">
        <v>313</v>
      </c>
      <c r="H383" s="1" t="s">
        <v>21</v>
      </c>
      <c r="I383" s="1" t="s">
        <v>39</v>
      </c>
      <c r="J383" s="1" t="s">
        <v>17</v>
      </c>
      <c r="K383" s="9">
        <v>0.1</v>
      </c>
    </row>
    <row r="384" spans="1:11" x14ac:dyDescent="0.3">
      <c r="A384" s="12">
        <v>45370</v>
      </c>
      <c r="B384" s="1" t="s">
        <v>689</v>
      </c>
      <c r="C384" s="1" t="s">
        <v>85</v>
      </c>
      <c r="D384" s="1" t="s">
        <v>51</v>
      </c>
      <c r="E384" s="7">
        <v>20040</v>
      </c>
      <c r="F384" s="1" t="s">
        <v>14</v>
      </c>
      <c r="G384" s="1">
        <v>114</v>
      </c>
      <c r="H384" s="1" t="s">
        <v>34</v>
      </c>
      <c r="I384" s="1" t="s">
        <v>48</v>
      </c>
      <c r="J384" s="1" t="s">
        <v>17</v>
      </c>
      <c r="K384" s="9">
        <v>0.1</v>
      </c>
    </row>
    <row r="385" spans="1:11" x14ac:dyDescent="0.3">
      <c r="A385" s="12">
        <v>45371</v>
      </c>
      <c r="B385" s="1" t="s">
        <v>88</v>
      </c>
      <c r="C385" s="1" t="s">
        <v>89</v>
      </c>
      <c r="D385" s="1" t="s">
        <v>13</v>
      </c>
      <c r="E385" s="7">
        <v>36056</v>
      </c>
      <c r="F385" s="1" t="s">
        <v>33</v>
      </c>
      <c r="G385" s="1">
        <v>385</v>
      </c>
      <c r="H385" s="1" t="s">
        <v>15</v>
      </c>
      <c r="I385" s="1" t="s">
        <v>48</v>
      </c>
      <c r="J385" s="1" t="s">
        <v>29</v>
      </c>
      <c r="K385" s="9">
        <v>0.1</v>
      </c>
    </row>
    <row r="386" spans="1:11" x14ac:dyDescent="0.3">
      <c r="A386" s="12">
        <v>45371</v>
      </c>
      <c r="B386" s="1" t="s">
        <v>121</v>
      </c>
      <c r="C386" s="1" t="s">
        <v>122</v>
      </c>
      <c r="D386" s="1" t="s">
        <v>46</v>
      </c>
      <c r="E386" s="7">
        <v>24373</v>
      </c>
      <c r="F386" s="1" t="s">
        <v>14</v>
      </c>
      <c r="G386" s="1">
        <v>66</v>
      </c>
      <c r="H386" s="1" t="s">
        <v>64</v>
      </c>
      <c r="I386" s="1" t="s">
        <v>52</v>
      </c>
      <c r="J386" s="1" t="s">
        <v>17</v>
      </c>
      <c r="K386" s="9">
        <v>0.1</v>
      </c>
    </row>
    <row r="387" spans="1:11" x14ac:dyDescent="0.3">
      <c r="A387" s="12">
        <v>45371</v>
      </c>
      <c r="B387" s="1" t="s">
        <v>689</v>
      </c>
      <c r="C387" s="1" t="s">
        <v>455</v>
      </c>
      <c r="D387" s="1" t="s">
        <v>71</v>
      </c>
      <c r="E387" s="7">
        <v>26472</v>
      </c>
      <c r="F387" s="1" t="s">
        <v>20</v>
      </c>
      <c r="G387" s="1">
        <v>405</v>
      </c>
      <c r="H387" s="1" t="s">
        <v>56</v>
      </c>
      <c r="I387" s="1" t="s">
        <v>48</v>
      </c>
      <c r="J387" s="1" t="s">
        <v>17</v>
      </c>
      <c r="K387" s="9">
        <v>0.1</v>
      </c>
    </row>
    <row r="388" spans="1:11" x14ac:dyDescent="0.3">
      <c r="A388" s="12">
        <v>45371</v>
      </c>
      <c r="B388" s="1" t="s">
        <v>161</v>
      </c>
      <c r="C388" s="1" t="s">
        <v>323</v>
      </c>
      <c r="D388" s="1" t="s">
        <v>26</v>
      </c>
      <c r="E388" s="7">
        <v>33588</v>
      </c>
      <c r="F388" s="1" t="s">
        <v>33</v>
      </c>
      <c r="G388" s="1">
        <v>306</v>
      </c>
      <c r="H388" s="1" t="s">
        <v>42</v>
      </c>
      <c r="I388" s="1" t="s">
        <v>43</v>
      </c>
      <c r="J388" s="1" t="s">
        <v>17</v>
      </c>
      <c r="K388" s="9">
        <v>0.1</v>
      </c>
    </row>
    <row r="389" spans="1:11" x14ac:dyDescent="0.3">
      <c r="A389" s="12">
        <v>45371</v>
      </c>
      <c r="B389" s="1" t="s">
        <v>381</v>
      </c>
      <c r="C389" s="1" t="s">
        <v>62</v>
      </c>
      <c r="D389" s="1" t="s">
        <v>94</v>
      </c>
      <c r="E389" s="7">
        <v>26730</v>
      </c>
      <c r="F389" s="1" t="s">
        <v>33</v>
      </c>
      <c r="G389" s="1">
        <v>472</v>
      </c>
      <c r="H389" s="1" t="s">
        <v>47</v>
      </c>
      <c r="I389" s="1" t="s">
        <v>28</v>
      </c>
      <c r="J389" s="1" t="s">
        <v>17</v>
      </c>
      <c r="K389" s="9">
        <v>0.1</v>
      </c>
    </row>
    <row r="390" spans="1:11" x14ac:dyDescent="0.3">
      <c r="A390" s="12">
        <v>45372</v>
      </c>
      <c r="B390" s="1" t="s">
        <v>151</v>
      </c>
      <c r="C390" s="1" t="s">
        <v>515</v>
      </c>
      <c r="D390" s="1" t="s">
        <v>38</v>
      </c>
      <c r="E390" s="7">
        <v>38278</v>
      </c>
      <c r="F390" s="1" t="s">
        <v>68</v>
      </c>
      <c r="G390" s="1">
        <v>209</v>
      </c>
      <c r="H390" s="1" t="s">
        <v>27</v>
      </c>
      <c r="I390" s="1" t="s">
        <v>43</v>
      </c>
      <c r="J390" s="1" t="s">
        <v>17</v>
      </c>
      <c r="K390" s="9">
        <v>0.1</v>
      </c>
    </row>
    <row r="391" spans="1:11" x14ac:dyDescent="0.3">
      <c r="A391" s="12">
        <v>45372</v>
      </c>
      <c r="B391" s="1" t="s">
        <v>566</v>
      </c>
      <c r="C391" s="1" t="s">
        <v>567</v>
      </c>
      <c r="D391" s="1" t="s">
        <v>51</v>
      </c>
      <c r="E391" s="7">
        <v>30210</v>
      </c>
      <c r="F391" s="1" t="s">
        <v>68</v>
      </c>
      <c r="G391" s="1">
        <v>205</v>
      </c>
      <c r="H391" s="1" t="s">
        <v>56</v>
      </c>
      <c r="I391" s="1" t="s">
        <v>52</v>
      </c>
      <c r="J391" s="1" t="s">
        <v>17</v>
      </c>
      <c r="K391" s="9">
        <v>0.1</v>
      </c>
    </row>
    <row r="392" spans="1:11" x14ac:dyDescent="0.3">
      <c r="A392" s="12">
        <v>45372</v>
      </c>
      <c r="B392" s="1" t="s">
        <v>881</v>
      </c>
      <c r="C392" s="1" t="s">
        <v>882</v>
      </c>
      <c r="D392" s="1" t="s">
        <v>46</v>
      </c>
      <c r="E392" s="7">
        <v>16961</v>
      </c>
      <c r="F392" s="1" t="s">
        <v>20</v>
      </c>
      <c r="G392" s="1">
        <v>472</v>
      </c>
      <c r="H392" s="1" t="s">
        <v>56</v>
      </c>
      <c r="I392" s="1" t="s">
        <v>35</v>
      </c>
      <c r="J392" s="1" t="s">
        <v>17</v>
      </c>
      <c r="K392" s="9">
        <v>0.1</v>
      </c>
    </row>
    <row r="393" spans="1:11" x14ac:dyDescent="0.3">
      <c r="A393" s="12">
        <v>45373</v>
      </c>
      <c r="B393" s="1" t="s">
        <v>383</v>
      </c>
      <c r="C393" s="1" t="s">
        <v>296</v>
      </c>
      <c r="D393" s="1" t="s">
        <v>55</v>
      </c>
      <c r="E393" s="7">
        <v>21343</v>
      </c>
      <c r="F393" s="1" t="s">
        <v>33</v>
      </c>
      <c r="G393" s="1">
        <v>388</v>
      </c>
      <c r="H393" s="1" t="s">
        <v>27</v>
      </c>
      <c r="I393" s="1" t="s">
        <v>52</v>
      </c>
      <c r="J393" s="1" t="s">
        <v>17</v>
      </c>
      <c r="K393" s="9">
        <v>0.1</v>
      </c>
    </row>
    <row r="394" spans="1:11" x14ac:dyDescent="0.3">
      <c r="A394" s="12">
        <v>45373</v>
      </c>
      <c r="B394" s="1" t="s">
        <v>466</v>
      </c>
      <c r="C394" s="1" t="s">
        <v>270</v>
      </c>
      <c r="D394" s="1" t="s">
        <v>83</v>
      </c>
      <c r="E394" s="7">
        <v>36246</v>
      </c>
      <c r="F394" s="1" t="s">
        <v>20</v>
      </c>
      <c r="G394" s="1">
        <v>213</v>
      </c>
      <c r="H394" s="1" t="s">
        <v>56</v>
      </c>
      <c r="I394" s="1" t="s">
        <v>52</v>
      </c>
      <c r="J394" s="1" t="s">
        <v>17</v>
      </c>
      <c r="K394" s="9">
        <v>0.1</v>
      </c>
    </row>
    <row r="395" spans="1:11" x14ac:dyDescent="0.3">
      <c r="A395" s="12">
        <v>45374</v>
      </c>
      <c r="B395" s="1" t="s">
        <v>338</v>
      </c>
      <c r="C395" s="1" t="s">
        <v>369</v>
      </c>
      <c r="D395" s="1" t="s">
        <v>55</v>
      </c>
      <c r="E395" s="7">
        <v>23336</v>
      </c>
      <c r="F395" s="1" t="s">
        <v>68</v>
      </c>
      <c r="G395" s="1">
        <v>263</v>
      </c>
      <c r="H395" s="1" t="s">
        <v>59</v>
      </c>
      <c r="I395" s="1" t="s">
        <v>43</v>
      </c>
      <c r="J395" s="1" t="s">
        <v>17</v>
      </c>
      <c r="K395" s="9">
        <v>0.1</v>
      </c>
    </row>
    <row r="396" spans="1:11" x14ac:dyDescent="0.3">
      <c r="A396" s="12">
        <v>45374</v>
      </c>
      <c r="B396" s="1" t="s">
        <v>310</v>
      </c>
      <c r="C396" s="1" t="s">
        <v>266</v>
      </c>
      <c r="D396" s="1" t="s">
        <v>32</v>
      </c>
      <c r="E396" s="7">
        <v>31726</v>
      </c>
      <c r="F396" s="1" t="s">
        <v>20</v>
      </c>
      <c r="G396" s="1">
        <v>496</v>
      </c>
      <c r="H396" s="1" t="s">
        <v>56</v>
      </c>
      <c r="I396" s="1" t="s">
        <v>48</v>
      </c>
      <c r="J396" s="1" t="s">
        <v>17</v>
      </c>
      <c r="K396" s="9">
        <v>0.1</v>
      </c>
    </row>
    <row r="397" spans="1:11" x14ac:dyDescent="0.3">
      <c r="A397" s="12">
        <v>45374</v>
      </c>
      <c r="B397" s="1" t="s">
        <v>151</v>
      </c>
      <c r="C397" s="1" t="s">
        <v>547</v>
      </c>
      <c r="D397" s="1" t="s">
        <v>38</v>
      </c>
      <c r="E397" s="7">
        <v>32972</v>
      </c>
      <c r="F397" s="1" t="s">
        <v>20</v>
      </c>
      <c r="G397" s="1">
        <v>143</v>
      </c>
      <c r="H397" s="1" t="s">
        <v>15</v>
      </c>
      <c r="I397" s="1" t="s">
        <v>35</v>
      </c>
      <c r="J397" s="1" t="s">
        <v>17</v>
      </c>
      <c r="K397" s="9">
        <v>0.1</v>
      </c>
    </row>
    <row r="398" spans="1:11" x14ac:dyDescent="0.3">
      <c r="A398" s="12">
        <v>45374</v>
      </c>
      <c r="B398" s="1" t="s">
        <v>161</v>
      </c>
      <c r="C398" s="1" t="s">
        <v>553</v>
      </c>
      <c r="D398" s="1" t="s">
        <v>83</v>
      </c>
      <c r="E398" s="7">
        <v>33394</v>
      </c>
      <c r="F398" s="1" t="s">
        <v>20</v>
      </c>
      <c r="G398" s="1">
        <v>90</v>
      </c>
      <c r="H398" s="1" t="s">
        <v>56</v>
      </c>
      <c r="I398" s="1" t="s">
        <v>43</v>
      </c>
      <c r="J398" s="1" t="s">
        <v>17</v>
      </c>
      <c r="K398" s="9">
        <v>0.1</v>
      </c>
    </row>
    <row r="399" spans="1:11" x14ac:dyDescent="0.3">
      <c r="A399" s="12">
        <v>45374</v>
      </c>
      <c r="B399" s="1" t="s">
        <v>332</v>
      </c>
      <c r="C399" s="1" t="s">
        <v>495</v>
      </c>
      <c r="D399" s="1" t="s">
        <v>46</v>
      </c>
      <c r="E399" s="7">
        <v>29428</v>
      </c>
      <c r="F399" s="1" t="s">
        <v>33</v>
      </c>
      <c r="G399" s="1">
        <v>289</v>
      </c>
      <c r="H399" s="1" t="s">
        <v>34</v>
      </c>
      <c r="I399" s="1" t="s">
        <v>52</v>
      </c>
      <c r="J399" s="1" t="s">
        <v>17</v>
      </c>
      <c r="K399" s="9">
        <v>0.1</v>
      </c>
    </row>
    <row r="400" spans="1:11" x14ac:dyDescent="0.3">
      <c r="A400" s="12">
        <v>45374</v>
      </c>
      <c r="B400" s="1" t="s">
        <v>657</v>
      </c>
      <c r="C400" s="1" t="s">
        <v>31</v>
      </c>
      <c r="D400" s="1"/>
      <c r="E400" s="7">
        <v>23793</v>
      </c>
      <c r="F400" s="1" t="s">
        <v>20</v>
      </c>
      <c r="G400" s="1">
        <v>395</v>
      </c>
      <c r="H400" s="1" t="s">
        <v>15</v>
      </c>
      <c r="I400" s="1" t="s">
        <v>28</v>
      </c>
      <c r="J400" s="1" t="s">
        <v>17</v>
      </c>
      <c r="K400" s="9">
        <v>0.1</v>
      </c>
    </row>
    <row r="401" spans="1:11" x14ac:dyDescent="0.3">
      <c r="A401" s="12">
        <v>45374</v>
      </c>
      <c r="B401" s="1" t="s">
        <v>160</v>
      </c>
      <c r="C401" s="1" t="s">
        <v>688</v>
      </c>
      <c r="D401" s="1" t="s">
        <v>38</v>
      </c>
      <c r="E401" s="7">
        <v>27890</v>
      </c>
      <c r="F401" s="1" t="s">
        <v>68</v>
      </c>
      <c r="G401" s="1">
        <v>309</v>
      </c>
      <c r="H401" s="1" t="s">
        <v>42</v>
      </c>
      <c r="I401" s="1" t="s">
        <v>48</v>
      </c>
      <c r="J401" s="1" t="s">
        <v>17</v>
      </c>
      <c r="K401" s="9">
        <v>0.1</v>
      </c>
    </row>
    <row r="402" spans="1:11" x14ac:dyDescent="0.3">
      <c r="A402" s="12">
        <v>45374</v>
      </c>
      <c r="B402" s="1" t="s">
        <v>720</v>
      </c>
      <c r="C402" s="1" t="s">
        <v>433</v>
      </c>
      <c r="D402" s="1" t="s">
        <v>46</v>
      </c>
      <c r="E402" s="7">
        <v>35747</v>
      </c>
      <c r="F402" s="1" t="s">
        <v>68</v>
      </c>
      <c r="G402" s="1">
        <v>306</v>
      </c>
      <c r="H402" s="1" t="s">
        <v>27</v>
      </c>
      <c r="I402" s="1" t="s">
        <v>28</v>
      </c>
      <c r="J402" s="1" t="s">
        <v>17</v>
      </c>
      <c r="K402" s="9">
        <v>0.1</v>
      </c>
    </row>
    <row r="403" spans="1:11" x14ac:dyDescent="0.3">
      <c r="A403" s="12">
        <v>45374</v>
      </c>
      <c r="B403" s="1" t="s">
        <v>757</v>
      </c>
      <c r="C403" s="1" t="s">
        <v>82</v>
      </c>
      <c r="D403" s="1" t="s">
        <v>94</v>
      </c>
      <c r="E403" s="7">
        <v>23626</v>
      </c>
      <c r="F403" s="1" t="s">
        <v>14</v>
      </c>
      <c r="G403" s="1">
        <v>84</v>
      </c>
      <c r="H403" s="1" t="s">
        <v>64</v>
      </c>
      <c r="I403" s="1" t="s">
        <v>52</v>
      </c>
      <c r="J403" s="1" t="s">
        <v>17</v>
      </c>
      <c r="K403" s="9">
        <v>0.1</v>
      </c>
    </row>
    <row r="404" spans="1:11" x14ac:dyDescent="0.3">
      <c r="A404" s="12">
        <v>45374</v>
      </c>
      <c r="B404" s="1" t="s">
        <v>771</v>
      </c>
      <c r="C404" s="1" t="s">
        <v>110</v>
      </c>
      <c r="D404" s="1" t="s">
        <v>71</v>
      </c>
      <c r="E404" s="7">
        <v>32362</v>
      </c>
      <c r="F404" s="1" t="s">
        <v>20</v>
      </c>
      <c r="G404" s="1">
        <v>178</v>
      </c>
      <c r="H404" s="1" t="s">
        <v>34</v>
      </c>
      <c r="I404" s="1" t="s">
        <v>52</v>
      </c>
      <c r="J404" s="1" t="s">
        <v>17</v>
      </c>
      <c r="K404" s="9">
        <v>0.1</v>
      </c>
    </row>
    <row r="405" spans="1:11" x14ac:dyDescent="0.3">
      <c r="A405" s="12">
        <v>45375</v>
      </c>
      <c r="B405" s="1" t="s">
        <v>169</v>
      </c>
      <c r="C405" s="1" t="s">
        <v>170</v>
      </c>
      <c r="D405" s="1" t="s">
        <v>46</v>
      </c>
      <c r="E405" s="7">
        <v>18216</v>
      </c>
      <c r="F405" s="1" t="s">
        <v>33</v>
      </c>
      <c r="G405" s="1">
        <v>495</v>
      </c>
      <c r="H405" s="1" t="s">
        <v>21</v>
      </c>
      <c r="I405" s="1" t="s">
        <v>43</v>
      </c>
      <c r="J405" s="1" t="s">
        <v>17</v>
      </c>
      <c r="K405" s="9">
        <v>0.1</v>
      </c>
    </row>
    <row r="406" spans="1:11" x14ac:dyDescent="0.3">
      <c r="A406" s="12">
        <v>45375</v>
      </c>
      <c r="B406" s="1" t="s">
        <v>436</v>
      </c>
      <c r="C406" s="1" t="s">
        <v>708</v>
      </c>
      <c r="D406" s="1" t="s">
        <v>13</v>
      </c>
      <c r="E406" s="7">
        <v>32392</v>
      </c>
      <c r="F406" s="1" t="s">
        <v>33</v>
      </c>
      <c r="G406" s="1">
        <v>432</v>
      </c>
      <c r="H406" s="1" t="s">
        <v>27</v>
      </c>
      <c r="I406" s="1" t="s">
        <v>52</v>
      </c>
      <c r="J406" s="1" t="s">
        <v>23</v>
      </c>
      <c r="K406" s="9">
        <v>0.1</v>
      </c>
    </row>
    <row r="407" spans="1:11" x14ac:dyDescent="0.3">
      <c r="A407" s="12">
        <v>45375</v>
      </c>
      <c r="B407" s="1" t="s">
        <v>200</v>
      </c>
      <c r="C407" s="1" t="s">
        <v>751</v>
      </c>
      <c r="D407" s="1" t="s">
        <v>55</v>
      </c>
      <c r="E407" s="7">
        <v>26556</v>
      </c>
      <c r="F407" s="1" t="s">
        <v>33</v>
      </c>
      <c r="G407" s="1">
        <v>215</v>
      </c>
      <c r="H407" s="1" t="s">
        <v>21</v>
      </c>
      <c r="I407" s="1" t="s">
        <v>48</v>
      </c>
      <c r="J407" s="1" t="s">
        <v>23</v>
      </c>
      <c r="K407" s="9">
        <v>0.1</v>
      </c>
    </row>
    <row r="408" spans="1:11" x14ac:dyDescent="0.3">
      <c r="A408" s="12">
        <v>45375</v>
      </c>
      <c r="B408" s="1" t="s">
        <v>265</v>
      </c>
      <c r="C408" s="1"/>
      <c r="D408" s="1" t="s">
        <v>26</v>
      </c>
      <c r="E408" s="7">
        <v>28085</v>
      </c>
      <c r="F408" s="1" t="s">
        <v>68</v>
      </c>
      <c r="G408" s="1">
        <v>319</v>
      </c>
      <c r="H408" s="1" t="s">
        <v>56</v>
      </c>
      <c r="I408" s="1" t="s">
        <v>48</v>
      </c>
      <c r="J408" s="1" t="s">
        <v>17</v>
      </c>
      <c r="K408" s="9">
        <v>0.1</v>
      </c>
    </row>
    <row r="409" spans="1:11" x14ac:dyDescent="0.3">
      <c r="A409" s="12">
        <v>45375</v>
      </c>
      <c r="B409" s="1" t="s">
        <v>876</v>
      </c>
      <c r="C409" s="1" t="s">
        <v>643</v>
      </c>
      <c r="D409" s="1" t="s">
        <v>78</v>
      </c>
      <c r="E409" s="7">
        <v>30496</v>
      </c>
      <c r="F409" s="1" t="s">
        <v>68</v>
      </c>
      <c r="G409" s="1">
        <v>461</v>
      </c>
      <c r="H409" s="1" t="s">
        <v>34</v>
      </c>
      <c r="I409" s="1" t="s">
        <v>48</v>
      </c>
      <c r="J409" s="1" t="s">
        <v>17</v>
      </c>
      <c r="K409" s="9">
        <v>0.1</v>
      </c>
    </row>
    <row r="410" spans="1:11" x14ac:dyDescent="0.3">
      <c r="A410" s="12">
        <v>45375</v>
      </c>
      <c r="B410" s="1" t="s">
        <v>906</v>
      </c>
      <c r="C410" s="1" t="s">
        <v>116</v>
      </c>
      <c r="D410" s="1" t="s">
        <v>94</v>
      </c>
      <c r="E410" s="7">
        <v>32190</v>
      </c>
      <c r="F410" s="1" t="s">
        <v>33</v>
      </c>
      <c r="G410" s="1">
        <v>480</v>
      </c>
      <c r="H410" s="1" t="s">
        <v>21</v>
      </c>
      <c r="I410" s="1" t="s">
        <v>28</v>
      </c>
      <c r="J410" s="1" t="s">
        <v>17</v>
      </c>
      <c r="K410" s="9">
        <v>0.1</v>
      </c>
    </row>
    <row r="411" spans="1:11" x14ac:dyDescent="0.3">
      <c r="A411" s="12">
        <v>45376</v>
      </c>
      <c r="B411" s="1" t="s">
        <v>281</v>
      </c>
      <c r="C411" s="1" t="s">
        <v>282</v>
      </c>
      <c r="D411" s="1" t="s">
        <v>94</v>
      </c>
      <c r="E411" s="7">
        <v>32366</v>
      </c>
      <c r="F411" s="1" t="s">
        <v>68</v>
      </c>
      <c r="G411" s="1">
        <v>166</v>
      </c>
      <c r="H411" s="1" t="s">
        <v>27</v>
      </c>
      <c r="I411" s="1" t="s">
        <v>28</v>
      </c>
      <c r="J411" s="1" t="s">
        <v>17</v>
      </c>
      <c r="K411" s="9">
        <v>0.1</v>
      </c>
    </row>
    <row r="412" spans="1:11" x14ac:dyDescent="0.3">
      <c r="A412" s="12">
        <v>45376</v>
      </c>
      <c r="B412" s="1" t="s">
        <v>630</v>
      </c>
      <c r="C412" s="1" t="s">
        <v>285</v>
      </c>
      <c r="D412" s="1" t="s">
        <v>83</v>
      </c>
      <c r="E412" s="7">
        <v>27949</v>
      </c>
      <c r="F412" s="1" t="s">
        <v>33</v>
      </c>
      <c r="G412" s="1">
        <v>217</v>
      </c>
      <c r="H412" s="1" t="s">
        <v>27</v>
      </c>
      <c r="I412" s="1" t="s">
        <v>52</v>
      </c>
      <c r="J412" s="1" t="s">
        <v>17</v>
      </c>
      <c r="K412" s="9">
        <v>0.1</v>
      </c>
    </row>
    <row r="413" spans="1:11" x14ac:dyDescent="0.3">
      <c r="A413" s="12">
        <v>45377</v>
      </c>
      <c r="B413" s="1" t="s">
        <v>24</v>
      </c>
      <c r="C413" s="1" t="s">
        <v>25</v>
      </c>
      <c r="D413" s="1" t="s">
        <v>26</v>
      </c>
      <c r="E413" s="7">
        <v>29620</v>
      </c>
      <c r="F413" s="1" t="s">
        <v>33</v>
      </c>
      <c r="G413" s="1">
        <v>272</v>
      </c>
      <c r="H413" s="1" t="s">
        <v>59</v>
      </c>
      <c r="I413" s="1" t="s">
        <v>39</v>
      </c>
      <c r="J413" s="1" t="s">
        <v>29</v>
      </c>
      <c r="K413" s="9">
        <v>0.1</v>
      </c>
    </row>
    <row r="414" spans="1:11" x14ac:dyDescent="0.3">
      <c r="A414" s="12">
        <v>45377</v>
      </c>
      <c r="B414" s="1" t="s">
        <v>208</v>
      </c>
      <c r="C414" s="1" t="s">
        <v>106</v>
      </c>
      <c r="D414" s="1" t="s">
        <v>13</v>
      </c>
      <c r="E414" s="7">
        <v>36439</v>
      </c>
      <c r="F414" s="1" t="s">
        <v>33</v>
      </c>
      <c r="G414" s="1">
        <v>93</v>
      </c>
      <c r="H414" s="1" t="s">
        <v>56</v>
      </c>
      <c r="I414" s="1" t="s">
        <v>43</v>
      </c>
      <c r="J414" s="1" t="s">
        <v>17</v>
      </c>
      <c r="K414" s="9">
        <v>0.1</v>
      </c>
    </row>
    <row r="415" spans="1:11" x14ac:dyDescent="0.3">
      <c r="A415" s="12">
        <v>45377</v>
      </c>
      <c r="B415" s="1" t="s">
        <v>191</v>
      </c>
      <c r="C415" s="1" t="s">
        <v>648</v>
      </c>
      <c r="D415" s="1" t="s">
        <v>38</v>
      </c>
      <c r="E415" s="7">
        <v>16254</v>
      </c>
      <c r="F415" s="1" t="s">
        <v>68</v>
      </c>
      <c r="G415" s="1">
        <v>476</v>
      </c>
      <c r="H415" s="1" t="s">
        <v>42</v>
      </c>
      <c r="I415" s="1" t="s">
        <v>48</v>
      </c>
      <c r="J415" s="1" t="s">
        <v>17</v>
      </c>
      <c r="K415" s="9">
        <v>0.1</v>
      </c>
    </row>
    <row r="416" spans="1:11" x14ac:dyDescent="0.3">
      <c r="A416" s="12">
        <v>45378</v>
      </c>
      <c r="B416" s="1" t="s">
        <v>252</v>
      </c>
      <c r="C416" s="1" t="s">
        <v>253</v>
      </c>
      <c r="D416" s="1" t="s">
        <v>51</v>
      </c>
      <c r="E416" s="7">
        <v>22658</v>
      </c>
      <c r="F416" s="1" t="s">
        <v>14</v>
      </c>
      <c r="G416" s="1">
        <v>42</v>
      </c>
      <c r="H416" s="1" t="s">
        <v>34</v>
      </c>
      <c r="I416" s="1" t="s">
        <v>43</v>
      </c>
      <c r="J416" s="1" t="s">
        <v>29</v>
      </c>
      <c r="K416" s="9">
        <v>0.1</v>
      </c>
    </row>
    <row r="417" spans="1:11" x14ac:dyDescent="0.3">
      <c r="A417" s="12">
        <v>45378</v>
      </c>
      <c r="B417" s="1" t="s">
        <v>632</v>
      </c>
      <c r="C417" s="1" t="s">
        <v>89</v>
      </c>
      <c r="D417" s="1" t="s">
        <v>55</v>
      </c>
      <c r="E417" s="7">
        <v>37674</v>
      </c>
      <c r="F417" s="1" t="s">
        <v>33</v>
      </c>
      <c r="G417" s="1">
        <v>403</v>
      </c>
      <c r="H417" s="1" t="s">
        <v>34</v>
      </c>
      <c r="I417" s="1" t="s">
        <v>52</v>
      </c>
      <c r="J417" s="1" t="s">
        <v>17</v>
      </c>
      <c r="K417" s="9">
        <v>0.1</v>
      </c>
    </row>
    <row r="418" spans="1:11" x14ac:dyDescent="0.3">
      <c r="A418" s="12">
        <v>45379</v>
      </c>
      <c r="B418" s="1" t="s">
        <v>440</v>
      </c>
      <c r="C418" s="1"/>
      <c r="D418" s="1" t="s">
        <v>83</v>
      </c>
      <c r="E418" s="7"/>
      <c r="F418" s="1" t="s">
        <v>68</v>
      </c>
      <c r="G418" s="1">
        <v>356</v>
      </c>
      <c r="H418" s="1" t="s">
        <v>59</v>
      </c>
      <c r="I418" s="1"/>
      <c r="J418" s="1" t="s">
        <v>17</v>
      </c>
      <c r="K418" s="9">
        <v>0.1</v>
      </c>
    </row>
    <row r="419" spans="1:11" x14ac:dyDescent="0.3">
      <c r="A419" s="12">
        <v>45379</v>
      </c>
      <c r="B419" s="1" t="s">
        <v>502</v>
      </c>
      <c r="C419" s="1" t="s">
        <v>503</v>
      </c>
      <c r="D419" s="1" t="s">
        <v>46</v>
      </c>
      <c r="E419" s="7">
        <v>24221</v>
      </c>
      <c r="F419" s="1" t="s">
        <v>14</v>
      </c>
      <c r="G419" s="1">
        <v>412</v>
      </c>
      <c r="H419" s="1" t="s">
        <v>59</v>
      </c>
      <c r="I419" s="1" t="s">
        <v>52</v>
      </c>
      <c r="J419" s="1" t="s">
        <v>17</v>
      </c>
      <c r="K419" s="9">
        <v>0.1</v>
      </c>
    </row>
    <row r="420" spans="1:11" x14ac:dyDescent="0.3">
      <c r="A420" s="12">
        <v>45379</v>
      </c>
      <c r="B420" s="1" t="s">
        <v>728</v>
      </c>
      <c r="C420" s="1" t="s">
        <v>31</v>
      </c>
      <c r="D420" s="1" t="s">
        <v>13</v>
      </c>
      <c r="E420" s="7">
        <v>20193</v>
      </c>
      <c r="F420" s="1" t="s">
        <v>68</v>
      </c>
      <c r="G420" s="1">
        <v>433</v>
      </c>
      <c r="H420" s="1" t="s">
        <v>21</v>
      </c>
      <c r="I420" s="1" t="s">
        <v>43</v>
      </c>
      <c r="J420" s="1" t="s">
        <v>17</v>
      </c>
      <c r="K420" s="9">
        <v>0.1</v>
      </c>
    </row>
    <row r="421" spans="1:11" x14ac:dyDescent="0.3">
      <c r="A421" s="12">
        <v>45379</v>
      </c>
      <c r="B421" s="1" t="s">
        <v>30</v>
      </c>
      <c r="C421" s="1" t="s">
        <v>31</v>
      </c>
      <c r="D421" s="1" t="s">
        <v>13</v>
      </c>
      <c r="E421" s="7">
        <v>17042</v>
      </c>
      <c r="F421" s="1" t="s">
        <v>20</v>
      </c>
      <c r="G421" s="1">
        <v>133</v>
      </c>
      <c r="H421" s="1" t="s">
        <v>21</v>
      </c>
      <c r="I421" s="1" t="s">
        <v>39</v>
      </c>
      <c r="J421" s="1" t="s">
        <v>17</v>
      </c>
      <c r="K421" s="9">
        <v>0.1</v>
      </c>
    </row>
    <row r="422" spans="1:11" x14ac:dyDescent="0.3">
      <c r="A422" s="12">
        <v>45379</v>
      </c>
      <c r="B422" s="1" t="s">
        <v>200</v>
      </c>
      <c r="C422" s="1" t="s">
        <v>414</v>
      </c>
      <c r="D422" s="1" t="s">
        <v>71</v>
      </c>
      <c r="E422" s="7">
        <v>26814</v>
      </c>
      <c r="F422" s="1" t="s">
        <v>20</v>
      </c>
      <c r="G422" s="1">
        <v>38</v>
      </c>
      <c r="H422" s="1" t="s">
        <v>65</v>
      </c>
      <c r="I422" s="1" t="s">
        <v>48</v>
      </c>
      <c r="J422" s="1" t="s">
        <v>23</v>
      </c>
      <c r="K422" s="9">
        <v>0.1</v>
      </c>
    </row>
    <row r="423" spans="1:11" x14ac:dyDescent="0.3">
      <c r="A423" s="12">
        <v>45379</v>
      </c>
      <c r="B423" s="1" t="s">
        <v>801</v>
      </c>
      <c r="C423" s="1" t="s">
        <v>157</v>
      </c>
      <c r="D423" s="1" t="s">
        <v>13</v>
      </c>
      <c r="E423" s="7">
        <v>23642</v>
      </c>
      <c r="F423" s="1" t="s">
        <v>14</v>
      </c>
      <c r="G423" s="1">
        <v>127</v>
      </c>
      <c r="H423" s="1" t="s">
        <v>34</v>
      </c>
      <c r="I423" s="1" t="s">
        <v>52</v>
      </c>
      <c r="J423" s="1" t="s">
        <v>17</v>
      </c>
      <c r="K423" s="9">
        <v>0.1</v>
      </c>
    </row>
    <row r="424" spans="1:11" x14ac:dyDescent="0.3">
      <c r="A424" s="12">
        <v>45379</v>
      </c>
      <c r="B424" s="1" t="s">
        <v>349</v>
      </c>
      <c r="C424" s="1" t="s">
        <v>552</v>
      </c>
      <c r="D424" s="1" t="s">
        <v>71</v>
      </c>
      <c r="E424" s="7">
        <v>27419</v>
      </c>
      <c r="F424" s="1" t="s">
        <v>14</v>
      </c>
      <c r="G424" s="1">
        <v>225</v>
      </c>
      <c r="H424" s="1" t="s">
        <v>21</v>
      </c>
      <c r="I424" s="1" t="s">
        <v>48</v>
      </c>
      <c r="J424" s="1" t="s">
        <v>23</v>
      </c>
      <c r="K424" s="9">
        <v>0.1</v>
      </c>
    </row>
    <row r="425" spans="1:11" x14ac:dyDescent="0.3">
      <c r="A425" s="12">
        <v>45380</v>
      </c>
      <c r="B425" s="1" t="s">
        <v>417</v>
      </c>
      <c r="C425" s="1" t="s">
        <v>194</v>
      </c>
      <c r="D425" s="1" t="s">
        <v>71</v>
      </c>
      <c r="E425" s="7">
        <v>34396</v>
      </c>
      <c r="F425" s="1" t="s">
        <v>14</v>
      </c>
      <c r="G425" s="1">
        <v>199</v>
      </c>
      <c r="H425" s="1" t="s">
        <v>47</v>
      </c>
      <c r="I425" s="1" t="s">
        <v>52</v>
      </c>
      <c r="J425" s="1" t="s">
        <v>17</v>
      </c>
      <c r="K425" s="9">
        <v>0.1</v>
      </c>
    </row>
    <row r="426" spans="1:11" x14ac:dyDescent="0.3">
      <c r="A426" s="12">
        <v>45381</v>
      </c>
      <c r="B426" s="1" t="s">
        <v>233</v>
      </c>
      <c r="C426" s="1" t="s">
        <v>234</v>
      </c>
      <c r="D426" s="1" t="s">
        <v>46</v>
      </c>
      <c r="E426" s="7">
        <v>26446</v>
      </c>
      <c r="F426" s="1" t="s">
        <v>20</v>
      </c>
      <c r="G426" s="1">
        <v>357</v>
      </c>
      <c r="H426" s="1" t="s">
        <v>65</v>
      </c>
      <c r="I426" s="1" t="s">
        <v>52</v>
      </c>
      <c r="J426" s="1" t="s">
        <v>17</v>
      </c>
      <c r="K426" s="9">
        <v>0.1</v>
      </c>
    </row>
    <row r="427" spans="1:11" x14ac:dyDescent="0.3">
      <c r="A427" s="12">
        <v>45381</v>
      </c>
      <c r="B427" s="1" t="s">
        <v>280</v>
      </c>
      <c r="C427" s="1" t="s">
        <v>91</v>
      </c>
      <c r="D427" s="1" t="s">
        <v>13</v>
      </c>
      <c r="E427" s="7">
        <v>33919</v>
      </c>
      <c r="F427" s="1" t="s">
        <v>33</v>
      </c>
      <c r="G427" s="1">
        <v>78</v>
      </c>
      <c r="H427" s="1" t="s">
        <v>27</v>
      </c>
      <c r="I427" s="1" t="s">
        <v>28</v>
      </c>
      <c r="J427" s="1" t="s">
        <v>17</v>
      </c>
      <c r="K427" s="9">
        <v>0.1</v>
      </c>
    </row>
    <row r="428" spans="1:11" x14ac:dyDescent="0.3">
      <c r="A428" s="12">
        <v>45381</v>
      </c>
      <c r="B428" s="1" t="s">
        <v>350</v>
      </c>
      <c r="C428" s="1" t="s">
        <v>543</v>
      </c>
      <c r="D428" s="1" t="s">
        <v>13</v>
      </c>
      <c r="E428" s="7">
        <v>38484</v>
      </c>
      <c r="F428" s="1" t="s">
        <v>33</v>
      </c>
      <c r="G428" s="1">
        <v>145</v>
      </c>
      <c r="H428" s="1" t="s">
        <v>65</v>
      </c>
      <c r="I428" s="1" t="s">
        <v>48</v>
      </c>
      <c r="J428" s="1" t="s">
        <v>17</v>
      </c>
      <c r="K428" s="9">
        <v>0.1</v>
      </c>
    </row>
    <row r="429" spans="1:11" x14ac:dyDescent="0.3">
      <c r="A429" s="12">
        <v>45381</v>
      </c>
      <c r="B429" s="1" t="s">
        <v>338</v>
      </c>
      <c r="C429" s="1" t="s">
        <v>711</v>
      </c>
      <c r="D429" s="1" t="s">
        <v>71</v>
      </c>
      <c r="E429" s="7">
        <v>24294</v>
      </c>
      <c r="F429" s="1" t="s">
        <v>33</v>
      </c>
      <c r="G429" s="1">
        <v>419</v>
      </c>
      <c r="H429" s="1" t="s">
        <v>47</v>
      </c>
      <c r="I429" s="1" t="s">
        <v>35</v>
      </c>
      <c r="J429" s="1" t="s">
        <v>17</v>
      </c>
      <c r="K429" s="9">
        <v>0.1</v>
      </c>
    </row>
    <row r="430" spans="1:11" x14ac:dyDescent="0.3">
      <c r="A430" s="12">
        <v>45381</v>
      </c>
      <c r="B430" s="1" t="s">
        <v>831</v>
      </c>
      <c r="C430" s="1" t="s">
        <v>106</v>
      </c>
      <c r="D430" s="1" t="s">
        <v>55</v>
      </c>
      <c r="E430" s="7">
        <v>38153</v>
      </c>
      <c r="F430" s="1" t="s">
        <v>33</v>
      </c>
      <c r="G430" s="1">
        <v>392</v>
      </c>
      <c r="H430" s="1" t="s">
        <v>21</v>
      </c>
      <c r="I430" s="1" t="s">
        <v>52</v>
      </c>
      <c r="J430" s="1" t="s">
        <v>17</v>
      </c>
      <c r="K430" s="9">
        <v>0.1</v>
      </c>
    </row>
    <row r="431" spans="1:11" x14ac:dyDescent="0.3">
      <c r="A431" s="12">
        <v>45382</v>
      </c>
      <c r="B431" s="1" t="s">
        <v>618</v>
      </c>
      <c r="C431" s="1" t="s">
        <v>89</v>
      </c>
      <c r="D431" s="1" t="s">
        <v>13</v>
      </c>
      <c r="E431" s="7">
        <v>17202</v>
      </c>
      <c r="F431" s="1" t="s">
        <v>68</v>
      </c>
      <c r="G431" s="1">
        <v>135</v>
      </c>
      <c r="H431" s="1" t="s">
        <v>65</v>
      </c>
      <c r="I431" s="1" t="s">
        <v>48</v>
      </c>
      <c r="J431" s="1" t="s">
        <v>17</v>
      </c>
      <c r="K431" s="9">
        <v>0.1</v>
      </c>
    </row>
    <row r="432" spans="1:11" x14ac:dyDescent="0.3">
      <c r="A432" s="12">
        <v>45382</v>
      </c>
      <c r="B432" s="1" t="s">
        <v>667</v>
      </c>
      <c r="C432" s="1" t="s">
        <v>85</v>
      </c>
      <c r="D432" s="1" t="s">
        <v>46</v>
      </c>
      <c r="E432" s="7">
        <v>20479</v>
      </c>
      <c r="F432" s="1" t="s">
        <v>33</v>
      </c>
      <c r="G432" s="1">
        <v>62</v>
      </c>
      <c r="H432" s="1" t="s">
        <v>34</v>
      </c>
      <c r="I432" s="1" t="s">
        <v>28</v>
      </c>
      <c r="J432" s="1" t="s">
        <v>17</v>
      </c>
      <c r="K432" s="9">
        <v>0.1</v>
      </c>
    </row>
    <row r="433" spans="1:11" x14ac:dyDescent="0.3">
      <c r="A433" s="12">
        <v>45382</v>
      </c>
      <c r="B433" s="1" t="s">
        <v>713</v>
      </c>
      <c r="C433" s="1" t="s">
        <v>31</v>
      </c>
      <c r="D433" s="1" t="s">
        <v>51</v>
      </c>
      <c r="E433" s="7">
        <v>38488</v>
      </c>
      <c r="F433" s="1" t="s">
        <v>68</v>
      </c>
      <c r="G433" s="1">
        <v>217</v>
      </c>
      <c r="H433" s="1" t="s">
        <v>27</v>
      </c>
      <c r="I433" s="1" t="s">
        <v>43</v>
      </c>
      <c r="J433" s="1" t="s">
        <v>17</v>
      </c>
      <c r="K433" s="9">
        <v>0.1</v>
      </c>
    </row>
    <row r="434" spans="1:11" x14ac:dyDescent="0.3">
      <c r="A434" s="12">
        <v>45382</v>
      </c>
      <c r="B434" s="1" t="s">
        <v>601</v>
      </c>
      <c r="C434" s="1" t="s">
        <v>428</v>
      </c>
      <c r="D434" s="1" t="s">
        <v>13</v>
      </c>
      <c r="E434" s="7">
        <v>37652</v>
      </c>
      <c r="F434" s="1" t="s">
        <v>68</v>
      </c>
      <c r="G434" s="1">
        <v>466</v>
      </c>
      <c r="H434" s="1" t="s">
        <v>42</v>
      </c>
      <c r="I434" s="1" t="s">
        <v>48</v>
      </c>
      <c r="J434" s="1" t="s">
        <v>17</v>
      </c>
      <c r="K434" s="9">
        <v>0.1</v>
      </c>
    </row>
    <row r="435" spans="1:11" x14ac:dyDescent="0.3">
      <c r="A435" s="12">
        <v>45382</v>
      </c>
      <c r="B435" s="1" t="s">
        <v>552</v>
      </c>
      <c r="C435" s="1" t="s">
        <v>157</v>
      </c>
      <c r="D435" s="1" t="s">
        <v>94</v>
      </c>
      <c r="E435" s="7">
        <v>18192</v>
      </c>
      <c r="F435" s="1" t="s">
        <v>20</v>
      </c>
      <c r="G435" s="1">
        <v>390</v>
      </c>
      <c r="H435" s="1" t="s">
        <v>64</v>
      </c>
      <c r="I435" s="1"/>
      <c r="J435" s="1" t="s">
        <v>17</v>
      </c>
      <c r="K435" s="9">
        <v>0.1</v>
      </c>
    </row>
    <row r="436" spans="1:11" x14ac:dyDescent="0.3">
      <c r="A436" s="12">
        <v>45382</v>
      </c>
      <c r="B436" s="1" t="s">
        <v>107</v>
      </c>
      <c r="C436" s="1" t="s">
        <v>790</v>
      </c>
      <c r="D436" s="1" t="s">
        <v>46</v>
      </c>
      <c r="E436" s="7">
        <v>31943</v>
      </c>
      <c r="F436" s="1" t="s">
        <v>20</v>
      </c>
      <c r="G436" s="1">
        <v>383</v>
      </c>
      <c r="H436" s="1" t="s">
        <v>42</v>
      </c>
      <c r="I436" s="1" t="s">
        <v>48</v>
      </c>
      <c r="J436" s="1" t="s">
        <v>17</v>
      </c>
      <c r="K436" s="9">
        <v>0.1</v>
      </c>
    </row>
    <row r="437" spans="1:11" x14ac:dyDescent="0.3">
      <c r="A437" s="12">
        <v>45383</v>
      </c>
      <c r="B437" s="1" t="s">
        <v>172</v>
      </c>
      <c r="C437" s="1" t="s">
        <v>173</v>
      </c>
      <c r="D437" s="1" t="s">
        <v>78</v>
      </c>
      <c r="E437" s="7">
        <v>33917</v>
      </c>
      <c r="F437" s="1" t="s">
        <v>33</v>
      </c>
      <c r="G437" s="1">
        <v>116</v>
      </c>
      <c r="H437" s="1" t="s">
        <v>42</v>
      </c>
      <c r="I437" s="1" t="s">
        <v>52</v>
      </c>
      <c r="J437" s="1" t="s">
        <v>17</v>
      </c>
      <c r="K437" s="9">
        <v>0.1</v>
      </c>
    </row>
    <row r="438" spans="1:11" x14ac:dyDescent="0.3">
      <c r="A438" s="12">
        <v>45383</v>
      </c>
      <c r="B438" s="1" t="s">
        <v>482</v>
      </c>
      <c r="C438" s="1" t="s">
        <v>428</v>
      </c>
      <c r="D438" s="1" t="s">
        <v>71</v>
      </c>
      <c r="E438" s="7">
        <v>26059</v>
      </c>
      <c r="F438" s="1" t="s">
        <v>20</v>
      </c>
      <c r="G438" s="1">
        <v>30</v>
      </c>
      <c r="H438" s="1" t="s">
        <v>65</v>
      </c>
      <c r="I438" s="1" t="s">
        <v>28</v>
      </c>
      <c r="J438" s="1" t="s">
        <v>17</v>
      </c>
      <c r="K438" s="9">
        <v>0.1</v>
      </c>
    </row>
    <row r="439" spans="1:11" x14ac:dyDescent="0.3">
      <c r="A439" s="12">
        <v>45383</v>
      </c>
      <c r="B439" s="1" t="s">
        <v>610</v>
      </c>
      <c r="C439" s="1" t="s">
        <v>621</v>
      </c>
      <c r="D439" s="1" t="s">
        <v>51</v>
      </c>
      <c r="E439" s="7">
        <v>32828</v>
      </c>
      <c r="F439" s="1" t="s">
        <v>68</v>
      </c>
      <c r="G439" s="1">
        <v>417</v>
      </c>
      <c r="H439" s="1" t="s">
        <v>27</v>
      </c>
      <c r="I439" s="1" t="s">
        <v>28</v>
      </c>
      <c r="J439" s="1" t="s">
        <v>17</v>
      </c>
      <c r="K439" s="9">
        <v>0.1</v>
      </c>
    </row>
    <row r="440" spans="1:11" x14ac:dyDescent="0.3">
      <c r="A440" s="12">
        <v>45383</v>
      </c>
      <c r="B440" s="1" t="s">
        <v>545</v>
      </c>
      <c r="C440" s="1" t="s">
        <v>629</v>
      </c>
      <c r="D440" s="1" t="s">
        <v>26</v>
      </c>
      <c r="E440" s="7">
        <v>30400</v>
      </c>
      <c r="F440" s="1" t="s">
        <v>68</v>
      </c>
      <c r="G440" s="1">
        <v>288</v>
      </c>
      <c r="H440" s="1" t="s">
        <v>56</v>
      </c>
      <c r="I440" s="1" t="s">
        <v>48</v>
      </c>
      <c r="J440" s="1" t="s">
        <v>17</v>
      </c>
      <c r="K440" s="9">
        <v>0.1</v>
      </c>
    </row>
    <row r="441" spans="1:11" x14ac:dyDescent="0.3">
      <c r="A441" s="12">
        <v>45383</v>
      </c>
      <c r="B441" s="1" t="s">
        <v>712</v>
      </c>
      <c r="C441" s="1" t="s">
        <v>568</v>
      </c>
      <c r="D441" s="1" t="s">
        <v>38</v>
      </c>
      <c r="E441" s="7">
        <v>33075</v>
      </c>
      <c r="F441" s="1" t="s">
        <v>68</v>
      </c>
      <c r="G441" s="1">
        <v>215</v>
      </c>
      <c r="H441" s="1" t="s">
        <v>27</v>
      </c>
      <c r="I441" s="1" t="s">
        <v>39</v>
      </c>
      <c r="J441" s="1" t="s">
        <v>17</v>
      </c>
      <c r="K441" s="9">
        <v>0.1</v>
      </c>
    </row>
    <row r="442" spans="1:11" x14ac:dyDescent="0.3">
      <c r="A442" s="12">
        <v>45384</v>
      </c>
      <c r="B442" s="1" t="s">
        <v>527</v>
      </c>
      <c r="C442" s="1" t="s">
        <v>58</v>
      </c>
      <c r="D442" s="1" t="s">
        <v>51</v>
      </c>
      <c r="E442" s="7">
        <v>30195</v>
      </c>
      <c r="F442" s="1" t="s">
        <v>20</v>
      </c>
      <c r="G442" s="1">
        <v>18</v>
      </c>
      <c r="H442" s="1" t="s">
        <v>64</v>
      </c>
      <c r="I442" s="1" t="s">
        <v>48</v>
      </c>
      <c r="J442" s="1" t="s">
        <v>17</v>
      </c>
      <c r="K442" s="9">
        <v>0.1</v>
      </c>
    </row>
    <row r="443" spans="1:11" x14ac:dyDescent="0.3">
      <c r="A443" s="12">
        <v>45384</v>
      </c>
      <c r="B443" s="1" t="s">
        <v>200</v>
      </c>
      <c r="C443" s="1" t="s">
        <v>561</v>
      </c>
      <c r="D443" s="1" t="s">
        <v>13</v>
      </c>
      <c r="E443" s="7">
        <v>21526</v>
      </c>
      <c r="F443" s="1" t="s">
        <v>68</v>
      </c>
      <c r="G443" s="1">
        <v>305</v>
      </c>
      <c r="H443" s="1" t="s">
        <v>34</v>
      </c>
      <c r="I443" s="1" t="s">
        <v>48</v>
      </c>
      <c r="J443" s="1" t="s">
        <v>23</v>
      </c>
      <c r="K443" s="9">
        <v>0.1</v>
      </c>
    </row>
    <row r="444" spans="1:11" x14ac:dyDescent="0.3">
      <c r="A444" s="12">
        <v>45384</v>
      </c>
      <c r="B444" s="1" t="s">
        <v>463</v>
      </c>
      <c r="C444" s="1" t="s">
        <v>162</v>
      </c>
      <c r="D444" s="1" t="s">
        <v>26</v>
      </c>
      <c r="E444" s="7">
        <v>26189</v>
      </c>
      <c r="F444" s="1" t="s">
        <v>68</v>
      </c>
      <c r="G444" s="1">
        <v>86</v>
      </c>
      <c r="H444" s="1" t="s">
        <v>34</v>
      </c>
      <c r="I444" s="1" t="s">
        <v>43</v>
      </c>
      <c r="J444" s="1" t="s">
        <v>17</v>
      </c>
      <c r="K444" s="9">
        <v>0.1</v>
      </c>
    </row>
    <row r="445" spans="1:11" x14ac:dyDescent="0.3">
      <c r="A445" s="12">
        <v>45387</v>
      </c>
      <c r="B445" s="1" t="s">
        <v>109</v>
      </c>
      <c r="C445" s="1" t="s">
        <v>110</v>
      </c>
      <c r="D445" s="1" t="s">
        <v>13</v>
      </c>
      <c r="E445" s="7">
        <v>20918</v>
      </c>
      <c r="F445" s="1" t="s">
        <v>14</v>
      </c>
      <c r="G445" s="1">
        <v>426</v>
      </c>
      <c r="H445" s="1" t="s">
        <v>27</v>
      </c>
      <c r="I445" s="1" t="s">
        <v>52</v>
      </c>
      <c r="J445" s="1" t="s">
        <v>29</v>
      </c>
      <c r="K445" s="9">
        <v>0.1</v>
      </c>
    </row>
    <row r="446" spans="1:11" x14ac:dyDescent="0.3">
      <c r="A446" s="12">
        <v>45387</v>
      </c>
      <c r="B446" s="1" t="s">
        <v>72</v>
      </c>
      <c r="C446" s="1" t="s">
        <v>37</v>
      </c>
      <c r="D446" s="1" t="s">
        <v>38</v>
      </c>
      <c r="E446" s="7">
        <v>32336</v>
      </c>
      <c r="F446" s="1" t="s">
        <v>20</v>
      </c>
      <c r="G446" s="1">
        <v>449</v>
      </c>
      <c r="H446" s="1" t="s">
        <v>42</v>
      </c>
      <c r="I446" s="1" t="s">
        <v>43</v>
      </c>
      <c r="J446" s="1" t="s">
        <v>23</v>
      </c>
      <c r="K446" s="9">
        <v>0.1</v>
      </c>
    </row>
    <row r="447" spans="1:11" x14ac:dyDescent="0.3">
      <c r="A447" s="12">
        <v>45387</v>
      </c>
      <c r="B447" s="1" t="s">
        <v>115</v>
      </c>
      <c r="C447" s="1" t="s">
        <v>561</v>
      </c>
      <c r="D447" s="1" t="s">
        <v>51</v>
      </c>
      <c r="E447" s="7">
        <v>19953</v>
      </c>
      <c r="F447" s="1" t="s">
        <v>14</v>
      </c>
      <c r="G447" s="1">
        <v>430</v>
      </c>
      <c r="H447" s="1" t="s">
        <v>15</v>
      </c>
      <c r="I447" s="1" t="s">
        <v>52</v>
      </c>
      <c r="J447" s="1" t="s">
        <v>17</v>
      </c>
      <c r="K447" s="9">
        <v>0.1</v>
      </c>
    </row>
    <row r="448" spans="1:11" x14ac:dyDescent="0.3">
      <c r="A448" s="12">
        <v>45388</v>
      </c>
      <c r="B448" s="1" t="s">
        <v>49</v>
      </c>
      <c r="C448" s="1" t="s">
        <v>124</v>
      </c>
      <c r="D448" s="1" t="s">
        <v>78</v>
      </c>
      <c r="E448" s="7">
        <v>20207</v>
      </c>
      <c r="F448" s="1" t="s">
        <v>33</v>
      </c>
      <c r="G448" s="1">
        <v>373</v>
      </c>
      <c r="H448" s="1" t="s">
        <v>21</v>
      </c>
      <c r="I448" s="1" t="s">
        <v>52</v>
      </c>
      <c r="J448" s="1" t="s">
        <v>29</v>
      </c>
      <c r="K448" s="9">
        <v>0.1</v>
      </c>
    </row>
    <row r="449" spans="1:11" x14ac:dyDescent="0.3">
      <c r="A449" s="12">
        <v>45388</v>
      </c>
      <c r="B449" s="1" t="s">
        <v>158</v>
      </c>
      <c r="C449" s="1" t="s">
        <v>159</v>
      </c>
      <c r="D449" s="1" t="s">
        <v>94</v>
      </c>
      <c r="E449" s="7">
        <v>21183</v>
      </c>
      <c r="F449" s="1" t="s">
        <v>20</v>
      </c>
      <c r="G449" s="1">
        <v>143</v>
      </c>
      <c r="H449" s="1" t="s">
        <v>34</v>
      </c>
      <c r="I449" s="1" t="s">
        <v>43</v>
      </c>
      <c r="J449" s="1" t="s">
        <v>29</v>
      </c>
      <c r="K449" s="9">
        <v>0.1</v>
      </c>
    </row>
    <row r="450" spans="1:11" x14ac:dyDescent="0.3">
      <c r="A450" s="12">
        <v>45388</v>
      </c>
      <c r="B450" s="1" t="s">
        <v>145</v>
      </c>
      <c r="C450" s="1" t="s">
        <v>179</v>
      </c>
      <c r="D450" s="1" t="s">
        <v>46</v>
      </c>
      <c r="E450" s="7">
        <v>26682</v>
      </c>
      <c r="F450" s="1" t="s">
        <v>68</v>
      </c>
      <c r="G450" s="1">
        <v>405</v>
      </c>
      <c r="H450" s="1" t="s">
        <v>27</v>
      </c>
      <c r="I450" s="1" t="s">
        <v>28</v>
      </c>
      <c r="J450" s="1" t="s">
        <v>17</v>
      </c>
      <c r="K450" s="9">
        <v>0.1</v>
      </c>
    </row>
    <row r="451" spans="1:11" x14ac:dyDescent="0.3">
      <c r="A451" s="12">
        <v>45388</v>
      </c>
      <c r="B451" s="1" t="s">
        <v>117</v>
      </c>
      <c r="C451" s="1" t="s">
        <v>404</v>
      </c>
      <c r="D451" s="1" t="s">
        <v>78</v>
      </c>
      <c r="E451" s="7">
        <v>25930</v>
      </c>
      <c r="F451" s="1" t="s">
        <v>68</v>
      </c>
      <c r="G451" s="1">
        <v>119</v>
      </c>
      <c r="H451" s="1" t="s">
        <v>34</v>
      </c>
      <c r="I451" s="1" t="s">
        <v>43</v>
      </c>
      <c r="J451" s="1" t="s">
        <v>17</v>
      </c>
      <c r="K451" s="9">
        <v>0.1</v>
      </c>
    </row>
    <row r="452" spans="1:11" x14ac:dyDescent="0.3">
      <c r="A452" s="12">
        <v>45388</v>
      </c>
      <c r="B452" s="1" t="s">
        <v>163</v>
      </c>
      <c r="C452" s="1"/>
      <c r="D452" s="1" t="s">
        <v>51</v>
      </c>
      <c r="E452" s="7">
        <v>38417</v>
      </c>
      <c r="F452" s="1" t="s">
        <v>14</v>
      </c>
      <c r="G452" s="1">
        <v>209</v>
      </c>
      <c r="H452" s="1" t="s">
        <v>64</v>
      </c>
      <c r="I452" s="1" t="s">
        <v>35</v>
      </c>
      <c r="J452" s="1"/>
      <c r="K452" s="9">
        <v>0.1</v>
      </c>
    </row>
    <row r="453" spans="1:11" x14ac:dyDescent="0.3">
      <c r="A453" s="12">
        <v>45388</v>
      </c>
      <c r="B453" s="1" t="s">
        <v>119</v>
      </c>
      <c r="C453" s="1" t="s">
        <v>689</v>
      </c>
      <c r="D453" s="1" t="s">
        <v>71</v>
      </c>
      <c r="E453" s="7">
        <v>38577</v>
      </c>
      <c r="F453" s="1" t="s">
        <v>68</v>
      </c>
      <c r="G453" s="1">
        <v>12</v>
      </c>
      <c r="H453" s="1" t="s">
        <v>34</v>
      </c>
      <c r="I453" s="1" t="s">
        <v>35</v>
      </c>
      <c r="J453" s="1" t="s">
        <v>17</v>
      </c>
      <c r="K453" s="9">
        <v>0.1</v>
      </c>
    </row>
    <row r="454" spans="1:11" x14ac:dyDescent="0.3">
      <c r="A454" s="12">
        <v>45389</v>
      </c>
      <c r="B454" s="1" t="s">
        <v>92</v>
      </c>
      <c r="C454" s="1" t="s">
        <v>93</v>
      </c>
      <c r="D454" s="1" t="s">
        <v>94</v>
      </c>
      <c r="E454" s="7">
        <v>30949</v>
      </c>
      <c r="F454" s="1"/>
      <c r="G454" s="1">
        <v>205</v>
      </c>
      <c r="H454" s="1" t="s">
        <v>15</v>
      </c>
      <c r="I454" s="1" t="s">
        <v>48</v>
      </c>
      <c r="J454" s="1" t="s">
        <v>29</v>
      </c>
      <c r="K454" s="9">
        <v>0.1</v>
      </c>
    </row>
    <row r="455" spans="1:11" x14ac:dyDescent="0.3">
      <c r="A455" s="12">
        <v>45389</v>
      </c>
      <c r="B455" s="1" t="s">
        <v>113</v>
      </c>
      <c r="C455" s="1" t="s">
        <v>114</v>
      </c>
      <c r="D455" s="1" t="s">
        <v>46</v>
      </c>
      <c r="E455" s="7">
        <v>23604</v>
      </c>
      <c r="F455" s="1" t="s">
        <v>68</v>
      </c>
      <c r="G455" s="1">
        <v>351</v>
      </c>
      <c r="H455" s="1" t="s">
        <v>42</v>
      </c>
      <c r="I455" s="1" t="s">
        <v>52</v>
      </c>
      <c r="J455" s="1" t="s">
        <v>29</v>
      </c>
      <c r="K455" s="9">
        <v>0.1</v>
      </c>
    </row>
    <row r="456" spans="1:11" x14ac:dyDescent="0.3">
      <c r="A456" s="12">
        <v>45389</v>
      </c>
      <c r="B456" s="1" t="s">
        <v>469</v>
      </c>
      <c r="C456" s="1" t="s">
        <v>359</v>
      </c>
      <c r="D456" s="1" t="s">
        <v>71</v>
      </c>
      <c r="E456" s="7">
        <v>38203</v>
      </c>
      <c r="F456" s="1" t="s">
        <v>68</v>
      </c>
      <c r="G456" s="1">
        <v>27</v>
      </c>
      <c r="H456" s="1" t="s">
        <v>34</v>
      </c>
      <c r="I456" s="1" t="s">
        <v>28</v>
      </c>
      <c r="J456" s="1" t="s">
        <v>17</v>
      </c>
      <c r="K456" s="9">
        <v>0.1</v>
      </c>
    </row>
    <row r="457" spans="1:11" x14ac:dyDescent="0.3">
      <c r="A457" s="12">
        <v>45389</v>
      </c>
      <c r="B457" s="1" t="s">
        <v>518</v>
      </c>
      <c r="C457" s="1" t="s">
        <v>519</v>
      </c>
      <c r="D457" s="1" t="s">
        <v>26</v>
      </c>
      <c r="E457" s="7">
        <v>37961</v>
      </c>
      <c r="F457" s="1" t="s">
        <v>33</v>
      </c>
      <c r="G457" s="1">
        <v>412</v>
      </c>
      <c r="H457" s="1" t="s">
        <v>64</v>
      </c>
      <c r="I457" s="1" t="s">
        <v>52</v>
      </c>
      <c r="J457" s="1" t="s">
        <v>17</v>
      </c>
      <c r="K457" s="9">
        <v>0.1</v>
      </c>
    </row>
    <row r="458" spans="1:11" x14ac:dyDescent="0.3">
      <c r="A458" s="12">
        <v>45389</v>
      </c>
      <c r="B458" s="1" t="s">
        <v>246</v>
      </c>
      <c r="C458" s="1" t="s">
        <v>63</v>
      </c>
      <c r="D458" s="1" t="s">
        <v>26</v>
      </c>
      <c r="E458" s="7">
        <v>29272</v>
      </c>
      <c r="F458" s="1" t="s">
        <v>20</v>
      </c>
      <c r="G458" s="1">
        <v>335</v>
      </c>
      <c r="H458" s="1" t="s">
        <v>59</v>
      </c>
      <c r="I458" s="1" t="s">
        <v>43</v>
      </c>
      <c r="J458" s="1" t="s">
        <v>17</v>
      </c>
      <c r="K458" s="9">
        <v>0.1</v>
      </c>
    </row>
    <row r="459" spans="1:11" x14ac:dyDescent="0.3">
      <c r="A459" s="12">
        <v>45389</v>
      </c>
      <c r="B459" s="1" t="s">
        <v>623</v>
      </c>
      <c r="C459" s="1" t="s">
        <v>31</v>
      </c>
      <c r="D459" s="1" t="s">
        <v>83</v>
      </c>
      <c r="E459" s="7">
        <v>28459</v>
      </c>
      <c r="F459" s="1" t="s">
        <v>68</v>
      </c>
      <c r="G459" s="1">
        <v>300</v>
      </c>
      <c r="H459" s="1" t="s">
        <v>34</v>
      </c>
      <c r="I459" s="1" t="s">
        <v>43</v>
      </c>
      <c r="J459" s="1" t="s">
        <v>17</v>
      </c>
      <c r="K459" s="9">
        <v>0.1</v>
      </c>
    </row>
    <row r="460" spans="1:11" x14ac:dyDescent="0.3">
      <c r="A460" s="12">
        <v>45389</v>
      </c>
      <c r="B460" s="1" t="s">
        <v>767</v>
      </c>
      <c r="C460" s="1" t="s">
        <v>725</v>
      </c>
      <c r="D460" s="1" t="s">
        <v>32</v>
      </c>
      <c r="E460" s="7">
        <v>22311</v>
      </c>
      <c r="F460" s="1" t="s">
        <v>14</v>
      </c>
      <c r="G460" s="1">
        <v>157</v>
      </c>
      <c r="H460" s="1" t="s">
        <v>64</v>
      </c>
      <c r="I460" s="1" t="s">
        <v>43</v>
      </c>
      <c r="J460" s="1" t="s">
        <v>17</v>
      </c>
      <c r="K460" s="9">
        <v>0.1</v>
      </c>
    </row>
    <row r="461" spans="1:11" x14ac:dyDescent="0.3">
      <c r="A461" s="12">
        <v>45389</v>
      </c>
      <c r="B461" s="1" t="s">
        <v>66</v>
      </c>
      <c r="C461" s="1" t="s">
        <v>89</v>
      </c>
      <c r="D461" s="1" t="s">
        <v>38</v>
      </c>
      <c r="E461" s="7">
        <v>24080</v>
      </c>
      <c r="F461" s="1" t="s">
        <v>14</v>
      </c>
      <c r="G461" s="1">
        <v>492</v>
      </c>
      <c r="H461" s="1" t="s">
        <v>64</v>
      </c>
      <c r="I461" s="1" t="s">
        <v>48</v>
      </c>
      <c r="J461" s="1" t="s">
        <v>17</v>
      </c>
      <c r="K461" s="9">
        <v>0.1</v>
      </c>
    </row>
    <row r="462" spans="1:11" x14ac:dyDescent="0.3">
      <c r="A462" s="12">
        <v>45389</v>
      </c>
      <c r="B462" s="1" t="s">
        <v>802</v>
      </c>
      <c r="C462" s="1" t="s">
        <v>225</v>
      </c>
      <c r="D462" s="1" t="s">
        <v>94</v>
      </c>
      <c r="E462" s="7">
        <v>17664</v>
      </c>
      <c r="F462" s="1" t="s">
        <v>20</v>
      </c>
      <c r="G462" s="1">
        <v>253</v>
      </c>
      <c r="H462" s="1" t="s">
        <v>47</v>
      </c>
      <c r="I462" s="1" t="s">
        <v>35</v>
      </c>
      <c r="J462" s="1" t="s">
        <v>17</v>
      </c>
      <c r="K462" s="9">
        <v>0.1</v>
      </c>
    </row>
    <row r="463" spans="1:11" x14ac:dyDescent="0.3">
      <c r="A463" s="12">
        <v>45389</v>
      </c>
      <c r="B463" s="1" t="s">
        <v>600</v>
      </c>
      <c r="C463" s="1" t="s">
        <v>863</v>
      </c>
      <c r="D463" s="1" t="s">
        <v>71</v>
      </c>
      <c r="E463" s="7">
        <v>29591</v>
      </c>
      <c r="F463" s="1" t="s">
        <v>68</v>
      </c>
      <c r="G463" s="1">
        <v>292</v>
      </c>
      <c r="H463" s="1" t="s">
        <v>59</v>
      </c>
      <c r="I463" s="1" t="s">
        <v>48</v>
      </c>
      <c r="J463" s="1" t="s">
        <v>17</v>
      </c>
      <c r="K463" s="9">
        <v>0.1</v>
      </c>
    </row>
    <row r="464" spans="1:11" x14ac:dyDescent="0.3">
      <c r="A464" s="12">
        <v>45390</v>
      </c>
      <c r="B464" s="1" t="s">
        <v>154</v>
      </c>
      <c r="C464" s="1" t="s">
        <v>369</v>
      </c>
      <c r="D464" s="1" t="s">
        <v>83</v>
      </c>
      <c r="E464" s="7">
        <v>20304</v>
      </c>
      <c r="F464" s="1" t="s">
        <v>33</v>
      </c>
      <c r="G464" s="1">
        <v>466</v>
      </c>
      <c r="H464" s="1" t="s">
        <v>34</v>
      </c>
      <c r="I464" s="1" t="s">
        <v>28</v>
      </c>
      <c r="J464" s="1" t="s">
        <v>17</v>
      </c>
      <c r="K464" s="9">
        <v>0.1</v>
      </c>
    </row>
    <row r="465" spans="1:11" x14ac:dyDescent="0.3">
      <c r="A465" s="12">
        <v>45390</v>
      </c>
      <c r="B465" s="1" t="s">
        <v>107</v>
      </c>
      <c r="C465" s="1" t="s">
        <v>626</v>
      </c>
      <c r="D465" s="1" t="s">
        <v>46</v>
      </c>
      <c r="E465" s="7">
        <v>28632</v>
      </c>
      <c r="F465" s="1" t="s">
        <v>14</v>
      </c>
      <c r="G465" s="1">
        <v>153</v>
      </c>
      <c r="H465" s="1" t="s">
        <v>47</v>
      </c>
      <c r="I465" s="1" t="s">
        <v>52</v>
      </c>
      <c r="J465" s="1" t="s">
        <v>17</v>
      </c>
      <c r="K465" s="9">
        <v>0.1</v>
      </c>
    </row>
    <row r="466" spans="1:11" x14ac:dyDescent="0.3">
      <c r="A466" s="12">
        <v>45390</v>
      </c>
      <c r="B466" s="1" t="s">
        <v>616</v>
      </c>
      <c r="C466" s="1" t="s">
        <v>354</v>
      </c>
      <c r="D466" s="1" t="s">
        <v>26</v>
      </c>
      <c r="E466" s="7">
        <v>22881</v>
      </c>
      <c r="F466" s="1" t="s">
        <v>33</v>
      </c>
      <c r="G466" s="1">
        <v>136</v>
      </c>
      <c r="H466" s="1" t="s">
        <v>65</v>
      </c>
      <c r="I466" s="1" t="s">
        <v>48</v>
      </c>
      <c r="J466" s="1" t="s">
        <v>17</v>
      </c>
      <c r="K466" s="9">
        <v>0.1</v>
      </c>
    </row>
    <row r="467" spans="1:11" x14ac:dyDescent="0.3">
      <c r="A467" s="12">
        <v>45390</v>
      </c>
      <c r="B467" s="1" t="s">
        <v>255</v>
      </c>
      <c r="C467" s="1" t="s">
        <v>433</v>
      </c>
      <c r="D467" s="1" t="s">
        <v>26</v>
      </c>
      <c r="E467" s="7">
        <v>36436</v>
      </c>
      <c r="F467" s="1" t="s">
        <v>68</v>
      </c>
      <c r="G467" s="1">
        <v>119</v>
      </c>
      <c r="H467" s="1" t="s">
        <v>47</v>
      </c>
      <c r="I467" s="1" t="s">
        <v>28</v>
      </c>
      <c r="J467" s="1" t="s">
        <v>17</v>
      </c>
      <c r="K467" s="9">
        <v>0.1</v>
      </c>
    </row>
    <row r="468" spans="1:11" x14ac:dyDescent="0.3">
      <c r="A468" s="12">
        <v>45391</v>
      </c>
      <c r="B468" s="1" t="s">
        <v>66</v>
      </c>
      <c r="C468" s="1" t="s">
        <v>67</v>
      </c>
      <c r="D468" s="1" t="s">
        <v>38</v>
      </c>
      <c r="E468" s="7">
        <v>26568</v>
      </c>
      <c r="F468" s="1" t="s">
        <v>68</v>
      </c>
      <c r="G468" s="1">
        <v>350</v>
      </c>
      <c r="H468" s="1" t="s">
        <v>59</v>
      </c>
      <c r="I468" s="1" t="s">
        <v>48</v>
      </c>
      <c r="J468" s="1" t="s">
        <v>29</v>
      </c>
      <c r="K468" s="9">
        <v>0.1</v>
      </c>
    </row>
    <row r="469" spans="1:11" x14ac:dyDescent="0.3">
      <c r="A469" s="12">
        <v>45391</v>
      </c>
      <c r="B469" s="1" t="s">
        <v>24</v>
      </c>
      <c r="C469" s="1" t="s">
        <v>182</v>
      </c>
      <c r="D469" s="1" t="s">
        <v>38</v>
      </c>
      <c r="E469" s="7">
        <v>17285</v>
      </c>
      <c r="F469" s="1" t="s">
        <v>14</v>
      </c>
      <c r="G469" s="1">
        <v>326</v>
      </c>
      <c r="H469" s="1" t="s">
        <v>42</v>
      </c>
      <c r="I469" s="1" t="s">
        <v>39</v>
      </c>
      <c r="J469" s="1" t="s">
        <v>17</v>
      </c>
      <c r="K469" s="9">
        <v>0.1</v>
      </c>
    </row>
    <row r="470" spans="1:11" x14ac:dyDescent="0.3">
      <c r="A470" s="12">
        <v>45391</v>
      </c>
      <c r="B470" s="1" t="s">
        <v>115</v>
      </c>
      <c r="C470" s="1" t="s">
        <v>249</v>
      </c>
      <c r="D470" s="1" t="s">
        <v>26</v>
      </c>
      <c r="E470" s="7">
        <v>29735</v>
      </c>
      <c r="F470" s="1" t="s">
        <v>68</v>
      </c>
      <c r="G470" s="1">
        <v>187</v>
      </c>
      <c r="H470" s="1" t="s">
        <v>42</v>
      </c>
      <c r="I470" s="1" t="s">
        <v>52</v>
      </c>
      <c r="J470" s="1" t="s">
        <v>17</v>
      </c>
      <c r="K470" s="9">
        <v>0.1</v>
      </c>
    </row>
    <row r="471" spans="1:11" x14ac:dyDescent="0.3">
      <c r="A471" s="12">
        <v>45391</v>
      </c>
      <c r="B471" s="1" t="s">
        <v>283</v>
      </c>
      <c r="C471" s="1" t="s">
        <v>741</v>
      </c>
      <c r="D471" s="1" t="s">
        <v>83</v>
      </c>
      <c r="E471" s="7">
        <v>26745</v>
      </c>
      <c r="F471" s="1" t="s">
        <v>20</v>
      </c>
      <c r="G471" s="1">
        <v>112</v>
      </c>
      <c r="H471" s="1" t="s">
        <v>34</v>
      </c>
      <c r="I471" s="1" t="s">
        <v>52</v>
      </c>
      <c r="J471" s="1" t="s">
        <v>23</v>
      </c>
      <c r="K471" s="9">
        <v>0.1</v>
      </c>
    </row>
    <row r="472" spans="1:11" x14ac:dyDescent="0.3">
      <c r="A472" s="12">
        <v>45392</v>
      </c>
      <c r="B472" s="1" t="s">
        <v>177</v>
      </c>
      <c r="C472" s="1" t="s">
        <v>178</v>
      </c>
      <c r="D472" s="1" t="s">
        <v>78</v>
      </c>
      <c r="E472" s="7">
        <v>16545</v>
      </c>
      <c r="F472" s="1" t="s">
        <v>33</v>
      </c>
      <c r="G472" s="1">
        <v>308</v>
      </c>
      <c r="H472" s="1" t="s">
        <v>21</v>
      </c>
      <c r="I472" s="1" t="s">
        <v>28</v>
      </c>
      <c r="J472" s="1" t="s">
        <v>17</v>
      </c>
      <c r="K472" s="9">
        <v>0.1</v>
      </c>
    </row>
    <row r="473" spans="1:11" x14ac:dyDescent="0.3">
      <c r="A473" s="12">
        <v>45392</v>
      </c>
      <c r="B473" s="1" t="s">
        <v>377</v>
      </c>
      <c r="C473" s="1" t="s">
        <v>348</v>
      </c>
      <c r="D473" s="1" t="s">
        <v>32</v>
      </c>
      <c r="E473" s="7">
        <v>31363</v>
      </c>
      <c r="F473" s="1" t="s">
        <v>68</v>
      </c>
      <c r="G473" s="1">
        <v>309</v>
      </c>
      <c r="H473" s="1" t="s">
        <v>47</v>
      </c>
      <c r="I473" s="1" t="s">
        <v>48</v>
      </c>
      <c r="J473" s="1" t="s">
        <v>17</v>
      </c>
      <c r="K473" s="9">
        <v>0.1</v>
      </c>
    </row>
    <row r="474" spans="1:11" x14ac:dyDescent="0.3">
      <c r="A474" s="12">
        <v>45392</v>
      </c>
      <c r="B474" s="1" t="s">
        <v>160</v>
      </c>
      <c r="C474" s="1" t="s">
        <v>867</v>
      </c>
      <c r="D474" s="1" t="s">
        <v>26</v>
      </c>
      <c r="E474" s="7">
        <v>27321</v>
      </c>
      <c r="F474" s="1" t="s">
        <v>14</v>
      </c>
      <c r="G474" s="1">
        <v>357</v>
      </c>
      <c r="H474" s="1" t="s">
        <v>65</v>
      </c>
      <c r="I474" s="1" t="s">
        <v>35</v>
      </c>
      <c r="J474" s="1" t="s">
        <v>17</v>
      </c>
      <c r="K474" s="9">
        <v>0.1</v>
      </c>
    </row>
    <row r="475" spans="1:11" x14ac:dyDescent="0.3">
      <c r="A475" s="12">
        <v>45393</v>
      </c>
      <c r="B475" s="1" t="s">
        <v>73</v>
      </c>
      <c r="C475" s="1" t="s">
        <v>63</v>
      </c>
      <c r="D475" s="1" t="s">
        <v>71</v>
      </c>
      <c r="E475" s="7">
        <v>21086</v>
      </c>
      <c r="F475" s="1" t="s">
        <v>68</v>
      </c>
      <c r="G475" s="1">
        <v>425</v>
      </c>
      <c r="H475" s="1" t="s">
        <v>65</v>
      </c>
      <c r="I475" s="1" t="s">
        <v>28</v>
      </c>
      <c r="J475" s="1" t="s">
        <v>17</v>
      </c>
      <c r="K475" s="9">
        <v>0.1</v>
      </c>
    </row>
    <row r="476" spans="1:11" x14ac:dyDescent="0.3">
      <c r="A476" s="12">
        <v>45393</v>
      </c>
      <c r="B476" s="1" t="s">
        <v>775</v>
      </c>
      <c r="C476" s="1" t="s">
        <v>776</v>
      </c>
      <c r="D476" s="1" t="s">
        <v>26</v>
      </c>
      <c r="E476" s="7">
        <v>29524</v>
      </c>
      <c r="F476" s="1" t="s">
        <v>14</v>
      </c>
      <c r="G476" s="1">
        <v>169</v>
      </c>
      <c r="H476" s="1" t="s">
        <v>47</v>
      </c>
      <c r="I476" s="1" t="s">
        <v>48</v>
      </c>
      <c r="J476" s="1" t="s">
        <v>17</v>
      </c>
      <c r="K476" s="9">
        <v>0.1</v>
      </c>
    </row>
    <row r="477" spans="1:11" x14ac:dyDescent="0.3">
      <c r="A477" s="12">
        <v>45393</v>
      </c>
      <c r="B477" s="1" t="s">
        <v>201</v>
      </c>
      <c r="C477" s="1" t="s">
        <v>192</v>
      </c>
      <c r="D477" s="1" t="s">
        <v>78</v>
      </c>
      <c r="E477" s="7">
        <v>20671</v>
      </c>
      <c r="F477" s="1" t="s">
        <v>68</v>
      </c>
      <c r="G477" s="1">
        <v>31</v>
      </c>
      <c r="H477" s="1" t="s">
        <v>27</v>
      </c>
      <c r="I477" s="1" t="s">
        <v>43</v>
      </c>
      <c r="J477" s="1" t="s">
        <v>17</v>
      </c>
      <c r="K477" s="9">
        <v>0.1</v>
      </c>
    </row>
    <row r="478" spans="1:11" x14ac:dyDescent="0.3">
      <c r="A478" s="12">
        <v>45394</v>
      </c>
      <c r="B478" s="1" t="s">
        <v>427</v>
      </c>
      <c r="C478" s="1" t="s">
        <v>428</v>
      </c>
      <c r="D478" s="1" t="s">
        <v>78</v>
      </c>
      <c r="E478" s="7">
        <v>38781</v>
      </c>
      <c r="F478" s="1" t="s">
        <v>20</v>
      </c>
      <c r="G478" s="1">
        <v>93</v>
      </c>
      <c r="H478" s="1" t="s">
        <v>64</v>
      </c>
      <c r="I478" s="1" t="s">
        <v>48</v>
      </c>
      <c r="J478" s="1" t="s">
        <v>17</v>
      </c>
      <c r="K478" s="9">
        <v>0.1</v>
      </c>
    </row>
    <row r="479" spans="1:11" x14ac:dyDescent="0.3">
      <c r="A479" s="12">
        <v>45394</v>
      </c>
      <c r="B479" s="1" t="s">
        <v>475</v>
      </c>
      <c r="C479" s="1" t="s">
        <v>299</v>
      </c>
      <c r="D479" s="1" t="s">
        <v>46</v>
      </c>
      <c r="E479" s="7">
        <v>25621</v>
      </c>
      <c r="F479" s="1" t="s">
        <v>14</v>
      </c>
      <c r="G479" s="1">
        <v>316</v>
      </c>
      <c r="H479" s="1" t="s">
        <v>34</v>
      </c>
      <c r="I479" s="1" t="s">
        <v>52</v>
      </c>
      <c r="J479" s="1" t="s">
        <v>17</v>
      </c>
      <c r="K479" s="9">
        <v>0.1</v>
      </c>
    </row>
    <row r="480" spans="1:11" x14ac:dyDescent="0.3">
      <c r="A480" s="12">
        <v>45394</v>
      </c>
      <c r="B480" s="1" t="s">
        <v>88</v>
      </c>
      <c r="C480" s="1" t="s">
        <v>407</v>
      </c>
      <c r="D480" s="1" t="s">
        <v>71</v>
      </c>
      <c r="E480" s="7">
        <v>37751</v>
      </c>
      <c r="F480" s="1" t="s">
        <v>33</v>
      </c>
      <c r="G480" s="1">
        <v>275</v>
      </c>
      <c r="H480" s="1" t="s">
        <v>65</v>
      </c>
      <c r="I480" s="1" t="s">
        <v>28</v>
      </c>
      <c r="J480" s="1" t="s">
        <v>17</v>
      </c>
      <c r="K480" s="9">
        <v>0.1</v>
      </c>
    </row>
    <row r="481" spans="1:11" x14ac:dyDescent="0.3">
      <c r="A481" s="12">
        <v>45394</v>
      </c>
      <c r="B481" s="1" t="s">
        <v>62</v>
      </c>
      <c r="C481" s="1" t="s">
        <v>612</v>
      </c>
      <c r="D481" s="1" t="s">
        <v>38</v>
      </c>
      <c r="E481" s="7">
        <v>37652</v>
      </c>
      <c r="F481" s="1" t="s">
        <v>68</v>
      </c>
      <c r="G481" s="1">
        <v>275</v>
      </c>
      <c r="H481" s="1" t="s">
        <v>56</v>
      </c>
      <c r="I481" s="1" t="s">
        <v>48</v>
      </c>
      <c r="J481" s="1" t="s">
        <v>17</v>
      </c>
      <c r="K481" s="9">
        <v>0.1</v>
      </c>
    </row>
    <row r="482" spans="1:11" x14ac:dyDescent="0.3">
      <c r="A482" s="12">
        <v>45394</v>
      </c>
      <c r="B482" s="1" t="s">
        <v>521</v>
      </c>
      <c r="C482" s="1" t="s">
        <v>114</v>
      </c>
      <c r="D482" s="1" t="s">
        <v>55</v>
      </c>
      <c r="E482" s="7">
        <v>23602</v>
      </c>
      <c r="F482" s="1" t="s">
        <v>14</v>
      </c>
      <c r="G482" s="1">
        <v>371</v>
      </c>
      <c r="H482" s="1" t="s">
        <v>47</v>
      </c>
      <c r="I482" s="1" t="s">
        <v>48</v>
      </c>
      <c r="J482" s="1" t="s">
        <v>17</v>
      </c>
      <c r="K482" s="9">
        <v>0.1</v>
      </c>
    </row>
    <row r="483" spans="1:11" x14ac:dyDescent="0.3">
      <c r="A483" s="12">
        <v>45394</v>
      </c>
      <c r="B483" s="1" t="s">
        <v>245</v>
      </c>
      <c r="C483" s="1" t="s">
        <v>211</v>
      </c>
      <c r="D483" s="1" t="s">
        <v>32</v>
      </c>
      <c r="E483" s="7">
        <v>35507</v>
      </c>
      <c r="F483" s="1" t="s">
        <v>68</v>
      </c>
      <c r="G483" s="1">
        <v>407</v>
      </c>
      <c r="H483" s="1" t="s">
        <v>59</v>
      </c>
      <c r="I483" s="1" t="s">
        <v>52</v>
      </c>
      <c r="J483" s="1" t="s">
        <v>17</v>
      </c>
      <c r="K483" s="9">
        <v>0.1</v>
      </c>
    </row>
    <row r="484" spans="1:11" x14ac:dyDescent="0.3">
      <c r="A484" s="12">
        <v>45394</v>
      </c>
      <c r="B484" s="1" t="s">
        <v>310</v>
      </c>
      <c r="C484" s="1" t="s">
        <v>451</v>
      </c>
      <c r="D484" s="1" t="s">
        <v>51</v>
      </c>
      <c r="E484" s="7">
        <v>26696</v>
      </c>
      <c r="F484" s="1" t="s">
        <v>33</v>
      </c>
      <c r="G484" s="1">
        <v>283</v>
      </c>
      <c r="H484" s="1" t="s">
        <v>65</v>
      </c>
      <c r="I484" s="1" t="s">
        <v>28</v>
      </c>
      <c r="J484" s="1" t="s">
        <v>17</v>
      </c>
      <c r="K484" s="9">
        <v>0.1</v>
      </c>
    </row>
    <row r="485" spans="1:11" x14ac:dyDescent="0.3">
      <c r="A485" s="12">
        <v>45395</v>
      </c>
      <c r="B485" s="1" t="s">
        <v>74</v>
      </c>
      <c r="C485" s="1" t="s">
        <v>75</v>
      </c>
      <c r="D485" s="1" t="s">
        <v>32</v>
      </c>
      <c r="E485" s="7">
        <v>23729</v>
      </c>
      <c r="F485" s="1" t="s">
        <v>33</v>
      </c>
      <c r="G485" s="1">
        <v>205</v>
      </c>
      <c r="H485" s="1" t="s">
        <v>59</v>
      </c>
      <c r="I485" s="1" t="s">
        <v>35</v>
      </c>
      <c r="J485" s="1" t="s">
        <v>29</v>
      </c>
      <c r="K485" s="9">
        <v>0.1</v>
      </c>
    </row>
    <row r="486" spans="1:11" x14ac:dyDescent="0.3">
      <c r="A486" s="12">
        <v>45395</v>
      </c>
      <c r="B486" s="1" t="s">
        <v>76</v>
      </c>
      <c r="C486" s="1" t="s">
        <v>77</v>
      </c>
      <c r="D486" s="1" t="s">
        <v>78</v>
      </c>
      <c r="E486" s="7">
        <v>38920</v>
      </c>
      <c r="F486" s="1" t="s">
        <v>33</v>
      </c>
      <c r="G486" s="1">
        <v>197</v>
      </c>
      <c r="H486" s="1" t="s">
        <v>27</v>
      </c>
      <c r="I486" s="1" t="s">
        <v>52</v>
      </c>
      <c r="J486" s="1" t="s">
        <v>29</v>
      </c>
      <c r="K486" s="9">
        <v>0.1</v>
      </c>
    </row>
    <row r="487" spans="1:11" x14ac:dyDescent="0.3">
      <c r="A487" s="12">
        <v>45395</v>
      </c>
      <c r="B487" s="1" t="s">
        <v>570</v>
      </c>
      <c r="C487" s="1" t="s">
        <v>488</v>
      </c>
      <c r="D487" s="1" t="s">
        <v>83</v>
      </c>
      <c r="E487" s="7">
        <v>15936</v>
      </c>
      <c r="F487" s="1" t="s">
        <v>68</v>
      </c>
      <c r="G487" s="1">
        <v>291</v>
      </c>
      <c r="H487" s="1" t="s">
        <v>59</v>
      </c>
      <c r="I487" s="1" t="s">
        <v>48</v>
      </c>
      <c r="J487" s="1" t="s">
        <v>17</v>
      </c>
      <c r="K487" s="9">
        <v>0.1</v>
      </c>
    </row>
    <row r="488" spans="1:11" x14ac:dyDescent="0.3">
      <c r="A488" s="12">
        <v>45395</v>
      </c>
      <c r="B488" s="1" t="s">
        <v>453</v>
      </c>
      <c r="C488" s="1" t="s">
        <v>656</v>
      </c>
      <c r="D488" s="1" t="s">
        <v>38</v>
      </c>
      <c r="E488" s="7">
        <v>16740</v>
      </c>
      <c r="F488" s="1" t="s">
        <v>33</v>
      </c>
      <c r="G488" s="1">
        <v>277</v>
      </c>
      <c r="H488" s="1" t="s">
        <v>15</v>
      </c>
      <c r="I488" s="1" t="s">
        <v>28</v>
      </c>
      <c r="J488" s="1" t="s">
        <v>17</v>
      </c>
      <c r="K488" s="9">
        <v>0.1</v>
      </c>
    </row>
    <row r="489" spans="1:11" x14ac:dyDescent="0.3">
      <c r="A489" s="12">
        <v>45395</v>
      </c>
      <c r="B489" s="1" t="s">
        <v>332</v>
      </c>
      <c r="C489" s="1" t="s">
        <v>471</v>
      </c>
      <c r="D489" s="1" t="s">
        <v>94</v>
      </c>
      <c r="E489" s="7">
        <v>17897</v>
      </c>
      <c r="F489" s="1" t="s">
        <v>68</v>
      </c>
      <c r="G489" s="1">
        <v>90</v>
      </c>
      <c r="H489" s="1" t="s">
        <v>27</v>
      </c>
      <c r="I489" s="1" t="s">
        <v>52</v>
      </c>
      <c r="J489" s="1" t="s">
        <v>17</v>
      </c>
      <c r="K489" s="9">
        <v>0.1</v>
      </c>
    </row>
    <row r="490" spans="1:11" x14ac:dyDescent="0.3">
      <c r="A490" s="12">
        <v>45395</v>
      </c>
      <c r="B490" s="1" t="s">
        <v>804</v>
      </c>
      <c r="C490" s="1" t="s">
        <v>836</v>
      </c>
      <c r="D490" s="1" t="s">
        <v>55</v>
      </c>
      <c r="E490" s="7">
        <v>34463</v>
      </c>
      <c r="F490" s="1" t="s">
        <v>14</v>
      </c>
      <c r="G490" s="1">
        <v>251</v>
      </c>
      <c r="H490" s="1" t="s">
        <v>34</v>
      </c>
      <c r="I490" s="1" t="s">
        <v>48</v>
      </c>
      <c r="J490" s="1" t="s">
        <v>17</v>
      </c>
      <c r="K490" s="9">
        <v>0.1</v>
      </c>
    </row>
    <row r="491" spans="1:11" x14ac:dyDescent="0.3">
      <c r="A491" s="12">
        <v>45395</v>
      </c>
      <c r="B491" s="1" t="s">
        <v>338</v>
      </c>
      <c r="C491" s="1" t="s">
        <v>801</v>
      </c>
      <c r="D491" s="1" t="s">
        <v>94</v>
      </c>
      <c r="E491" s="7">
        <v>28172</v>
      </c>
      <c r="F491" s="1" t="s">
        <v>14</v>
      </c>
      <c r="G491" s="1">
        <v>181</v>
      </c>
      <c r="H491" s="1" t="s">
        <v>34</v>
      </c>
      <c r="I491" s="1" t="s">
        <v>43</v>
      </c>
      <c r="J491" s="1" t="s">
        <v>17</v>
      </c>
      <c r="K491" s="9">
        <v>0.1</v>
      </c>
    </row>
    <row r="492" spans="1:11" x14ac:dyDescent="0.3">
      <c r="A492" s="12">
        <v>45395</v>
      </c>
      <c r="B492" s="1" t="s">
        <v>870</v>
      </c>
      <c r="C492" s="1" t="s">
        <v>871</v>
      </c>
      <c r="D492" s="1" t="s">
        <v>55</v>
      </c>
      <c r="E492" s="7">
        <v>29376</v>
      </c>
      <c r="F492" s="1" t="s">
        <v>14</v>
      </c>
      <c r="G492" s="1">
        <v>486</v>
      </c>
      <c r="H492" s="1" t="s">
        <v>64</v>
      </c>
      <c r="I492" s="1" t="s">
        <v>48</v>
      </c>
      <c r="J492" s="1" t="s">
        <v>17</v>
      </c>
      <c r="K492" s="9">
        <v>0.1</v>
      </c>
    </row>
    <row r="493" spans="1:11" x14ac:dyDescent="0.3">
      <c r="A493" s="12">
        <v>45396</v>
      </c>
      <c r="B493" s="1" t="s">
        <v>24</v>
      </c>
      <c r="C493" s="1" t="s">
        <v>435</v>
      </c>
      <c r="D493" s="1" t="s">
        <v>55</v>
      </c>
      <c r="E493" s="7">
        <v>35948</v>
      </c>
      <c r="F493" s="1" t="s">
        <v>14</v>
      </c>
      <c r="G493" s="1">
        <v>21</v>
      </c>
      <c r="H493" s="1" t="s">
        <v>15</v>
      </c>
      <c r="I493" s="1" t="s">
        <v>43</v>
      </c>
      <c r="J493" s="1" t="s">
        <v>17</v>
      </c>
      <c r="K493" s="9">
        <v>0.1</v>
      </c>
    </row>
    <row r="494" spans="1:11" x14ac:dyDescent="0.3">
      <c r="A494" s="12">
        <v>45396</v>
      </c>
      <c r="B494" s="1" t="s">
        <v>360</v>
      </c>
      <c r="C494" s="1" t="s">
        <v>483</v>
      </c>
      <c r="D494" s="1" t="s">
        <v>83</v>
      </c>
      <c r="E494" s="7">
        <v>27337</v>
      </c>
      <c r="F494" s="1" t="s">
        <v>33</v>
      </c>
      <c r="G494" s="1">
        <v>400</v>
      </c>
      <c r="H494" s="1" t="s">
        <v>27</v>
      </c>
      <c r="I494" s="1" t="s">
        <v>35</v>
      </c>
      <c r="J494" s="1" t="s">
        <v>17</v>
      </c>
      <c r="K494" s="9">
        <v>0.1</v>
      </c>
    </row>
    <row r="495" spans="1:11" x14ac:dyDescent="0.3">
      <c r="A495" s="12">
        <v>45396</v>
      </c>
      <c r="B495" s="1" t="s">
        <v>191</v>
      </c>
      <c r="C495" s="1" t="s">
        <v>561</v>
      </c>
      <c r="D495" s="1" t="s">
        <v>26</v>
      </c>
      <c r="E495" s="7">
        <v>21509</v>
      </c>
      <c r="F495" s="1" t="s">
        <v>14</v>
      </c>
      <c r="G495" s="1">
        <v>52</v>
      </c>
      <c r="H495" s="1" t="s">
        <v>59</v>
      </c>
      <c r="I495" s="1" t="s">
        <v>48</v>
      </c>
      <c r="J495" s="1" t="s">
        <v>17</v>
      </c>
      <c r="K495" s="9">
        <v>0.1</v>
      </c>
    </row>
    <row r="496" spans="1:11" x14ac:dyDescent="0.3">
      <c r="A496" s="12">
        <v>45396</v>
      </c>
      <c r="B496" s="1" t="s">
        <v>840</v>
      </c>
      <c r="C496" s="1" t="s">
        <v>376</v>
      </c>
      <c r="D496" s="1" t="s">
        <v>46</v>
      </c>
      <c r="E496" s="7">
        <v>18760</v>
      </c>
      <c r="F496" s="1" t="s">
        <v>14</v>
      </c>
      <c r="G496" s="1">
        <v>209</v>
      </c>
      <c r="H496" s="1" t="s">
        <v>34</v>
      </c>
      <c r="I496" s="1" t="s">
        <v>48</v>
      </c>
      <c r="J496" s="1" t="s">
        <v>17</v>
      </c>
      <c r="K496" s="9">
        <v>0.1</v>
      </c>
    </row>
    <row r="497" spans="1:11" x14ac:dyDescent="0.3">
      <c r="A497" s="12">
        <v>45396</v>
      </c>
      <c r="B497" s="1" t="s">
        <v>844</v>
      </c>
      <c r="C497" s="1" t="s">
        <v>845</v>
      </c>
      <c r="D497" s="1" t="s">
        <v>26</v>
      </c>
      <c r="E497" s="7">
        <v>29805</v>
      </c>
      <c r="F497" s="1" t="s">
        <v>68</v>
      </c>
      <c r="G497" s="1">
        <v>181</v>
      </c>
      <c r="H497" s="1" t="s">
        <v>34</v>
      </c>
      <c r="I497" s="1"/>
      <c r="J497" s="1" t="s">
        <v>17</v>
      </c>
      <c r="K497" s="9">
        <v>0.1</v>
      </c>
    </row>
    <row r="498" spans="1:11" x14ac:dyDescent="0.3">
      <c r="A498" s="12">
        <v>45396</v>
      </c>
      <c r="B498" s="1" t="s">
        <v>662</v>
      </c>
      <c r="C498" s="1" t="s">
        <v>660</v>
      </c>
      <c r="D498" s="1" t="s">
        <v>94</v>
      </c>
      <c r="E498" s="7">
        <v>16727</v>
      </c>
      <c r="F498" s="1" t="s">
        <v>14</v>
      </c>
      <c r="G498" s="1">
        <v>385</v>
      </c>
      <c r="H498" s="1" t="s">
        <v>59</v>
      </c>
      <c r="I498" s="1" t="s">
        <v>43</v>
      </c>
      <c r="J498" s="1" t="s">
        <v>17</v>
      </c>
      <c r="K498" s="9">
        <v>0.1</v>
      </c>
    </row>
    <row r="499" spans="1:11" x14ac:dyDescent="0.3">
      <c r="A499" s="12">
        <v>45397</v>
      </c>
      <c r="B499" s="1" t="s">
        <v>127</v>
      </c>
      <c r="C499" s="1" t="s">
        <v>128</v>
      </c>
      <c r="D499" s="1" t="s">
        <v>78</v>
      </c>
      <c r="E499" s="7">
        <v>25396</v>
      </c>
      <c r="F499" s="1" t="s">
        <v>20</v>
      </c>
      <c r="G499" s="1">
        <v>478</v>
      </c>
      <c r="H499" s="1" t="s">
        <v>27</v>
      </c>
      <c r="I499" s="1" t="s">
        <v>28</v>
      </c>
      <c r="J499" s="1" t="s">
        <v>29</v>
      </c>
      <c r="K499" s="9">
        <v>0.1</v>
      </c>
    </row>
    <row r="500" spans="1:11" x14ac:dyDescent="0.3">
      <c r="A500" s="12">
        <v>45397</v>
      </c>
      <c r="B500" s="1" t="s">
        <v>537</v>
      </c>
      <c r="C500" s="1" t="s">
        <v>365</v>
      </c>
      <c r="D500" s="1" t="s">
        <v>32</v>
      </c>
      <c r="E500" s="7">
        <v>38029</v>
      </c>
      <c r="F500" s="1" t="s">
        <v>68</v>
      </c>
      <c r="G500" s="1">
        <v>495</v>
      </c>
      <c r="H500" s="1" t="s">
        <v>15</v>
      </c>
      <c r="I500" s="1" t="s">
        <v>39</v>
      </c>
      <c r="J500" s="1" t="s">
        <v>17</v>
      </c>
      <c r="K500" s="9">
        <v>0.1</v>
      </c>
    </row>
    <row r="501" spans="1:11" x14ac:dyDescent="0.3">
      <c r="A501" s="12">
        <v>45397</v>
      </c>
      <c r="B501" s="1" t="s">
        <v>340</v>
      </c>
      <c r="C501" s="1" t="s">
        <v>598</v>
      </c>
      <c r="D501" s="1"/>
      <c r="E501" s="7">
        <v>26177</v>
      </c>
      <c r="F501" s="1" t="s">
        <v>33</v>
      </c>
      <c r="G501" s="1">
        <v>15</v>
      </c>
      <c r="H501" s="1" t="s">
        <v>15</v>
      </c>
      <c r="I501" s="1" t="s">
        <v>52</v>
      </c>
      <c r="J501" s="1" t="s">
        <v>17</v>
      </c>
      <c r="K501" s="9">
        <v>0.1</v>
      </c>
    </row>
    <row r="502" spans="1:11" x14ac:dyDescent="0.3">
      <c r="A502" s="12">
        <v>45397</v>
      </c>
      <c r="B502" s="1" t="s">
        <v>722</v>
      </c>
      <c r="C502" s="1" t="s">
        <v>561</v>
      </c>
      <c r="D502" s="1" t="s">
        <v>55</v>
      </c>
      <c r="E502" s="7">
        <v>28201</v>
      </c>
      <c r="F502" s="1" t="s">
        <v>20</v>
      </c>
      <c r="G502" s="1">
        <v>49</v>
      </c>
      <c r="H502" s="1" t="s">
        <v>15</v>
      </c>
      <c r="I502" s="1" t="s">
        <v>35</v>
      </c>
      <c r="J502" s="1" t="s">
        <v>17</v>
      </c>
      <c r="K502" s="9">
        <v>0.1</v>
      </c>
    </row>
    <row r="503" spans="1:11" x14ac:dyDescent="0.3">
      <c r="A503" s="12">
        <v>45397</v>
      </c>
      <c r="B503" s="1" t="s">
        <v>316</v>
      </c>
      <c r="C503" s="1" t="s">
        <v>839</v>
      </c>
      <c r="D503" s="1" t="s">
        <v>46</v>
      </c>
      <c r="E503" s="7">
        <v>37706</v>
      </c>
      <c r="F503" s="1" t="s">
        <v>20</v>
      </c>
      <c r="G503" s="1">
        <v>476</v>
      </c>
      <c r="H503" s="1" t="s">
        <v>59</v>
      </c>
      <c r="I503" s="1" t="s">
        <v>52</v>
      </c>
      <c r="J503" s="1" t="s">
        <v>17</v>
      </c>
      <c r="K503" s="9">
        <v>0.1</v>
      </c>
    </row>
    <row r="504" spans="1:11" x14ac:dyDescent="0.3">
      <c r="A504" s="12">
        <v>45398</v>
      </c>
      <c r="B504" s="1" t="s">
        <v>101</v>
      </c>
      <c r="C504" s="1" t="s">
        <v>102</v>
      </c>
      <c r="D504" s="1" t="s">
        <v>13</v>
      </c>
      <c r="E504" s="7">
        <v>32552</v>
      </c>
      <c r="F504" s="1" t="s">
        <v>14</v>
      </c>
      <c r="G504" s="1">
        <v>88</v>
      </c>
      <c r="H504" s="1" t="s">
        <v>15</v>
      </c>
      <c r="I504" s="1" t="s">
        <v>35</v>
      </c>
      <c r="J504" s="1" t="s">
        <v>29</v>
      </c>
      <c r="K504" s="9">
        <v>0.1</v>
      </c>
    </row>
    <row r="505" spans="1:11" x14ac:dyDescent="0.3">
      <c r="A505" s="12">
        <v>45398</v>
      </c>
      <c r="B505" s="1" t="s">
        <v>338</v>
      </c>
      <c r="C505" s="1" t="s">
        <v>11</v>
      </c>
      <c r="D505" s="1" t="s">
        <v>55</v>
      </c>
      <c r="E505" s="7">
        <v>28062</v>
      </c>
      <c r="F505" s="1" t="s">
        <v>68</v>
      </c>
      <c r="G505" s="1">
        <v>339</v>
      </c>
      <c r="H505" s="1" t="s">
        <v>65</v>
      </c>
      <c r="I505" s="1" t="s">
        <v>52</v>
      </c>
      <c r="J505" s="1" t="s">
        <v>17</v>
      </c>
      <c r="K505" s="9">
        <v>0.1</v>
      </c>
    </row>
    <row r="506" spans="1:11" x14ac:dyDescent="0.3">
      <c r="A506" s="12">
        <v>45398</v>
      </c>
      <c r="B506" s="1" t="s">
        <v>191</v>
      </c>
      <c r="C506" s="1" t="s">
        <v>681</v>
      </c>
      <c r="D506" s="1" t="s">
        <v>78</v>
      </c>
      <c r="E506" s="7">
        <v>22465</v>
      </c>
      <c r="F506" s="1" t="s">
        <v>20</v>
      </c>
      <c r="G506" s="1">
        <v>83</v>
      </c>
      <c r="H506" s="1" t="s">
        <v>59</v>
      </c>
      <c r="I506" s="1" t="s">
        <v>35</v>
      </c>
      <c r="J506" s="1" t="s">
        <v>17</v>
      </c>
      <c r="K506" s="9">
        <v>0.1</v>
      </c>
    </row>
    <row r="507" spans="1:11" x14ac:dyDescent="0.3">
      <c r="A507" s="12">
        <v>45398</v>
      </c>
      <c r="B507" s="1" t="s">
        <v>441</v>
      </c>
      <c r="C507" s="1" t="s">
        <v>163</v>
      </c>
      <c r="D507" s="1" t="s">
        <v>94</v>
      </c>
      <c r="E507" s="7">
        <v>37293</v>
      </c>
      <c r="F507" s="1" t="s">
        <v>68</v>
      </c>
      <c r="G507" s="1">
        <v>361</v>
      </c>
      <c r="H507" s="1" t="s">
        <v>56</v>
      </c>
      <c r="I507" s="1" t="s">
        <v>48</v>
      </c>
      <c r="J507" s="1" t="s">
        <v>17</v>
      </c>
      <c r="K507" s="9">
        <v>0.1</v>
      </c>
    </row>
    <row r="508" spans="1:11" x14ac:dyDescent="0.3">
      <c r="A508" s="12">
        <v>45398</v>
      </c>
      <c r="B508" s="1" t="s">
        <v>151</v>
      </c>
      <c r="C508" s="1" t="s">
        <v>249</v>
      </c>
      <c r="D508" s="1" t="s">
        <v>78</v>
      </c>
      <c r="E508" s="7">
        <v>19014</v>
      </c>
      <c r="F508" s="1" t="s">
        <v>33</v>
      </c>
      <c r="G508" s="1">
        <v>10</v>
      </c>
      <c r="H508" s="1" t="s">
        <v>21</v>
      </c>
      <c r="I508" s="1" t="s">
        <v>52</v>
      </c>
      <c r="J508" s="1"/>
      <c r="K508" s="9">
        <v>0.1</v>
      </c>
    </row>
    <row r="509" spans="1:11" x14ac:dyDescent="0.3">
      <c r="A509" s="12">
        <v>45399</v>
      </c>
      <c r="B509" s="1" t="s">
        <v>350</v>
      </c>
      <c r="C509" s="1" t="s">
        <v>351</v>
      </c>
      <c r="D509" s="1" t="s">
        <v>13</v>
      </c>
      <c r="E509" s="7">
        <v>33580</v>
      </c>
      <c r="F509" s="1" t="s">
        <v>14</v>
      </c>
      <c r="G509" s="1">
        <v>436</v>
      </c>
      <c r="H509" s="1" t="s">
        <v>47</v>
      </c>
      <c r="I509" s="1" t="s">
        <v>48</v>
      </c>
      <c r="J509" s="1" t="s">
        <v>17</v>
      </c>
      <c r="K509" s="9">
        <v>0.1</v>
      </c>
    </row>
    <row r="510" spans="1:11" x14ac:dyDescent="0.3">
      <c r="A510" s="12">
        <v>45399</v>
      </c>
      <c r="B510" s="1" t="s">
        <v>468</v>
      </c>
      <c r="C510" s="1" t="s">
        <v>91</v>
      </c>
      <c r="D510" s="1" t="s">
        <v>51</v>
      </c>
      <c r="E510" s="7">
        <v>34453</v>
      </c>
      <c r="F510" s="1" t="s">
        <v>68</v>
      </c>
      <c r="G510" s="1">
        <v>491</v>
      </c>
      <c r="H510" s="1" t="s">
        <v>27</v>
      </c>
      <c r="I510" s="1" t="s">
        <v>52</v>
      </c>
      <c r="J510" s="1" t="s">
        <v>17</v>
      </c>
      <c r="K510" s="9">
        <v>0.1</v>
      </c>
    </row>
    <row r="511" spans="1:11" x14ac:dyDescent="0.3">
      <c r="A511" s="12">
        <v>45399</v>
      </c>
      <c r="B511" s="1" t="s">
        <v>310</v>
      </c>
      <c r="C511" s="1" t="s">
        <v>82</v>
      </c>
      <c r="D511" s="1" t="s">
        <v>55</v>
      </c>
      <c r="E511" s="7">
        <v>31714</v>
      </c>
      <c r="F511" s="1" t="s">
        <v>20</v>
      </c>
      <c r="G511" s="1">
        <v>419</v>
      </c>
      <c r="H511" s="1" t="s">
        <v>65</v>
      </c>
      <c r="I511" s="1" t="s">
        <v>52</v>
      </c>
      <c r="J511" s="1" t="s">
        <v>17</v>
      </c>
      <c r="K511" s="9">
        <v>0.1</v>
      </c>
    </row>
    <row r="512" spans="1:11" x14ac:dyDescent="0.3">
      <c r="A512" s="12">
        <v>45399</v>
      </c>
      <c r="B512" s="1" t="s">
        <v>125</v>
      </c>
      <c r="C512" s="1" t="s">
        <v>157</v>
      </c>
      <c r="D512" s="1" t="s">
        <v>51</v>
      </c>
      <c r="E512" s="7">
        <v>33322</v>
      </c>
      <c r="F512" s="1" t="s">
        <v>20</v>
      </c>
      <c r="G512" s="1">
        <v>188</v>
      </c>
      <c r="H512" s="1" t="s">
        <v>21</v>
      </c>
      <c r="I512" s="1" t="s">
        <v>52</v>
      </c>
      <c r="J512" s="1" t="s">
        <v>17</v>
      </c>
      <c r="K512" s="9">
        <v>0.1</v>
      </c>
    </row>
    <row r="513" spans="1:11" x14ac:dyDescent="0.3">
      <c r="A513" s="12">
        <v>45399</v>
      </c>
      <c r="B513" s="1" t="s">
        <v>722</v>
      </c>
      <c r="C513" s="1" t="s">
        <v>89</v>
      </c>
      <c r="D513" s="1" t="s">
        <v>55</v>
      </c>
      <c r="E513" s="7">
        <v>36692</v>
      </c>
      <c r="F513" s="1" t="s">
        <v>33</v>
      </c>
      <c r="G513" s="1">
        <v>145</v>
      </c>
      <c r="H513" s="1" t="s">
        <v>34</v>
      </c>
      <c r="I513" s="1" t="s">
        <v>48</v>
      </c>
      <c r="J513" s="1" t="s">
        <v>17</v>
      </c>
      <c r="K513" s="9">
        <v>0.1</v>
      </c>
    </row>
    <row r="514" spans="1:11" x14ac:dyDescent="0.3">
      <c r="A514" s="12">
        <v>45399</v>
      </c>
      <c r="B514" s="1" t="s">
        <v>887</v>
      </c>
      <c r="C514" s="1" t="s">
        <v>888</v>
      </c>
      <c r="D514" s="1" t="s">
        <v>26</v>
      </c>
      <c r="E514" s="7">
        <v>28096</v>
      </c>
      <c r="F514" s="1" t="s">
        <v>33</v>
      </c>
      <c r="G514" s="1">
        <v>16</v>
      </c>
      <c r="H514" s="1" t="s">
        <v>42</v>
      </c>
      <c r="I514" s="1" t="s">
        <v>35</v>
      </c>
      <c r="J514" s="1" t="s">
        <v>17</v>
      </c>
      <c r="K514" s="9">
        <v>0.1</v>
      </c>
    </row>
    <row r="515" spans="1:11" x14ac:dyDescent="0.3">
      <c r="A515" s="12">
        <v>45400</v>
      </c>
      <c r="B515" s="1" t="s">
        <v>160</v>
      </c>
      <c r="C515" s="1" t="s">
        <v>157</v>
      </c>
      <c r="D515" s="1" t="s">
        <v>32</v>
      </c>
      <c r="E515" s="7">
        <v>20158</v>
      </c>
      <c r="F515" s="1" t="s">
        <v>14</v>
      </c>
      <c r="G515" s="1">
        <v>216</v>
      </c>
      <c r="H515" s="1" t="s">
        <v>34</v>
      </c>
      <c r="I515" s="1" t="s">
        <v>48</v>
      </c>
      <c r="J515" s="1" t="s">
        <v>17</v>
      </c>
      <c r="K515" s="9">
        <v>0.1</v>
      </c>
    </row>
    <row r="516" spans="1:11" x14ac:dyDescent="0.3">
      <c r="A516" s="12">
        <v>45400</v>
      </c>
      <c r="B516" s="1" t="s">
        <v>662</v>
      </c>
      <c r="C516" s="1" t="s">
        <v>549</v>
      </c>
      <c r="D516" s="1" t="s">
        <v>94</v>
      </c>
      <c r="E516" s="7">
        <v>16967</v>
      </c>
      <c r="F516" s="1" t="s">
        <v>33</v>
      </c>
      <c r="G516" s="1">
        <v>16</v>
      </c>
      <c r="H516" s="1" t="s">
        <v>42</v>
      </c>
      <c r="I516" s="1" t="s">
        <v>48</v>
      </c>
      <c r="J516" s="1" t="s">
        <v>17</v>
      </c>
      <c r="K516" s="9">
        <v>0.1</v>
      </c>
    </row>
    <row r="517" spans="1:11" x14ac:dyDescent="0.3">
      <c r="A517" s="12">
        <v>45400</v>
      </c>
      <c r="B517" s="1" t="s">
        <v>695</v>
      </c>
      <c r="C517" s="1" t="s">
        <v>696</v>
      </c>
      <c r="D517" s="1" t="s">
        <v>71</v>
      </c>
      <c r="E517" s="7">
        <v>28976</v>
      </c>
      <c r="F517" s="1" t="s">
        <v>20</v>
      </c>
      <c r="G517" s="1">
        <v>375</v>
      </c>
      <c r="H517" s="1" t="s">
        <v>64</v>
      </c>
      <c r="I517" s="1" t="s">
        <v>52</v>
      </c>
      <c r="J517" s="1" t="s">
        <v>17</v>
      </c>
      <c r="K517" s="9">
        <v>0.1</v>
      </c>
    </row>
    <row r="518" spans="1:11" x14ac:dyDescent="0.3">
      <c r="A518" s="12">
        <v>45400</v>
      </c>
      <c r="B518" s="1" t="s">
        <v>163</v>
      </c>
      <c r="C518" s="1" t="s">
        <v>810</v>
      </c>
      <c r="D518" s="1" t="s">
        <v>71</v>
      </c>
      <c r="E518" s="7"/>
      <c r="F518" s="1" t="s">
        <v>14</v>
      </c>
      <c r="G518" s="1">
        <v>288</v>
      </c>
      <c r="H518" s="1" t="s">
        <v>47</v>
      </c>
      <c r="I518" s="1"/>
      <c r="J518" s="1" t="s">
        <v>17</v>
      </c>
      <c r="K518" s="9">
        <v>0.1</v>
      </c>
    </row>
    <row r="519" spans="1:11" x14ac:dyDescent="0.3">
      <c r="A519" s="12">
        <v>45400</v>
      </c>
      <c r="B519" s="1" t="s">
        <v>310</v>
      </c>
      <c r="C519" s="1" t="s">
        <v>825</v>
      </c>
      <c r="D519" s="1" t="s">
        <v>55</v>
      </c>
      <c r="E519" s="7">
        <v>30473</v>
      </c>
      <c r="F519" s="1" t="s">
        <v>33</v>
      </c>
      <c r="G519" s="1">
        <v>276</v>
      </c>
      <c r="H519" s="1" t="s">
        <v>64</v>
      </c>
      <c r="I519" s="1" t="s">
        <v>28</v>
      </c>
      <c r="J519" s="1" t="s">
        <v>17</v>
      </c>
      <c r="K519" s="9">
        <v>0.1</v>
      </c>
    </row>
    <row r="520" spans="1:11" x14ac:dyDescent="0.3">
      <c r="A520" s="12">
        <v>45401</v>
      </c>
      <c r="B520" s="1" t="s">
        <v>147</v>
      </c>
      <c r="C520" s="1" t="s">
        <v>148</v>
      </c>
      <c r="D520" s="1" t="s">
        <v>13</v>
      </c>
      <c r="E520" s="7">
        <v>37721</v>
      </c>
      <c r="F520" s="1" t="s">
        <v>68</v>
      </c>
      <c r="G520" s="1">
        <v>242</v>
      </c>
      <c r="H520" s="1" t="s">
        <v>64</v>
      </c>
      <c r="I520" s="1" t="s">
        <v>52</v>
      </c>
      <c r="J520" s="1" t="s">
        <v>17</v>
      </c>
      <c r="K520" s="9">
        <v>0.1</v>
      </c>
    </row>
    <row r="521" spans="1:11" x14ac:dyDescent="0.3">
      <c r="A521" s="12">
        <v>45401</v>
      </c>
      <c r="B521" s="1" t="s">
        <v>276</v>
      </c>
      <c r="C521" s="1" t="s">
        <v>277</v>
      </c>
      <c r="D521" s="1" t="s">
        <v>78</v>
      </c>
      <c r="E521" s="7">
        <v>16610</v>
      </c>
      <c r="F521" s="1" t="s">
        <v>14</v>
      </c>
      <c r="G521" s="1">
        <v>173</v>
      </c>
      <c r="H521" s="1" t="s">
        <v>64</v>
      </c>
      <c r="I521" s="1" t="s">
        <v>48</v>
      </c>
      <c r="J521" s="1" t="s">
        <v>17</v>
      </c>
      <c r="K521" s="9">
        <v>0.1</v>
      </c>
    </row>
    <row r="522" spans="1:11" x14ac:dyDescent="0.3">
      <c r="A522" s="12">
        <v>45401</v>
      </c>
      <c r="B522" s="1" t="s">
        <v>693</v>
      </c>
      <c r="C522" s="1" t="s">
        <v>694</v>
      </c>
      <c r="D522" s="1" t="s">
        <v>71</v>
      </c>
      <c r="E522" s="7">
        <v>38923</v>
      </c>
      <c r="F522" s="1" t="s">
        <v>68</v>
      </c>
      <c r="G522" s="1">
        <v>431</v>
      </c>
      <c r="H522" s="1" t="s">
        <v>34</v>
      </c>
      <c r="I522" s="1" t="s">
        <v>52</v>
      </c>
      <c r="J522" s="1" t="s">
        <v>17</v>
      </c>
      <c r="K522" s="9">
        <v>0.1</v>
      </c>
    </row>
    <row r="523" spans="1:11" x14ac:dyDescent="0.3">
      <c r="A523" s="12">
        <v>45401</v>
      </c>
      <c r="B523" s="1" t="s">
        <v>717</v>
      </c>
      <c r="C523" s="1" t="s">
        <v>494</v>
      </c>
      <c r="D523" s="1" t="s">
        <v>32</v>
      </c>
      <c r="E523" s="7">
        <v>26871</v>
      </c>
      <c r="F523" s="1"/>
      <c r="G523" s="1">
        <v>399</v>
      </c>
      <c r="H523" s="1" t="s">
        <v>34</v>
      </c>
      <c r="I523" s="1" t="s">
        <v>52</v>
      </c>
      <c r="J523" s="1" t="s">
        <v>17</v>
      </c>
      <c r="K523" s="9">
        <v>0.1</v>
      </c>
    </row>
    <row r="524" spans="1:11" x14ac:dyDescent="0.3">
      <c r="A524" s="12">
        <v>45401</v>
      </c>
      <c r="B524" s="1" t="s">
        <v>379</v>
      </c>
      <c r="C524" s="1" t="s">
        <v>110</v>
      </c>
      <c r="D524" s="1" t="s">
        <v>32</v>
      </c>
      <c r="E524" s="7">
        <v>29470</v>
      </c>
      <c r="F524" s="1" t="s">
        <v>14</v>
      </c>
      <c r="G524" s="1">
        <v>336</v>
      </c>
      <c r="H524" s="1" t="s">
        <v>47</v>
      </c>
      <c r="I524" s="1" t="s">
        <v>48</v>
      </c>
      <c r="J524" s="1" t="s">
        <v>17</v>
      </c>
      <c r="K524" s="9">
        <v>0.1</v>
      </c>
    </row>
    <row r="525" spans="1:11" x14ac:dyDescent="0.3">
      <c r="A525" s="12">
        <v>45401</v>
      </c>
      <c r="B525" s="1" t="s">
        <v>381</v>
      </c>
      <c r="C525" s="1" t="s">
        <v>153</v>
      </c>
      <c r="D525" s="1" t="s">
        <v>51</v>
      </c>
      <c r="E525" s="7">
        <v>23996</v>
      </c>
      <c r="F525" s="1" t="s">
        <v>14</v>
      </c>
      <c r="G525" s="1">
        <v>354</v>
      </c>
      <c r="H525" s="1" t="s">
        <v>47</v>
      </c>
      <c r="I525" s="1" t="s">
        <v>48</v>
      </c>
      <c r="J525" s="1" t="s">
        <v>17</v>
      </c>
      <c r="K525" s="9">
        <v>0.1</v>
      </c>
    </row>
    <row r="526" spans="1:11" x14ac:dyDescent="0.3">
      <c r="A526" s="12">
        <v>45402</v>
      </c>
      <c r="B526" s="1" t="s">
        <v>528</v>
      </c>
      <c r="C526" s="1" t="s">
        <v>529</v>
      </c>
      <c r="D526" s="1" t="s">
        <v>51</v>
      </c>
      <c r="E526" s="7">
        <v>21485</v>
      </c>
      <c r="F526" s="1" t="s">
        <v>68</v>
      </c>
      <c r="G526" s="1">
        <v>234</v>
      </c>
      <c r="H526" s="1" t="s">
        <v>15</v>
      </c>
      <c r="I526" s="1" t="s">
        <v>52</v>
      </c>
      <c r="J526" s="1" t="s">
        <v>17</v>
      </c>
      <c r="K526" s="9">
        <v>0.1</v>
      </c>
    </row>
    <row r="527" spans="1:11" x14ac:dyDescent="0.3">
      <c r="A527" s="12">
        <v>45402</v>
      </c>
      <c r="B527" s="1" t="s">
        <v>526</v>
      </c>
      <c r="C527" s="1" t="s">
        <v>538</v>
      </c>
      <c r="D527" s="1" t="s">
        <v>83</v>
      </c>
      <c r="E527" s="7">
        <v>35400</v>
      </c>
      <c r="F527" s="1" t="s">
        <v>14</v>
      </c>
      <c r="G527" s="1">
        <v>476</v>
      </c>
      <c r="H527" s="1" t="s">
        <v>27</v>
      </c>
      <c r="I527" s="1" t="s">
        <v>43</v>
      </c>
      <c r="J527" s="1" t="s">
        <v>17</v>
      </c>
      <c r="K527" s="9">
        <v>0.1</v>
      </c>
    </row>
    <row r="528" spans="1:11" x14ac:dyDescent="0.3">
      <c r="A528" s="12">
        <v>45403</v>
      </c>
      <c r="B528" s="1" t="s">
        <v>174</v>
      </c>
      <c r="C528" s="1" t="s">
        <v>291</v>
      </c>
      <c r="D528" s="1" t="s">
        <v>55</v>
      </c>
      <c r="E528" s="7">
        <v>34304</v>
      </c>
      <c r="F528" s="1" t="s">
        <v>68</v>
      </c>
      <c r="G528" s="1">
        <v>266</v>
      </c>
      <c r="H528" s="1" t="s">
        <v>47</v>
      </c>
      <c r="I528" s="1" t="s">
        <v>48</v>
      </c>
      <c r="J528" s="1" t="s">
        <v>17</v>
      </c>
      <c r="K528" s="9">
        <v>0.1</v>
      </c>
    </row>
    <row r="529" spans="1:11" x14ac:dyDescent="0.3">
      <c r="A529" s="12">
        <v>45403</v>
      </c>
      <c r="B529" s="1" t="s">
        <v>160</v>
      </c>
      <c r="C529" s="1" t="s">
        <v>454</v>
      </c>
      <c r="D529" s="1" t="s">
        <v>46</v>
      </c>
      <c r="E529" s="7">
        <v>27616</v>
      </c>
      <c r="F529" s="1" t="s">
        <v>33</v>
      </c>
      <c r="G529" s="1">
        <v>359</v>
      </c>
      <c r="H529" s="1" t="s">
        <v>47</v>
      </c>
      <c r="I529" s="1" t="s">
        <v>48</v>
      </c>
      <c r="J529" s="1" t="s">
        <v>17</v>
      </c>
      <c r="K529" s="9">
        <v>0.1</v>
      </c>
    </row>
    <row r="530" spans="1:11" x14ac:dyDescent="0.3">
      <c r="A530" s="12">
        <v>45403</v>
      </c>
      <c r="B530" s="1" t="s">
        <v>257</v>
      </c>
      <c r="C530" s="1" t="s">
        <v>279</v>
      </c>
      <c r="D530" s="1" t="s">
        <v>83</v>
      </c>
      <c r="E530" s="7">
        <v>32754</v>
      </c>
      <c r="F530" s="1" t="s">
        <v>68</v>
      </c>
      <c r="G530" s="1">
        <v>284</v>
      </c>
      <c r="H530" s="1" t="s">
        <v>27</v>
      </c>
      <c r="I530" s="1" t="s">
        <v>35</v>
      </c>
      <c r="J530" s="1" t="s">
        <v>17</v>
      </c>
      <c r="K530" s="9">
        <v>0.1</v>
      </c>
    </row>
    <row r="531" spans="1:11" x14ac:dyDescent="0.3">
      <c r="A531" s="12">
        <v>45403</v>
      </c>
      <c r="B531" s="1" t="s">
        <v>591</v>
      </c>
      <c r="C531" s="1" t="s">
        <v>131</v>
      </c>
      <c r="D531" s="1" t="s">
        <v>51</v>
      </c>
      <c r="E531" s="7">
        <v>20394</v>
      </c>
      <c r="F531" s="1" t="s">
        <v>68</v>
      </c>
      <c r="G531" s="1">
        <v>92</v>
      </c>
      <c r="H531" s="1" t="s">
        <v>64</v>
      </c>
      <c r="I531" s="1" t="s">
        <v>35</v>
      </c>
      <c r="J531" s="1" t="s">
        <v>17</v>
      </c>
      <c r="K531" s="9">
        <v>0.1</v>
      </c>
    </row>
    <row r="532" spans="1:11" x14ac:dyDescent="0.3">
      <c r="A532" s="12">
        <v>45403</v>
      </c>
      <c r="B532" s="1" t="s">
        <v>558</v>
      </c>
      <c r="C532" s="1" t="s">
        <v>738</v>
      </c>
      <c r="D532" s="1" t="s">
        <v>71</v>
      </c>
      <c r="E532" s="7"/>
      <c r="F532" s="1" t="s">
        <v>20</v>
      </c>
      <c r="G532" s="1">
        <v>277</v>
      </c>
      <c r="H532" s="1" t="s">
        <v>47</v>
      </c>
      <c r="I532" s="1" t="s">
        <v>43</v>
      </c>
      <c r="J532" s="1" t="s">
        <v>17</v>
      </c>
      <c r="K532" s="9">
        <v>0.1</v>
      </c>
    </row>
    <row r="533" spans="1:11" x14ac:dyDescent="0.3">
      <c r="A533" s="12">
        <v>45403</v>
      </c>
      <c r="B533" s="1" t="s">
        <v>865</v>
      </c>
      <c r="C533" s="1" t="s">
        <v>866</v>
      </c>
      <c r="D533" s="1" t="s">
        <v>46</v>
      </c>
      <c r="E533" s="7">
        <v>23702</v>
      </c>
      <c r="F533" s="1" t="s">
        <v>20</v>
      </c>
      <c r="G533" s="1">
        <v>151</v>
      </c>
      <c r="H533" s="1" t="s">
        <v>15</v>
      </c>
      <c r="I533" s="1" t="s">
        <v>48</v>
      </c>
      <c r="J533" s="1" t="s">
        <v>17</v>
      </c>
      <c r="K533" s="9">
        <v>0.1</v>
      </c>
    </row>
    <row r="534" spans="1:11" x14ac:dyDescent="0.3">
      <c r="A534" s="12">
        <v>45403</v>
      </c>
      <c r="B534" s="1" t="s">
        <v>534</v>
      </c>
      <c r="C534" s="1" t="s">
        <v>742</v>
      </c>
      <c r="D534" s="1" t="s">
        <v>83</v>
      </c>
      <c r="E534" s="7">
        <v>27669</v>
      </c>
      <c r="F534" s="1" t="s">
        <v>33</v>
      </c>
      <c r="G534" s="1">
        <v>209</v>
      </c>
      <c r="H534" s="1" t="s">
        <v>47</v>
      </c>
      <c r="I534" s="1" t="s">
        <v>52</v>
      </c>
      <c r="J534" s="1" t="s">
        <v>17</v>
      </c>
      <c r="K534" s="9">
        <v>0.1</v>
      </c>
    </row>
    <row r="535" spans="1:11" x14ac:dyDescent="0.3">
      <c r="A535" s="12">
        <v>45403</v>
      </c>
      <c r="B535" s="1" t="s">
        <v>81</v>
      </c>
      <c r="C535" s="1" t="s">
        <v>892</v>
      </c>
      <c r="D535" s="1" t="s">
        <v>51</v>
      </c>
      <c r="E535" s="7">
        <v>24021</v>
      </c>
      <c r="F535" s="1" t="s">
        <v>20</v>
      </c>
      <c r="G535" s="1">
        <v>41</v>
      </c>
      <c r="H535" s="1" t="s">
        <v>65</v>
      </c>
      <c r="I535" s="1" t="s">
        <v>48</v>
      </c>
      <c r="J535" s="1" t="s">
        <v>17</v>
      </c>
      <c r="K535" s="9">
        <v>0.1</v>
      </c>
    </row>
    <row r="536" spans="1:11" x14ac:dyDescent="0.3">
      <c r="A536" s="12">
        <v>45404</v>
      </c>
      <c r="B536" s="1" t="s">
        <v>296</v>
      </c>
      <c r="C536" s="1" t="s">
        <v>126</v>
      </c>
      <c r="D536" s="1" t="s">
        <v>83</v>
      </c>
      <c r="E536" s="7">
        <v>20937</v>
      </c>
      <c r="F536" s="1" t="s">
        <v>33</v>
      </c>
      <c r="G536" s="1">
        <v>247</v>
      </c>
      <c r="H536" s="1" t="s">
        <v>42</v>
      </c>
      <c r="I536" s="1"/>
      <c r="J536" s="1" t="s">
        <v>17</v>
      </c>
      <c r="K536" s="9">
        <v>0.1</v>
      </c>
    </row>
    <row r="537" spans="1:11" x14ac:dyDescent="0.3">
      <c r="A537" s="12">
        <v>45404</v>
      </c>
      <c r="B537" s="1" t="s">
        <v>719</v>
      </c>
      <c r="C537" s="1" t="s">
        <v>346</v>
      </c>
      <c r="D537" s="1" t="s">
        <v>38</v>
      </c>
      <c r="E537" s="7">
        <v>26814</v>
      </c>
      <c r="F537" s="1" t="s">
        <v>33</v>
      </c>
      <c r="G537" s="1">
        <v>236</v>
      </c>
      <c r="H537" s="1" t="s">
        <v>56</v>
      </c>
      <c r="I537" s="1" t="s">
        <v>52</v>
      </c>
      <c r="J537" s="1" t="s">
        <v>17</v>
      </c>
      <c r="K537" s="9">
        <v>0.1</v>
      </c>
    </row>
    <row r="538" spans="1:11" x14ac:dyDescent="0.3">
      <c r="A538" s="12">
        <v>45404</v>
      </c>
      <c r="B538" s="1" t="s">
        <v>769</v>
      </c>
      <c r="C538" s="1" t="s">
        <v>770</v>
      </c>
      <c r="D538" s="1" t="s">
        <v>13</v>
      </c>
      <c r="E538" s="7">
        <v>20158</v>
      </c>
      <c r="F538" s="1" t="s">
        <v>68</v>
      </c>
      <c r="G538" s="1">
        <v>161</v>
      </c>
      <c r="H538" s="1" t="s">
        <v>56</v>
      </c>
      <c r="I538" s="1" t="s">
        <v>52</v>
      </c>
      <c r="J538" s="1" t="s">
        <v>17</v>
      </c>
      <c r="K538" s="9">
        <v>0.1</v>
      </c>
    </row>
    <row r="539" spans="1:11" x14ac:dyDescent="0.3">
      <c r="A539" s="12">
        <v>45405</v>
      </c>
      <c r="B539" s="1" t="s">
        <v>161</v>
      </c>
      <c r="C539" s="1" t="s">
        <v>162</v>
      </c>
      <c r="D539" s="1" t="s">
        <v>32</v>
      </c>
      <c r="E539" s="7">
        <v>23060</v>
      </c>
      <c r="F539" s="1" t="s">
        <v>20</v>
      </c>
      <c r="G539" s="1">
        <v>391</v>
      </c>
      <c r="H539" s="1" t="s">
        <v>65</v>
      </c>
      <c r="I539" s="1" t="s">
        <v>52</v>
      </c>
      <c r="J539" s="1" t="s">
        <v>29</v>
      </c>
      <c r="K539" s="9">
        <v>0.1</v>
      </c>
    </row>
    <row r="540" spans="1:11" x14ac:dyDescent="0.3">
      <c r="A540" s="12">
        <v>45405</v>
      </c>
      <c r="B540" s="1" t="s">
        <v>778</v>
      </c>
      <c r="C540" s="1" t="s">
        <v>424</v>
      </c>
      <c r="D540" s="1" t="s">
        <v>46</v>
      </c>
      <c r="E540" s="7">
        <v>38100</v>
      </c>
      <c r="F540" s="1" t="s">
        <v>14</v>
      </c>
      <c r="G540" s="1">
        <v>277</v>
      </c>
      <c r="H540" s="1" t="s">
        <v>47</v>
      </c>
      <c r="I540" s="1" t="s">
        <v>28</v>
      </c>
      <c r="J540" s="1" t="s">
        <v>17</v>
      </c>
      <c r="K540" s="9">
        <v>0.1</v>
      </c>
    </row>
    <row r="541" spans="1:11" x14ac:dyDescent="0.3">
      <c r="A541" s="12">
        <v>45406</v>
      </c>
      <c r="B541" s="1" t="s">
        <v>151</v>
      </c>
      <c r="C541" s="1" t="s">
        <v>45</v>
      </c>
      <c r="D541" s="1" t="s">
        <v>38</v>
      </c>
      <c r="E541" s="7">
        <v>28289</v>
      </c>
      <c r="F541" s="1" t="s">
        <v>14</v>
      </c>
      <c r="G541" s="1">
        <v>492</v>
      </c>
      <c r="H541" s="1" t="s">
        <v>15</v>
      </c>
      <c r="I541" s="1" t="s">
        <v>48</v>
      </c>
      <c r="J541" s="1" t="s">
        <v>17</v>
      </c>
      <c r="K541" s="9">
        <v>0.1</v>
      </c>
    </row>
    <row r="542" spans="1:11" x14ac:dyDescent="0.3">
      <c r="A542" s="12">
        <v>45406</v>
      </c>
      <c r="B542" s="1" t="s">
        <v>30</v>
      </c>
      <c r="C542" s="1" t="s">
        <v>31</v>
      </c>
      <c r="D542" s="1" t="s">
        <v>13</v>
      </c>
      <c r="E542" s="7">
        <v>22564</v>
      </c>
      <c r="F542" s="1" t="s">
        <v>33</v>
      </c>
      <c r="G542" s="1">
        <v>19</v>
      </c>
      <c r="H542" s="1" t="s">
        <v>21</v>
      </c>
      <c r="I542" s="1" t="s">
        <v>52</v>
      </c>
      <c r="J542" s="1" t="s">
        <v>17</v>
      </c>
      <c r="K542" s="9">
        <v>0.1</v>
      </c>
    </row>
    <row r="543" spans="1:11" x14ac:dyDescent="0.3">
      <c r="A543" s="12">
        <v>45407</v>
      </c>
      <c r="B543" s="1" t="s">
        <v>24</v>
      </c>
      <c r="C543" s="1" t="s">
        <v>398</v>
      </c>
      <c r="D543" s="1" t="s">
        <v>26</v>
      </c>
      <c r="E543" s="7">
        <v>20411</v>
      </c>
      <c r="F543" s="1" t="s">
        <v>33</v>
      </c>
      <c r="G543" s="1">
        <v>177</v>
      </c>
      <c r="H543" s="1" t="s">
        <v>27</v>
      </c>
      <c r="I543" s="1" t="s">
        <v>52</v>
      </c>
      <c r="J543" s="1" t="s">
        <v>17</v>
      </c>
      <c r="K543" s="9">
        <v>0.1</v>
      </c>
    </row>
    <row r="544" spans="1:11" x14ac:dyDescent="0.3">
      <c r="A544" s="12">
        <v>45407</v>
      </c>
      <c r="B544" s="1" t="s">
        <v>490</v>
      </c>
      <c r="C544" s="1" t="s">
        <v>491</v>
      </c>
      <c r="D544" s="1" t="s">
        <v>94</v>
      </c>
      <c r="E544" s="7">
        <v>24310</v>
      </c>
      <c r="F544" s="1" t="s">
        <v>33</v>
      </c>
      <c r="G544" s="1">
        <v>99</v>
      </c>
      <c r="H544" s="1" t="s">
        <v>15</v>
      </c>
      <c r="I544" s="1" t="s">
        <v>52</v>
      </c>
      <c r="J544" s="1" t="s">
        <v>17</v>
      </c>
      <c r="K544" s="9">
        <v>0.1</v>
      </c>
    </row>
    <row r="545" spans="1:11" x14ac:dyDescent="0.3">
      <c r="A545" s="12">
        <v>45407</v>
      </c>
      <c r="B545" s="1" t="s">
        <v>255</v>
      </c>
      <c r="C545" s="1" t="s">
        <v>25</v>
      </c>
      <c r="D545" s="1" t="s">
        <v>13</v>
      </c>
      <c r="E545" s="7">
        <v>36306</v>
      </c>
      <c r="F545" s="1" t="s">
        <v>14</v>
      </c>
      <c r="G545" s="1">
        <v>255</v>
      </c>
      <c r="H545" s="1" t="s">
        <v>64</v>
      </c>
      <c r="I545" s="1" t="s">
        <v>43</v>
      </c>
      <c r="J545" s="1" t="s">
        <v>17</v>
      </c>
      <c r="K545" s="9">
        <v>0.1</v>
      </c>
    </row>
    <row r="546" spans="1:11" x14ac:dyDescent="0.3">
      <c r="A546" s="12">
        <v>45407</v>
      </c>
      <c r="B546" s="1" t="s">
        <v>637</v>
      </c>
      <c r="C546" s="1" t="s">
        <v>153</v>
      </c>
      <c r="D546" s="1" t="s">
        <v>26</v>
      </c>
      <c r="E546" s="7">
        <v>36527</v>
      </c>
      <c r="F546" s="1" t="s">
        <v>68</v>
      </c>
      <c r="G546" s="1">
        <v>439</v>
      </c>
      <c r="H546" s="1" t="s">
        <v>21</v>
      </c>
      <c r="I546" s="1" t="s">
        <v>52</v>
      </c>
      <c r="J546" s="1" t="s">
        <v>17</v>
      </c>
      <c r="K546" s="9">
        <v>0.1</v>
      </c>
    </row>
    <row r="547" spans="1:11" x14ac:dyDescent="0.3">
      <c r="A547" s="12">
        <v>45407</v>
      </c>
      <c r="B547" s="1" t="s">
        <v>177</v>
      </c>
      <c r="C547" s="1" t="s">
        <v>714</v>
      </c>
      <c r="D547" s="1" t="s">
        <v>55</v>
      </c>
      <c r="E547" s="7">
        <v>34359</v>
      </c>
      <c r="F547" s="1" t="s">
        <v>20</v>
      </c>
      <c r="G547" s="1">
        <v>337</v>
      </c>
      <c r="H547" s="1" t="s">
        <v>34</v>
      </c>
      <c r="I547" s="1" t="s">
        <v>48</v>
      </c>
      <c r="J547" s="1" t="s">
        <v>17</v>
      </c>
      <c r="K547" s="9">
        <v>0.1</v>
      </c>
    </row>
    <row r="548" spans="1:11" x14ac:dyDescent="0.3">
      <c r="A548" s="12">
        <v>45407</v>
      </c>
      <c r="B548" s="1" t="s">
        <v>73</v>
      </c>
      <c r="C548" s="1" t="s">
        <v>519</v>
      </c>
      <c r="D548" s="1" t="s">
        <v>13</v>
      </c>
      <c r="E548" s="7">
        <v>29519</v>
      </c>
      <c r="F548" s="1" t="s">
        <v>33</v>
      </c>
      <c r="G548" s="1">
        <v>330</v>
      </c>
      <c r="H548" s="1" t="s">
        <v>21</v>
      </c>
      <c r="I548" s="1" t="s">
        <v>52</v>
      </c>
      <c r="J548" s="1" t="s">
        <v>17</v>
      </c>
      <c r="K548" s="9">
        <v>0.1</v>
      </c>
    </row>
    <row r="549" spans="1:11" x14ac:dyDescent="0.3">
      <c r="A549" s="12">
        <v>45408</v>
      </c>
      <c r="B549" s="1" t="s">
        <v>294</v>
      </c>
      <c r="C549" s="1" t="s">
        <v>295</v>
      </c>
      <c r="D549" s="1" t="s">
        <v>71</v>
      </c>
      <c r="E549" s="7">
        <v>32017</v>
      </c>
      <c r="F549" s="1" t="s">
        <v>68</v>
      </c>
      <c r="G549" s="1">
        <v>165</v>
      </c>
      <c r="H549" s="1" t="s">
        <v>42</v>
      </c>
      <c r="I549" s="1" t="s">
        <v>48</v>
      </c>
      <c r="J549" s="1" t="s">
        <v>17</v>
      </c>
      <c r="K549" s="9">
        <v>0.1</v>
      </c>
    </row>
    <row r="550" spans="1:11" x14ac:dyDescent="0.3">
      <c r="A550" s="12">
        <v>45408</v>
      </c>
      <c r="B550" s="1" t="s">
        <v>125</v>
      </c>
      <c r="C550" s="1"/>
      <c r="D550" s="1" t="s">
        <v>78</v>
      </c>
      <c r="E550" s="7"/>
      <c r="F550" s="1" t="s">
        <v>14</v>
      </c>
      <c r="G550" s="1">
        <v>245</v>
      </c>
      <c r="H550" s="1"/>
      <c r="I550" s="1" t="s">
        <v>28</v>
      </c>
      <c r="J550" s="1" t="s">
        <v>17</v>
      </c>
      <c r="K550" s="9">
        <v>0.1</v>
      </c>
    </row>
    <row r="551" spans="1:11" x14ac:dyDescent="0.3">
      <c r="A551" s="12">
        <v>45408</v>
      </c>
      <c r="B551" s="1" t="s">
        <v>616</v>
      </c>
      <c r="C551" s="1" t="s">
        <v>608</v>
      </c>
      <c r="D551" s="1" t="s">
        <v>94</v>
      </c>
      <c r="E551" s="7">
        <v>29349</v>
      </c>
      <c r="F551" s="1" t="s">
        <v>20</v>
      </c>
      <c r="G551" s="1">
        <v>146</v>
      </c>
      <c r="H551" s="1" t="s">
        <v>59</v>
      </c>
      <c r="I551" s="1" t="s">
        <v>28</v>
      </c>
      <c r="J551" s="1" t="s">
        <v>17</v>
      </c>
      <c r="K551" s="9">
        <v>0.1</v>
      </c>
    </row>
    <row r="552" spans="1:11" x14ac:dyDescent="0.3">
      <c r="A552" s="12">
        <v>45408</v>
      </c>
      <c r="B552" s="1" t="s">
        <v>508</v>
      </c>
      <c r="C552" s="1" t="s">
        <v>641</v>
      </c>
      <c r="D552" s="1" t="s">
        <v>83</v>
      </c>
      <c r="E552" s="7">
        <v>32683</v>
      </c>
      <c r="F552" s="1" t="s">
        <v>20</v>
      </c>
      <c r="G552" s="1">
        <v>493</v>
      </c>
      <c r="H552" s="1" t="s">
        <v>42</v>
      </c>
      <c r="I552" s="1" t="s">
        <v>48</v>
      </c>
      <c r="J552" s="1" t="s">
        <v>17</v>
      </c>
      <c r="K552" s="9">
        <v>0.1</v>
      </c>
    </row>
    <row r="553" spans="1:11" x14ac:dyDescent="0.3">
      <c r="A553" s="12">
        <v>45408</v>
      </c>
      <c r="B553" s="1" t="s">
        <v>233</v>
      </c>
      <c r="C553" s="1" t="s">
        <v>665</v>
      </c>
      <c r="D553" s="1" t="s">
        <v>55</v>
      </c>
      <c r="E553" s="7">
        <v>29827</v>
      </c>
      <c r="F553" s="1" t="s">
        <v>68</v>
      </c>
      <c r="G553" s="1">
        <v>91</v>
      </c>
      <c r="H553" s="1" t="s">
        <v>42</v>
      </c>
      <c r="I553" s="1" t="s">
        <v>43</v>
      </c>
      <c r="J553" s="1" t="s">
        <v>17</v>
      </c>
      <c r="K553" s="9">
        <v>0.1</v>
      </c>
    </row>
    <row r="554" spans="1:11" x14ac:dyDescent="0.3">
      <c r="A554" s="12">
        <v>45409</v>
      </c>
      <c r="B554" s="1" t="s">
        <v>221</v>
      </c>
      <c r="C554" s="1" t="s">
        <v>230</v>
      </c>
      <c r="D554" s="1" t="s">
        <v>83</v>
      </c>
      <c r="E554" s="7">
        <v>25049</v>
      </c>
      <c r="F554" s="1" t="s">
        <v>68</v>
      </c>
      <c r="G554" s="1">
        <v>402</v>
      </c>
      <c r="H554" s="1" t="s">
        <v>64</v>
      </c>
      <c r="I554" s="1" t="s">
        <v>43</v>
      </c>
      <c r="J554" s="1" t="s">
        <v>17</v>
      </c>
      <c r="K554" s="9">
        <v>0.1</v>
      </c>
    </row>
    <row r="555" spans="1:11" x14ac:dyDescent="0.3">
      <c r="A555" s="12">
        <v>45409</v>
      </c>
      <c r="B555" s="1" t="s">
        <v>377</v>
      </c>
      <c r="C555" s="1" t="s">
        <v>37</v>
      </c>
      <c r="D555" s="1" t="s">
        <v>71</v>
      </c>
      <c r="E555" s="7">
        <v>30375</v>
      </c>
      <c r="F555" s="1" t="s">
        <v>68</v>
      </c>
      <c r="G555" s="1">
        <v>335</v>
      </c>
      <c r="H555" s="1" t="s">
        <v>56</v>
      </c>
      <c r="I555" s="1" t="s">
        <v>28</v>
      </c>
      <c r="J555" s="1" t="s">
        <v>17</v>
      </c>
      <c r="K555" s="9">
        <v>0.1</v>
      </c>
    </row>
    <row r="556" spans="1:11" x14ac:dyDescent="0.3">
      <c r="A556" s="12">
        <v>45409</v>
      </c>
      <c r="B556" s="1" t="s">
        <v>539</v>
      </c>
      <c r="C556" s="1" t="s">
        <v>163</v>
      </c>
      <c r="D556" s="1" t="s">
        <v>55</v>
      </c>
      <c r="E556" s="7">
        <v>33249</v>
      </c>
      <c r="F556" s="1" t="s">
        <v>33</v>
      </c>
      <c r="G556" s="1">
        <v>308</v>
      </c>
      <c r="H556" s="1" t="s">
        <v>47</v>
      </c>
      <c r="I556" s="1" t="s">
        <v>48</v>
      </c>
      <c r="J556" s="1" t="s">
        <v>17</v>
      </c>
      <c r="K556" s="9">
        <v>0.1</v>
      </c>
    </row>
    <row r="557" spans="1:11" x14ac:dyDescent="0.3">
      <c r="A557" s="12">
        <v>45409</v>
      </c>
      <c r="B557" s="1" t="s">
        <v>436</v>
      </c>
      <c r="C557" s="1" t="s">
        <v>634</v>
      </c>
      <c r="D557" s="1" t="s">
        <v>32</v>
      </c>
      <c r="E557" s="7">
        <v>33840</v>
      </c>
      <c r="F557" s="1" t="s">
        <v>20</v>
      </c>
      <c r="G557" s="1">
        <v>444</v>
      </c>
      <c r="H557" s="1" t="s">
        <v>56</v>
      </c>
      <c r="I557" s="1" t="s">
        <v>43</v>
      </c>
      <c r="J557" s="1" t="s">
        <v>23</v>
      </c>
      <c r="K557" s="9">
        <v>0.1</v>
      </c>
    </row>
    <row r="558" spans="1:11" x14ac:dyDescent="0.3">
      <c r="A558" s="12">
        <v>45409</v>
      </c>
      <c r="B558" s="1" t="s">
        <v>107</v>
      </c>
      <c r="C558" s="1" t="s">
        <v>459</v>
      </c>
      <c r="D558" s="1" t="s">
        <v>32</v>
      </c>
      <c r="E558" s="7">
        <v>19618</v>
      </c>
      <c r="F558" s="1" t="s">
        <v>68</v>
      </c>
      <c r="G558" s="1">
        <v>369</v>
      </c>
      <c r="H558" s="1" t="s">
        <v>42</v>
      </c>
      <c r="I558" s="1" t="s">
        <v>52</v>
      </c>
      <c r="J558" s="1" t="s">
        <v>17</v>
      </c>
      <c r="K558" s="9">
        <v>0.1</v>
      </c>
    </row>
    <row r="559" spans="1:11" x14ac:dyDescent="0.3">
      <c r="A559" s="12">
        <v>45410</v>
      </c>
      <c r="B559" s="1" t="s">
        <v>24</v>
      </c>
      <c r="C559" s="1" t="s">
        <v>25</v>
      </c>
      <c r="D559" s="1" t="s">
        <v>26</v>
      </c>
      <c r="E559" s="7">
        <v>35670</v>
      </c>
      <c r="F559" s="1" t="s">
        <v>33</v>
      </c>
      <c r="G559" s="1">
        <v>299</v>
      </c>
      <c r="H559" s="1" t="s">
        <v>27</v>
      </c>
      <c r="I559" s="1" t="s">
        <v>16</v>
      </c>
      <c r="J559" s="1" t="s">
        <v>17</v>
      </c>
      <c r="K559" s="9">
        <v>0.1</v>
      </c>
    </row>
    <row r="560" spans="1:11" x14ac:dyDescent="0.3">
      <c r="A560" s="12">
        <v>45410</v>
      </c>
      <c r="B560" s="1" t="s">
        <v>142</v>
      </c>
      <c r="C560" s="1" t="s">
        <v>143</v>
      </c>
      <c r="D560" s="1" t="s">
        <v>46</v>
      </c>
      <c r="E560" s="7">
        <v>37150</v>
      </c>
      <c r="F560" s="1" t="s">
        <v>33</v>
      </c>
      <c r="G560" s="1">
        <v>372</v>
      </c>
      <c r="H560" s="1"/>
      <c r="I560" s="1" t="s">
        <v>52</v>
      </c>
      <c r="J560" s="1" t="s">
        <v>29</v>
      </c>
      <c r="K560" s="9">
        <v>0.1</v>
      </c>
    </row>
    <row r="561" spans="1:11" x14ac:dyDescent="0.3">
      <c r="A561" s="12">
        <v>45410</v>
      </c>
      <c r="B561" s="1" t="s">
        <v>304</v>
      </c>
      <c r="C561" s="1" t="s">
        <v>305</v>
      </c>
      <c r="D561" s="1" t="s">
        <v>71</v>
      </c>
      <c r="E561" s="7">
        <v>32088</v>
      </c>
      <c r="F561" s="1" t="s">
        <v>20</v>
      </c>
      <c r="G561" s="1">
        <v>25</v>
      </c>
      <c r="H561" s="1" t="s">
        <v>59</v>
      </c>
      <c r="I561" s="1" t="s">
        <v>48</v>
      </c>
      <c r="J561" s="1" t="s">
        <v>17</v>
      </c>
      <c r="K561" s="9">
        <v>0.1</v>
      </c>
    </row>
    <row r="562" spans="1:11" x14ac:dyDescent="0.3">
      <c r="A562" s="12">
        <v>45410</v>
      </c>
      <c r="B562" s="1" t="s">
        <v>189</v>
      </c>
      <c r="C562" s="1" t="s">
        <v>185</v>
      </c>
      <c r="D562" s="1" t="s">
        <v>55</v>
      </c>
      <c r="E562" s="7">
        <v>32432</v>
      </c>
      <c r="F562" s="1" t="s">
        <v>14</v>
      </c>
      <c r="G562" s="1">
        <v>96</v>
      </c>
      <c r="H562" s="1" t="s">
        <v>21</v>
      </c>
      <c r="I562" s="1" t="s">
        <v>48</v>
      </c>
      <c r="J562" s="1" t="s">
        <v>17</v>
      </c>
      <c r="K562" s="9">
        <v>0.1</v>
      </c>
    </row>
    <row r="563" spans="1:11" x14ac:dyDescent="0.3">
      <c r="A563" s="12">
        <v>45410</v>
      </c>
      <c r="B563" s="1" t="s">
        <v>794</v>
      </c>
      <c r="C563" s="1" t="s">
        <v>122</v>
      </c>
      <c r="D563" s="1" t="s">
        <v>46</v>
      </c>
      <c r="E563" s="7">
        <v>23631</v>
      </c>
      <c r="F563" s="1" t="s">
        <v>20</v>
      </c>
      <c r="G563" s="1">
        <v>257</v>
      </c>
      <c r="H563" s="1" t="s">
        <v>15</v>
      </c>
      <c r="I563" s="1" t="s">
        <v>43</v>
      </c>
      <c r="J563" s="1" t="s">
        <v>17</v>
      </c>
      <c r="K563" s="9">
        <v>0.1</v>
      </c>
    </row>
    <row r="564" spans="1:11" x14ac:dyDescent="0.3">
      <c r="A564" s="12">
        <v>45410</v>
      </c>
      <c r="B564" s="1" t="s">
        <v>187</v>
      </c>
      <c r="C564" s="1" t="s">
        <v>30</v>
      </c>
      <c r="D564" s="1" t="s">
        <v>51</v>
      </c>
      <c r="E564" s="7">
        <v>34045</v>
      </c>
      <c r="F564" s="1" t="s">
        <v>33</v>
      </c>
      <c r="G564" s="1">
        <v>217</v>
      </c>
      <c r="H564" s="1" t="s">
        <v>42</v>
      </c>
      <c r="I564" s="1" t="s">
        <v>48</v>
      </c>
      <c r="J564" s="1" t="s">
        <v>17</v>
      </c>
      <c r="K564" s="9">
        <v>0.1</v>
      </c>
    </row>
    <row r="565" spans="1:11" x14ac:dyDescent="0.3">
      <c r="A565" s="12">
        <v>45410</v>
      </c>
      <c r="B565" s="1" t="s">
        <v>630</v>
      </c>
      <c r="C565" s="1" t="s">
        <v>899</v>
      </c>
      <c r="D565" s="1" t="s">
        <v>94</v>
      </c>
      <c r="E565" s="7">
        <v>20336</v>
      </c>
      <c r="F565" s="1" t="s">
        <v>20</v>
      </c>
      <c r="G565" s="1">
        <v>26</v>
      </c>
      <c r="H565" s="1" t="s">
        <v>27</v>
      </c>
      <c r="I565" s="1" t="s">
        <v>39</v>
      </c>
      <c r="J565" s="1" t="s">
        <v>17</v>
      </c>
      <c r="K565" s="9">
        <v>0.1</v>
      </c>
    </row>
    <row r="566" spans="1:11" x14ac:dyDescent="0.3">
      <c r="A566" s="12">
        <v>45411</v>
      </c>
      <c r="B566" s="1" t="s">
        <v>815</v>
      </c>
      <c r="C566" s="1" t="s">
        <v>816</v>
      </c>
      <c r="D566" s="1" t="s">
        <v>55</v>
      </c>
      <c r="E566" s="7">
        <v>25663</v>
      </c>
      <c r="F566" s="1" t="s">
        <v>20</v>
      </c>
      <c r="G566" s="1">
        <v>306</v>
      </c>
      <c r="H566" s="1" t="s">
        <v>42</v>
      </c>
      <c r="I566" s="1" t="s">
        <v>52</v>
      </c>
      <c r="J566" s="1" t="s">
        <v>17</v>
      </c>
      <c r="K566" s="9">
        <v>0.1</v>
      </c>
    </row>
    <row r="567" spans="1:11" x14ac:dyDescent="0.3">
      <c r="A567" s="12">
        <v>45411</v>
      </c>
      <c r="B567" s="1" t="s">
        <v>320</v>
      </c>
      <c r="C567" s="1" t="s">
        <v>641</v>
      </c>
      <c r="D567" s="1" t="s">
        <v>94</v>
      </c>
      <c r="E567" s="7">
        <v>23024</v>
      </c>
      <c r="F567" s="1" t="s">
        <v>14</v>
      </c>
      <c r="G567" s="1">
        <v>125</v>
      </c>
      <c r="H567" s="1" t="s">
        <v>15</v>
      </c>
      <c r="I567" s="1" t="s">
        <v>52</v>
      </c>
      <c r="J567" s="1" t="s">
        <v>17</v>
      </c>
      <c r="K567" s="9">
        <v>0.1</v>
      </c>
    </row>
    <row r="568" spans="1:11" x14ac:dyDescent="0.3">
      <c r="A568" s="12">
        <v>45411</v>
      </c>
      <c r="B568" s="1" t="s">
        <v>903</v>
      </c>
      <c r="C568" s="1" t="s">
        <v>904</v>
      </c>
      <c r="D568" s="1" t="s">
        <v>13</v>
      </c>
      <c r="E568" s="7">
        <v>31614</v>
      </c>
      <c r="F568" s="1" t="s">
        <v>14</v>
      </c>
      <c r="G568" s="1">
        <v>301</v>
      </c>
      <c r="H568" s="1" t="s">
        <v>42</v>
      </c>
      <c r="I568" s="1" t="s">
        <v>52</v>
      </c>
      <c r="J568" s="1" t="s">
        <v>17</v>
      </c>
      <c r="K568" s="9">
        <v>0.1</v>
      </c>
    </row>
    <row r="569" spans="1:11" x14ac:dyDescent="0.3">
      <c r="A569" s="12">
        <v>45411</v>
      </c>
      <c r="B569" s="1" t="s">
        <v>913</v>
      </c>
      <c r="C569" s="1" t="s">
        <v>860</v>
      </c>
      <c r="D569" s="1" t="s">
        <v>46</v>
      </c>
      <c r="E569" s="7">
        <v>19072</v>
      </c>
      <c r="F569" s="1" t="s">
        <v>20</v>
      </c>
      <c r="G569" s="1">
        <v>265</v>
      </c>
      <c r="H569" s="1" t="s">
        <v>15</v>
      </c>
      <c r="I569" s="1" t="s">
        <v>28</v>
      </c>
      <c r="J569" s="1" t="s">
        <v>17</v>
      </c>
      <c r="K569" s="9">
        <v>0.1</v>
      </c>
    </row>
    <row r="570" spans="1:11" x14ac:dyDescent="0.3">
      <c r="A570" s="12">
        <v>45412</v>
      </c>
      <c r="B570" s="1" t="s">
        <v>24</v>
      </c>
      <c r="C570" s="1" t="s">
        <v>25</v>
      </c>
      <c r="D570" s="1" t="s">
        <v>26</v>
      </c>
      <c r="E570" s="7">
        <v>29933</v>
      </c>
      <c r="F570" s="1" t="s">
        <v>14</v>
      </c>
      <c r="G570" s="1">
        <v>434</v>
      </c>
      <c r="H570" s="1" t="s">
        <v>64</v>
      </c>
      <c r="I570" s="1" t="s">
        <v>39</v>
      </c>
      <c r="J570" s="1" t="s">
        <v>17</v>
      </c>
      <c r="K570" s="9">
        <v>0.1</v>
      </c>
    </row>
    <row r="571" spans="1:11" x14ac:dyDescent="0.3">
      <c r="A571" s="12">
        <v>45412</v>
      </c>
      <c r="B571" s="1" t="s">
        <v>248</v>
      </c>
      <c r="C571" s="1" t="s">
        <v>249</v>
      </c>
      <c r="D571" s="1" t="s">
        <v>26</v>
      </c>
      <c r="E571" s="7">
        <v>20422</v>
      </c>
      <c r="F571" s="1" t="s">
        <v>20</v>
      </c>
      <c r="G571" s="1">
        <v>461</v>
      </c>
      <c r="H571" s="1" t="s">
        <v>42</v>
      </c>
      <c r="I571" s="1" t="s">
        <v>52</v>
      </c>
      <c r="J571" s="1" t="s">
        <v>29</v>
      </c>
      <c r="K571" s="9">
        <v>0.1</v>
      </c>
    </row>
    <row r="572" spans="1:11" x14ac:dyDescent="0.3">
      <c r="A572" s="12">
        <v>45412</v>
      </c>
      <c r="B572" s="1" t="s">
        <v>278</v>
      </c>
      <c r="C572" s="1" t="s">
        <v>279</v>
      </c>
      <c r="D572" s="1" t="s">
        <v>32</v>
      </c>
      <c r="E572" s="7">
        <v>18248</v>
      </c>
      <c r="F572" s="1" t="s">
        <v>20</v>
      </c>
      <c r="G572" s="1">
        <v>385</v>
      </c>
      <c r="H572" s="1" t="s">
        <v>34</v>
      </c>
      <c r="I572" s="1" t="s">
        <v>52</v>
      </c>
      <c r="J572" s="1" t="s">
        <v>17</v>
      </c>
      <c r="K572" s="9">
        <v>0.1</v>
      </c>
    </row>
    <row r="573" spans="1:11" x14ac:dyDescent="0.3">
      <c r="A573" s="12">
        <v>45412</v>
      </c>
      <c r="B573" s="1" t="s">
        <v>53</v>
      </c>
      <c r="C573" s="1" t="s">
        <v>495</v>
      </c>
      <c r="D573" s="1" t="s">
        <v>32</v>
      </c>
      <c r="E573" s="7">
        <v>32156</v>
      </c>
      <c r="F573" s="1" t="s">
        <v>20</v>
      </c>
      <c r="G573" s="1">
        <v>247</v>
      </c>
      <c r="H573" s="1" t="s">
        <v>56</v>
      </c>
      <c r="I573" s="1" t="s">
        <v>28</v>
      </c>
      <c r="J573" s="1" t="s">
        <v>17</v>
      </c>
      <c r="K573" s="9">
        <v>0.1</v>
      </c>
    </row>
    <row r="574" spans="1:11" x14ac:dyDescent="0.3">
      <c r="A574" s="12">
        <v>45412</v>
      </c>
      <c r="B574" s="1" t="s">
        <v>585</v>
      </c>
      <c r="C574" s="1" t="s">
        <v>586</v>
      </c>
      <c r="D574" s="1" t="s">
        <v>94</v>
      </c>
      <c r="E574" s="7">
        <v>26073</v>
      </c>
      <c r="F574" s="1" t="s">
        <v>68</v>
      </c>
      <c r="G574" s="1">
        <v>414</v>
      </c>
      <c r="H574" s="1" t="s">
        <v>42</v>
      </c>
      <c r="I574" s="1" t="s">
        <v>48</v>
      </c>
      <c r="J574" s="1" t="s">
        <v>17</v>
      </c>
      <c r="K574" s="9">
        <v>0.1</v>
      </c>
    </row>
    <row r="575" spans="1:11" x14ac:dyDescent="0.3">
      <c r="A575" s="12">
        <v>45413</v>
      </c>
      <c r="B575" s="1" t="s">
        <v>227</v>
      </c>
      <c r="C575" s="1" t="s">
        <v>126</v>
      </c>
      <c r="D575" s="1" t="s">
        <v>94</v>
      </c>
      <c r="E575" s="7">
        <v>29394</v>
      </c>
      <c r="F575" s="1" t="s">
        <v>68</v>
      </c>
      <c r="G575" s="1">
        <v>500</v>
      </c>
      <c r="H575" s="1" t="s">
        <v>15</v>
      </c>
      <c r="I575" s="1" t="s">
        <v>43</v>
      </c>
      <c r="J575" s="1" t="s">
        <v>17</v>
      </c>
      <c r="K575" s="9">
        <v>0.1</v>
      </c>
    </row>
    <row r="576" spans="1:11" x14ac:dyDescent="0.3">
      <c r="A576" s="12">
        <v>45413</v>
      </c>
      <c r="B576" s="1" t="s">
        <v>822</v>
      </c>
      <c r="C576" s="1" t="s">
        <v>173</v>
      </c>
      <c r="D576" s="1" t="s">
        <v>38</v>
      </c>
      <c r="E576" s="7">
        <v>38747</v>
      </c>
      <c r="F576" s="1" t="s">
        <v>33</v>
      </c>
      <c r="G576" s="1">
        <v>192</v>
      </c>
      <c r="H576" s="1" t="s">
        <v>59</v>
      </c>
      <c r="I576" s="1" t="s">
        <v>52</v>
      </c>
      <c r="J576" s="1" t="s">
        <v>17</v>
      </c>
      <c r="K576" s="9">
        <v>0.1</v>
      </c>
    </row>
    <row r="577" spans="1:11" x14ac:dyDescent="0.3">
      <c r="A577" s="12">
        <v>45413</v>
      </c>
      <c r="B577" s="1" t="s">
        <v>358</v>
      </c>
      <c r="C577" s="1" t="s">
        <v>106</v>
      </c>
      <c r="D577" s="1" t="s">
        <v>78</v>
      </c>
      <c r="E577" s="7">
        <v>29426</v>
      </c>
      <c r="F577" s="1" t="s">
        <v>20</v>
      </c>
      <c r="G577" s="1">
        <v>468</v>
      </c>
      <c r="H577" s="1" t="s">
        <v>27</v>
      </c>
      <c r="I577" s="1" t="s">
        <v>35</v>
      </c>
      <c r="J577" s="1" t="s">
        <v>17</v>
      </c>
      <c r="K577" s="9">
        <v>0.1</v>
      </c>
    </row>
    <row r="578" spans="1:11" x14ac:dyDescent="0.3">
      <c r="A578" s="12">
        <v>45414</v>
      </c>
      <c r="B578" s="1" t="s">
        <v>81</v>
      </c>
      <c r="C578" s="1" t="s">
        <v>82</v>
      </c>
      <c r="D578" s="1" t="s">
        <v>83</v>
      </c>
      <c r="E578" s="7">
        <v>31263</v>
      </c>
      <c r="F578" s="1" t="s">
        <v>68</v>
      </c>
      <c r="G578" s="1">
        <v>376</v>
      </c>
      <c r="H578" s="1" t="s">
        <v>56</v>
      </c>
      <c r="I578" s="1" t="s">
        <v>52</v>
      </c>
      <c r="J578" s="1" t="s">
        <v>29</v>
      </c>
      <c r="K578" s="9">
        <v>0.1</v>
      </c>
    </row>
    <row r="579" spans="1:11" x14ac:dyDescent="0.3">
      <c r="A579" s="12">
        <v>45414</v>
      </c>
      <c r="B579" s="1" t="s">
        <v>468</v>
      </c>
      <c r="C579" s="1" t="s">
        <v>365</v>
      </c>
      <c r="D579" s="1" t="s">
        <v>55</v>
      </c>
      <c r="E579" s="7">
        <v>34745</v>
      </c>
      <c r="F579" s="1" t="s">
        <v>68</v>
      </c>
      <c r="G579" s="1">
        <v>339</v>
      </c>
      <c r="H579" s="1" t="s">
        <v>59</v>
      </c>
      <c r="I579" s="1" t="s">
        <v>43</v>
      </c>
      <c r="J579" s="1" t="s">
        <v>17</v>
      </c>
      <c r="K579" s="9">
        <v>0.1</v>
      </c>
    </row>
    <row r="580" spans="1:11" x14ac:dyDescent="0.3">
      <c r="A580" s="12">
        <v>45414</v>
      </c>
      <c r="B580" s="1" t="s">
        <v>278</v>
      </c>
      <c r="C580" s="1" t="s">
        <v>400</v>
      </c>
      <c r="D580" s="1" t="s">
        <v>78</v>
      </c>
      <c r="E580" s="7">
        <v>36461</v>
      </c>
      <c r="F580" s="1" t="s">
        <v>14</v>
      </c>
      <c r="G580" s="1">
        <v>193</v>
      </c>
      <c r="H580" s="1" t="s">
        <v>42</v>
      </c>
      <c r="I580" s="1" t="s">
        <v>48</v>
      </c>
      <c r="J580" s="1" t="s">
        <v>17</v>
      </c>
      <c r="K580" s="9">
        <v>0.1</v>
      </c>
    </row>
    <row r="581" spans="1:11" x14ac:dyDescent="0.3">
      <c r="A581" s="12">
        <v>45414</v>
      </c>
      <c r="B581" s="1" t="s">
        <v>255</v>
      </c>
      <c r="C581" s="1" t="s">
        <v>100</v>
      </c>
      <c r="D581" s="1" t="s">
        <v>46</v>
      </c>
      <c r="E581" s="7">
        <v>35450</v>
      </c>
      <c r="F581" s="1" t="s">
        <v>68</v>
      </c>
      <c r="G581" s="1">
        <v>47</v>
      </c>
      <c r="H581" s="1" t="s">
        <v>59</v>
      </c>
      <c r="I581" s="1" t="s">
        <v>48</v>
      </c>
      <c r="J581" s="1" t="s">
        <v>17</v>
      </c>
      <c r="K581" s="9">
        <v>0.1</v>
      </c>
    </row>
    <row r="582" spans="1:11" x14ac:dyDescent="0.3">
      <c r="A582" s="12">
        <v>45415</v>
      </c>
      <c r="B582" s="1" t="s">
        <v>340</v>
      </c>
      <c r="C582" s="1" t="s">
        <v>341</v>
      </c>
      <c r="D582" s="1" t="s">
        <v>51</v>
      </c>
      <c r="E582" s="7">
        <v>17608</v>
      </c>
      <c r="F582" s="1" t="s">
        <v>68</v>
      </c>
      <c r="G582" s="1">
        <v>73</v>
      </c>
      <c r="H582" s="1" t="s">
        <v>27</v>
      </c>
      <c r="I582" s="1" t="s">
        <v>52</v>
      </c>
      <c r="J582" s="1" t="s">
        <v>17</v>
      </c>
      <c r="K582" s="9">
        <v>0.1</v>
      </c>
    </row>
    <row r="583" spans="1:11" x14ac:dyDescent="0.3">
      <c r="A583" s="12">
        <v>45415</v>
      </c>
      <c r="B583" s="1" t="s">
        <v>449</v>
      </c>
      <c r="C583" s="1" t="s">
        <v>388</v>
      </c>
      <c r="D583" s="1" t="s">
        <v>94</v>
      </c>
      <c r="E583" s="7">
        <v>16849</v>
      </c>
      <c r="F583" s="1" t="s">
        <v>14</v>
      </c>
      <c r="G583" s="1">
        <v>299</v>
      </c>
      <c r="H583" s="1" t="s">
        <v>64</v>
      </c>
      <c r="I583" s="1" t="s">
        <v>48</v>
      </c>
      <c r="J583" s="1" t="s">
        <v>17</v>
      </c>
      <c r="K583" s="9">
        <v>0.1</v>
      </c>
    </row>
    <row r="584" spans="1:11" x14ac:dyDescent="0.3">
      <c r="A584" s="12">
        <v>45415</v>
      </c>
      <c r="B584" s="1" t="s">
        <v>81</v>
      </c>
      <c r="C584" s="1" t="s">
        <v>895</v>
      </c>
      <c r="D584" s="1" t="s">
        <v>78</v>
      </c>
      <c r="E584" s="7">
        <v>38725</v>
      </c>
      <c r="F584" s="1" t="s">
        <v>20</v>
      </c>
      <c r="G584" s="1">
        <v>84</v>
      </c>
      <c r="H584" s="1" t="s">
        <v>34</v>
      </c>
      <c r="I584" s="1" t="s">
        <v>48</v>
      </c>
      <c r="J584" s="1" t="s">
        <v>17</v>
      </c>
      <c r="K584" s="9">
        <v>0.1</v>
      </c>
    </row>
    <row r="585" spans="1:11" x14ac:dyDescent="0.3">
      <c r="A585" s="12">
        <v>45416</v>
      </c>
      <c r="B585" s="1" t="s">
        <v>125</v>
      </c>
      <c r="C585" s="1" t="s">
        <v>126</v>
      </c>
      <c r="D585" s="1" t="s">
        <v>55</v>
      </c>
      <c r="E585" s="7">
        <v>37595</v>
      </c>
      <c r="F585" s="1" t="s">
        <v>33</v>
      </c>
      <c r="G585" s="1">
        <v>397</v>
      </c>
      <c r="H585" s="1" t="s">
        <v>27</v>
      </c>
      <c r="I585" s="1" t="s">
        <v>28</v>
      </c>
      <c r="J585" s="1" t="s">
        <v>17</v>
      </c>
      <c r="K585" s="9">
        <v>0.1</v>
      </c>
    </row>
    <row r="586" spans="1:11" x14ac:dyDescent="0.3">
      <c r="A586" s="12">
        <v>45416</v>
      </c>
      <c r="B586" s="1" t="s">
        <v>314</v>
      </c>
      <c r="C586" s="1" t="s">
        <v>181</v>
      </c>
      <c r="D586" s="1" t="s">
        <v>83</v>
      </c>
      <c r="E586" s="7">
        <v>18737</v>
      </c>
      <c r="F586" s="1" t="s">
        <v>14</v>
      </c>
      <c r="G586" s="1">
        <v>127</v>
      </c>
      <c r="H586" s="1" t="s">
        <v>21</v>
      </c>
      <c r="I586" s="1" t="s">
        <v>28</v>
      </c>
      <c r="J586" s="1" t="s">
        <v>17</v>
      </c>
      <c r="K586" s="9">
        <v>0.1</v>
      </c>
    </row>
    <row r="587" spans="1:11" x14ac:dyDescent="0.3">
      <c r="A587" s="12">
        <v>45416</v>
      </c>
      <c r="B587" s="1" t="s">
        <v>286</v>
      </c>
      <c r="C587" s="1" t="s">
        <v>530</v>
      </c>
      <c r="D587" s="1" t="s">
        <v>13</v>
      </c>
      <c r="E587" s="7">
        <v>25886</v>
      </c>
      <c r="F587" s="1" t="s">
        <v>33</v>
      </c>
      <c r="G587" s="1">
        <v>434</v>
      </c>
      <c r="H587" s="1" t="s">
        <v>21</v>
      </c>
      <c r="I587" s="1" t="s">
        <v>52</v>
      </c>
      <c r="J587" s="1" t="s">
        <v>17</v>
      </c>
      <c r="K587" s="9">
        <v>0.1</v>
      </c>
    </row>
    <row r="588" spans="1:11" x14ac:dyDescent="0.3">
      <c r="A588" s="12">
        <v>45416</v>
      </c>
      <c r="B588" s="1" t="s">
        <v>90</v>
      </c>
      <c r="C588" s="1" t="s">
        <v>743</v>
      </c>
      <c r="D588" s="1" t="s">
        <v>94</v>
      </c>
      <c r="E588" s="7">
        <v>20251</v>
      </c>
      <c r="F588" s="1" t="s">
        <v>33</v>
      </c>
      <c r="G588" s="1">
        <v>333</v>
      </c>
      <c r="H588" s="1" t="s">
        <v>42</v>
      </c>
      <c r="I588" s="1" t="s">
        <v>28</v>
      </c>
      <c r="J588" s="1" t="s">
        <v>17</v>
      </c>
      <c r="K588" s="9">
        <v>0.1</v>
      </c>
    </row>
    <row r="589" spans="1:11" x14ac:dyDescent="0.3">
      <c r="A589" s="12">
        <v>45417</v>
      </c>
      <c r="B589" s="1" t="s">
        <v>214</v>
      </c>
      <c r="C589" s="1" t="s">
        <v>110</v>
      </c>
      <c r="D589" s="1" t="s">
        <v>83</v>
      </c>
      <c r="E589" s="7">
        <v>21086</v>
      </c>
      <c r="F589" s="1" t="s">
        <v>68</v>
      </c>
      <c r="G589" s="1">
        <v>443</v>
      </c>
      <c r="H589" s="1" t="s">
        <v>59</v>
      </c>
      <c r="I589" s="1" t="s">
        <v>48</v>
      </c>
      <c r="J589" s="1" t="s">
        <v>17</v>
      </c>
      <c r="K589" s="9">
        <v>0.1</v>
      </c>
    </row>
    <row r="590" spans="1:11" x14ac:dyDescent="0.3">
      <c r="A590" s="12">
        <v>45417</v>
      </c>
      <c r="B590" s="1" t="s">
        <v>405</v>
      </c>
      <c r="C590" s="1" t="s">
        <v>406</v>
      </c>
      <c r="D590" s="1" t="s">
        <v>94</v>
      </c>
      <c r="E590" s="7">
        <v>19535</v>
      </c>
      <c r="F590" s="1" t="s">
        <v>68</v>
      </c>
      <c r="G590" s="1">
        <v>209</v>
      </c>
      <c r="H590" s="1" t="s">
        <v>15</v>
      </c>
      <c r="I590" s="1" t="s">
        <v>48</v>
      </c>
      <c r="J590" s="1" t="s">
        <v>17</v>
      </c>
      <c r="K590" s="9">
        <v>0.1</v>
      </c>
    </row>
    <row r="591" spans="1:11" x14ac:dyDescent="0.3">
      <c r="A591" s="12">
        <v>45417</v>
      </c>
      <c r="B591" s="1" t="s">
        <v>154</v>
      </c>
      <c r="C591" s="1" t="s">
        <v>809</v>
      </c>
      <c r="D591" s="1" t="s">
        <v>78</v>
      </c>
      <c r="E591" s="7">
        <v>25205</v>
      </c>
      <c r="F591" s="1" t="s">
        <v>20</v>
      </c>
      <c r="G591" s="1">
        <v>454</v>
      </c>
      <c r="H591" s="1" t="s">
        <v>34</v>
      </c>
      <c r="I591" s="1" t="s">
        <v>48</v>
      </c>
      <c r="J591" s="1" t="s">
        <v>17</v>
      </c>
      <c r="K591" s="9">
        <v>0.1</v>
      </c>
    </row>
    <row r="592" spans="1:11" x14ac:dyDescent="0.3">
      <c r="A592" s="12">
        <v>45418</v>
      </c>
      <c r="B592" s="1" t="s">
        <v>187</v>
      </c>
      <c r="C592" s="1" t="s">
        <v>188</v>
      </c>
      <c r="D592" s="1" t="s">
        <v>46</v>
      </c>
      <c r="E592" s="7">
        <v>30884</v>
      </c>
      <c r="F592" s="1" t="s">
        <v>14</v>
      </c>
      <c r="G592" s="1">
        <v>72</v>
      </c>
      <c r="H592" s="1" t="s">
        <v>34</v>
      </c>
      <c r="I592" s="1" t="s">
        <v>48</v>
      </c>
      <c r="J592" s="1" t="s">
        <v>17</v>
      </c>
      <c r="K592" s="9">
        <v>0.1</v>
      </c>
    </row>
    <row r="593" spans="1:11" x14ac:dyDescent="0.3">
      <c r="A593" s="12">
        <v>45418</v>
      </c>
      <c r="B593" s="1" t="s">
        <v>73</v>
      </c>
      <c r="C593" s="1" t="s">
        <v>407</v>
      </c>
      <c r="D593" s="1" t="s">
        <v>78</v>
      </c>
      <c r="E593" s="7">
        <v>30987</v>
      </c>
      <c r="F593" s="1" t="s">
        <v>20</v>
      </c>
      <c r="G593" s="1">
        <v>165</v>
      </c>
      <c r="H593" s="1" t="s">
        <v>21</v>
      </c>
      <c r="I593" s="1" t="s">
        <v>48</v>
      </c>
      <c r="J593" s="1" t="s">
        <v>17</v>
      </c>
      <c r="K593" s="9">
        <v>0.1</v>
      </c>
    </row>
    <row r="594" spans="1:11" x14ac:dyDescent="0.3">
      <c r="A594" s="12">
        <v>45418</v>
      </c>
      <c r="B594" s="1" t="s">
        <v>513</v>
      </c>
      <c r="C594" s="1" t="s">
        <v>697</v>
      </c>
      <c r="D594" s="1" t="s">
        <v>71</v>
      </c>
      <c r="E594" s="7">
        <v>24780</v>
      </c>
      <c r="F594" s="1" t="s">
        <v>68</v>
      </c>
      <c r="G594" s="1">
        <v>232</v>
      </c>
      <c r="H594" s="1" t="s">
        <v>65</v>
      </c>
      <c r="I594" s="1" t="s">
        <v>39</v>
      </c>
      <c r="J594" s="1" t="s">
        <v>17</v>
      </c>
      <c r="K594" s="9">
        <v>0.1</v>
      </c>
    </row>
    <row r="595" spans="1:11" x14ac:dyDescent="0.3">
      <c r="A595" s="12">
        <v>45418</v>
      </c>
      <c r="B595" s="1" t="s">
        <v>749</v>
      </c>
      <c r="C595" s="1" t="s">
        <v>500</v>
      </c>
      <c r="D595" s="1" t="s">
        <v>83</v>
      </c>
      <c r="E595" s="7">
        <v>25724</v>
      </c>
      <c r="F595" s="1" t="s">
        <v>14</v>
      </c>
      <c r="G595" s="1">
        <v>439</v>
      </c>
      <c r="H595" s="1" t="s">
        <v>56</v>
      </c>
      <c r="I595" s="1" t="s">
        <v>43</v>
      </c>
      <c r="J595" s="1" t="s">
        <v>17</v>
      </c>
      <c r="K595" s="9">
        <v>0.1</v>
      </c>
    </row>
    <row r="596" spans="1:11" x14ac:dyDescent="0.3">
      <c r="A596" s="12">
        <v>45418</v>
      </c>
      <c r="B596" s="1" t="s">
        <v>246</v>
      </c>
      <c r="C596" s="1" t="s">
        <v>755</v>
      </c>
      <c r="D596" s="1" t="s">
        <v>13</v>
      </c>
      <c r="E596" s="7">
        <v>31970</v>
      </c>
      <c r="F596" s="1" t="s">
        <v>20</v>
      </c>
      <c r="G596" s="1"/>
      <c r="H596" s="1" t="s">
        <v>15</v>
      </c>
      <c r="I596" s="1" t="s">
        <v>48</v>
      </c>
      <c r="J596" s="1" t="s">
        <v>17</v>
      </c>
      <c r="K596" s="9">
        <v>0.1</v>
      </c>
    </row>
    <row r="597" spans="1:11" x14ac:dyDescent="0.3">
      <c r="A597" s="12">
        <v>45418</v>
      </c>
      <c r="B597" s="1" t="s">
        <v>360</v>
      </c>
      <c r="C597" s="1" t="s">
        <v>12</v>
      </c>
      <c r="D597" s="1" t="s">
        <v>51</v>
      </c>
      <c r="E597" s="7">
        <v>37761</v>
      </c>
      <c r="F597" s="1" t="s">
        <v>68</v>
      </c>
      <c r="G597" s="1">
        <v>468</v>
      </c>
      <c r="H597" s="1" t="s">
        <v>34</v>
      </c>
      <c r="I597" s="1" t="s">
        <v>52</v>
      </c>
      <c r="J597" s="1" t="s">
        <v>17</v>
      </c>
      <c r="K597" s="9">
        <v>0.1</v>
      </c>
    </row>
    <row r="598" spans="1:11" x14ac:dyDescent="0.3">
      <c r="A598" s="12">
        <v>45418</v>
      </c>
      <c r="B598" s="1" t="s">
        <v>861</v>
      </c>
      <c r="C598" s="1" t="s">
        <v>862</v>
      </c>
      <c r="D598" s="1" t="s">
        <v>26</v>
      </c>
      <c r="E598" s="7">
        <v>25041</v>
      </c>
      <c r="F598" s="1" t="s">
        <v>14</v>
      </c>
      <c r="G598" s="1">
        <v>433</v>
      </c>
      <c r="H598" s="1" t="s">
        <v>15</v>
      </c>
      <c r="I598" s="1" t="s">
        <v>39</v>
      </c>
      <c r="J598" s="1" t="s">
        <v>17</v>
      </c>
      <c r="K598" s="9">
        <v>0.1</v>
      </c>
    </row>
    <row r="599" spans="1:11" x14ac:dyDescent="0.3">
      <c r="A599" s="12">
        <v>45419</v>
      </c>
      <c r="B599" s="1" t="s">
        <v>69</v>
      </c>
      <c r="C599" s="1" t="s">
        <v>70</v>
      </c>
      <c r="D599" s="1" t="s">
        <v>71</v>
      </c>
      <c r="E599" s="7">
        <v>20008</v>
      </c>
      <c r="F599" s="1" t="s">
        <v>14</v>
      </c>
      <c r="G599" s="1">
        <v>182</v>
      </c>
      <c r="H599" s="1" t="s">
        <v>56</v>
      </c>
      <c r="I599" s="1" t="s">
        <v>52</v>
      </c>
      <c r="J599" s="1" t="s">
        <v>17</v>
      </c>
      <c r="K599" s="9">
        <v>0.1</v>
      </c>
    </row>
    <row r="600" spans="1:11" x14ac:dyDescent="0.3">
      <c r="A600" s="12">
        <v>45419</v>
      </c>
      <c r="B600" s="1" t="s">
        <v>245</v>
      </c>
      <c r="C600" s="1" t="s">
        <v>141</v>
      </c>
      <c r="D600" s="1" t="s">
        <v>94</v>
      </c>
      <c r="E600" s="7">
        <v>37546</v>
      </c>
      <c r="F600" s="1" t="s">
        <v>68</v>
      </c>
      <c r="G600" s="1">
        <v>383</v>
      </c>
      <c r="H600" s="1" t="s">
        <v>56</v>
      </c>
      <c r="I600" s="1" t="s">
        <v>52</v>
      </c>
      <c r="J600" s="1" t="s">
        <v>17</v>
      </c>
      <c r="K600" s="9">
        <v>0.1</v>
      </c>
    </row>
    <row r="601" spans="1:11" x14ac:dyDescent="0.3">
      <c r="A601" s="12">
        <v>45419</v>
      </c>
      <c r="B601" s="1" t="s">
        <v>151</v>
      </c>
      <c r="C601" s="1" t="s">
        <v>380</v>
      </c>
      <c r="D601" s="1" t="s">
        <v>94</v>
      </c>
      <c r="E601" s="7">
        <v>35419</v>
      </c>
      <c r="F601" s="1" t="s">
        <v>14</v>
      </c>
      <c r="G601" s="1">
        <v>198</v>
      </c>
      <c r="H601" s="1" t="s">
        <v>27</v>
      </c>
      <c r="I601" s="1" t="s">
        <v>35</v>
      </c>
      <c r="J601" s="1" t="s">
        <v>17</v>
      </c>
      <c r="K601" s="9">
        <v>0.1</v>
      </c>
    </row>
    <row r="602" spans="1:11" x14ac:dyDescent="0.3">
      <c r="A602" s="12">
        <v>45420</v>
      </c>
      <c r="B602" s="1" t="s">
        <v>221</v>
      </c>
      <c r="C602" s="1" t="s">
        <v>311</v>
      </c>
      <c r="D602" s="1" t="s">
        <v>51</v>
      </c>
      <c r="E602" s="7">
        <v>24723</v>
      </c>
      <c r="F602" s="1" t="s">
        <v>68</v>
      </c>
      <c r="G602" s="1">
        <v>136</v>
      </c>
      <c r="H602" s="1" t="s">
        <v>34</v>
      </c>
      <c r="I602" s="1" t="s">
        <v>48</v>
      </c>
      <c r="J602" s="1" t="s">
        <v>17</v>
      </c>
      <c r="K602" s="9">
        <v>0.1</v>
      </c>
    </row>
    <row r="603" spans="1:11" x14ac:dyDescent="0.3">
      <c r="A603" s="12">
        <v>45420</v>
      </c>
      <c r="B603" s="1" t="s">
        <v>90</v>
      </c>
      <c r="C603" s="1" t="s">
        <v>412</v>
      </c>
      <c r="D603" s="1" t="s">
        <v>78</v>
      </c>
      <c r="E603" s="7"/>
      <c r="F603" s="1" t="s">
        <v>68</v>
      </c>
      <c r="G603" s="1">
        <v>278</v>
      </c>
      <c r="H603" s="1" t="s">
        <v>59</v>
      </c>
      <c r="I603" s="1" t="s">
        <v>35</v>
      </c>
      <c r="J603" s="1" t="s">
        <v>17</v>
      </c>
      <c r="K603" s="9">
        <v>0.1</v>
      </c>
    </row>
    <row r="604" spans="1:11" x14ac:dyDescent="0.3">
      <c r="A604" s="12">
        <v>45420</v>
      </c>
      <c r="B604" s="1" t="s">
        <v>338</v>
      </c>
      <c r="C604" s="1" t="s">
        <v>559</v>
      </c>
      <c r="D604" s="1" t="s">
        <v>32</v>
      </c>
      <c r="E604" s="7">
        <v>25506</v>
      </c>
      <c r="F604" s="1" t="s">
        <v>14</v>
      </c>
      <c r="G604" s="1">
        <v>204</v>
      </c>
      <c r="H604" s="1" t="s">
        <v>56</v>
      </c>
      <c r="I604" s="1" t="s">
        <v>28</v>
      </c>
      <c r="J604" s="1" t="s">
        <v>17</v>
      </c>
      <c r="K604" s="9">
        <v>0.1</v>
      </c>
    </row>
    <row r="605" spans="1:11" x14ac:dyDescent="0.3">
      <c r="A605" s="12">
        <v>45421</v>
      </c>
      <c r="B605" s="1" t="s">
        <v>30</v>
      </c>
      <c r="C605" s="1" t="s">
        <v>31</v>
      </c>
      <c r="D605" s="1" t="s">
        <v>32</v>
      </c>
      <c r="E605" s="7">
        <v>16696</v>
      </c>
      <c r="F605" s="1" t="s">
        <v>33</v>
      </c>
      <c r="G605" s="1">
        <v>90</v>
      </c>
      <c r="H605" s="1" t="s">
        <v>34</v>
      </c>
      <c r="I605" s="1" t="s">
        <v>35</v>
      </c>
      <c r="J605" s="1" t="s">
        <v>17</v>
      </c>
      <c r="K605" s="9">
        <v>0.1</v>
      </c>
    </row>
    <row r="606" spans="1:11" x14ac:dyDescent="0.3">
      <c r="A606" s="12">
        <v>45421</v>
      </c>
      <c r="B606" s="1" t="s">
        <v>107</v>
      </c>
      <c r="C606" s="1" t="s">
        <v>205</v>
      </c>
      <c r="D606" s="1" t="s">
        <v>32</v>
      </c>
      <c r="E606" s="7">
        <v>21509</v>
      </c>
      <c r="F606" s="1" t="s">
        <v>20</v>
      </c>
      <c r="G606" s="1">
        <v>180</v>
      </c>
      <c r="H606" s="1" t="s">
        <v>21</v>
      </c>
      <c r="I606" s="1" t="s">
        <v>48</v>
      </c>
      <c r="J606" s="1" t="s">
        <v>17</v>
      </c>
      <c r="K606" s="9">
        <v>0.1</v>
      </c>
    </row>
    <row r="607" spans="1:11" x14ac:dyDescent="0.3">
      <c r="A607" s="12">
        <v>45421</v>
      </c>
      <c r="B607" s="1" t="s">
        <v>338</v>
      </c>
      <c r="C607" s="1" t="s">
        <v>472</v>
      </c>
      <c r="D607" s="1" t="s">
        <v>46</v>
      </c>
      <c r="E607" s="7">
        <v>20938</v>
      </c>
      <c r="F607" s="1" t="s">
        <v>20</v>
      </c>
      <c r="G607" s="1">
        <v>15</v>
      </c>
      <c r="H607" s="1" t="s">
        <v>64</v>
      </c>
      <c r="I607" s="1" t="s">
        <v>52</v>
      </c>
      <c r="J607" s="1" t="s">
        <v>17</v>
      </c>
      <c r="K607" s="9">
        <v>0.1</v>
      </c>
    </row>
    <row r="608" spans="1:11" x14ac:dyDescent="0.3">
      <c r="A608" s="12">
        <v>45421</v>
      </c>
      <c r="B608" s="1" t="s">
        <v>476</v>
      </c>
      <c r="C608" s="1" t="s">
        <v>315</v>
      </c>
      <c r="D608" s="1" t="s">
        <v>83</v>
      </c>
      <c r="E608" s="7">
        <v>34651</v>
      </c>
      <c r="F608" s="1" t="s">
        <v>14</v>
      </c>
      <c r="G608" s="1">
        <v>400</v>
      </c>
      <c r="H608" s="1" t="s">
        <v>47</v>
      </c>
      <c r="I608" s="1" t="s">
        <v>43</v>
      </c>
      <c r="J608" s="1" t="s">
        <v>17</v>
      </c>
      <c r="K608" s="9">
        <v>0.1</v>
      </c>
    </row>
    <row r="609" spans="1:11" x14ac:dyDescent="0.3">
      <c r="A609" s="12">
        <v>45421</v>
      </c>
      <c r="B609" s="1" t="s">
        <v>453</v>
      </c>
      <c r="C609" s="1" t="s">
        <v>879</v>
      </c>
      <c r="D609" s="1" t="s">
        <v>55</v>
      </c>
      <c r="E609" s="7">
        <v>32026</v>
      </c>
      <c r="F609" s="1" t="s">
        <v>20</v>
      </c>
      <c r="G609" s="1">
        <v>103</v>
      </c>
      <c r="H609" s="1" t="s">
        <v>65</v>
      </c>
      <c r="I609" s="1" t="s">
        <v>48</v>
      </c>
      <c r="J609" s="1" t="s">
        <v>17</v>
      </c>
      <c r="K609" s="9">
        <v>0.1</v>
      </c>
    </row>
    <row r="610" spans="1:11" x14ac:dyDescent="0.3">
      <c r="A610" s="12">
        <v>45421</v>
      </c>
      <c r="B610" s="1" t="s">
        <v>912</v>
      </c>
      <c r="C610" s="1" t="s">
        <v>334</v>
      </c>
      <c r="D610" s="1" t="s">
        <v>78</v>
      </c>
      <c r="E610" s="7">
        <v>37893</v>
      </c>
      <c r="F610" s="1" t="s">
        <v>14</v>
      </c>
      <c r="G610" s="1">
        <v>370</v>
      </c>
      <c r="H610" s="1" t="s">
        <v>42</v>
      </c>
      <c r="I610" s="1" t="s">
        <v>52</v>
      </c>
      <c r="J610" s="1" t="s">
        <v>17</v>
      </c>
      <c r="K610" s="9">
        <v>0.1</v>
      </c>
    </row>
    <row r="611" spans="1:11" x14ac:dyDescent="0.3">
      <c r="A611" s="12">
        <v>45422</v>
      </c>
      <c r="B611" s="1" t="s">
        <v>431</v>
      </c>
      <c r="C611" s="1" t="s">
        <v>432</v>
      </c>
      <c r="D611" s="1" t="s">
        <v>94</v>
      </c>
      <c r="E611" s="7">
        <v>22950</v>
      </c>
      <c r="F611" s="1" t="s">
        <v>68</v>
      </c>
      <c r="G611" s="1">
        <v>135</v>
      </c>
      <c r="H611" s="1" t="s">
        <v>47</v>
      </c>
      <c r="I611" s="1" t="s">
        <v>28</v>
      </c>
      <c r="J611" s="1" t="s">
        <v>17</v>
      </c>
      <c r="K611" s="9">
        <v>0.1</v>
      </c>
    </row>
    <row r="612" spans="1:11" x14ac:dyDescent="0.3">
      <c r="A612" s="12">
        <v>45422</v>
      </c>
      <c r="B612" s="1" t="s">
        <v>727</v>
      </c>
      <c r="C612" s="1" t="s">
        <v>128</v>
      </c>
      <c r="D612" s="1" t="s">
        <v>26</v>
      </c>
      <c r="E612" s="7">
        <v>32584</v>
      </c>
      <c r="F612" s="1" t="s">
        <v>20</v>
      </c>
      <c r="G612" s="1">
        <v>156</v>
      </c>
      <c r="H612" s="1" t="s">
        <v>27</v>
      </c>
      <c r="I612" s="1" t="s">
        <v>28</v>
      </c>
      <c r="J612" s="1" t="s">
        <v>17</v>
      </c>
      <c r="K612" s="9">
        <v>0.1</v>
      </c>
    </row>
    <row r="613" spans="1:11" x14ac:dyDescent="0.3">
      <c r="A613" s="12">
        <v>45422</v>
      </c>
      <c r="B613" s="1" t="s">
        <v>186</v>
      </c>
      <c r="C613" s="1" t="s">
        <v>919</v>
      </c>
      <c r="D613" s="1" t="s">
        <v>51</v>
      </c>
      <c r="E613" s="7">
        <v>19374</v>
      </c>
      <c r="F613" s="1" t="s">
        <v>14</v>
      </c>
      <c r="G613" s="1">
        <v>236</v>
      </c>
      <c r="H613" s="1" t="s">
        <v>56</v>
      </c>
      <c r="I613" s="1" t="s">
        <v>52</v>
      </c>
      <c r="J613" s="1" t="s">
        <v>17</v>
      </c>
      <c r="K613" s="9">
        <v>0.1</v>
      </c>
    </row>
    <row r="614" spans="1:11" x14ac:dyDescent="0.3">
      <c r="A614" s="12">
        <v>45423</v>
      </c>
      <c r="B614" s="1" t="s">
        <v>257</v>
      </c>
      <c r="C614" s="1" t="s">
        <v>258</v>
      </c>
      <c r="D614" s="1" t="s">
        <v>71</v>
      </c>
      <c r="E614" s="7">
        <v>22731</v>
      </c>
      <c r="F614" s="1" t="s">
        <v>33</v>
      </c>
      <c r="G614" s="1">
        <v>94</v>
      </c>
      <c r="H614" s="1" t="s">
        <v>34</v>
      </c>
      <c r="I614" s="1" t="s">
        <v>48</v>
      </c>
      <c r="J614" s="1" t="s">
        <v>29</v>
      </c>
      <c r="K614" s="9">
        <v>0.1</v>
      </c>
    </row>
    <row r="615" spans="1:11" x14ac:dyDescent="0.3">
      <c r="A615" s="12">
        <v>45423</v>
      </c>
      <c r="B615" s="1" t="s">
        <v>24</v>
      </c>
      <c r="C615" s="1" t="s">
        <v>284</v>
      </c>
      <c r="D615" s="1" t="s">
        <v>71</v>
      </c>
      <c r="E615" s="7">
        <v>34352</v>
      </c>
      <c r="F615" s="1" t="s">
        <v>33</v>
      </c>
      <c r="G615" s="1">
        <v>145</v>
      </c>
      <c r="H615" s="1" t="s">
        <v>59</v>
      </c>
      <c r="I615" s="1" t="s">
        <v>43</v>
      </c>
      <c r="J615" s="1" t="s">
        <v>17</v>
      </c>
      <c r="K615" s="9">
        <v>0.1</v>
      </c>
    </row>
    <row r="616" spans="1:11" x14ac:dyDescent="0.3">
      <c r="A616" s="12">
        <v>45424</v>
      </c>
      <c r="B616" s="1" t="s">
        <v>257</v>
      </c>
      <c r="C616" s="1" t="s">
        <v>511</v>
      </c>
      <c r="D616" s="1" t="s">
        <v>38</v>
      </c>
      <c r="E616" s="7">
        <v>27436</v>
      </c>
      <c r="F616" s="1" t="s">
        <v>14</v>
      </c>
      <c r="G616" s="1">
        <v>212</v>
      </c>
      <c r="H616" s="1" t="s">
        <v>42</v>
      </c>
      <c r="I616" s="1" t="s">
        <v>28</v>
      </c>
      <c r="J616" s="1" t="s">
        <v>17</v>
      </c>
      <c r="K616" s="9">
        <v>0.1</v>
      </c>
    </row>
    <row r="617" spans="1:11" x14ac:dyDescent="0.3">
      <c r="A617" s="12">
        <v>45424</v>
      </c>
      <c r="B617" s="1" t="s">
        <v>66</v>
      </c>
      <c r="C617" s="1" t="s">
        <v>683</v>
      </c>
      <c r="D617" s="1" t="s">
        <v>78</v>
      </c>
      <c r="E617" s="7">
        <v>29326</v>
      </c>
      <c r="F617" s="1" t="s">
        <v>33</v>
      </c>
      <c r="G617" s="1">
        <v>33</v>
      </c>
      <c r="H617" s="1" t="s">
        <v>47</v>
      </c>
      <c r="I617" s="1" t="s">
        <v>43</v>
      </c>
      <c r="J617" s="1" t="s">
        <v>17</v>
      </c>
      <c r="K617" s="9">
        <v>0.1</v>
      </c>
    </row>
    <row r="618" spans="1:11" x14ac:dyDescent="0.3">
      <c r="A618" s="12">
        <v>45425</v>
      </c>
      <c r="B618" s="1" t="s">
        <v>217</v>
      </c>
      <c r="C618" s="1" t="s">
        <v>218</v>
      </c>
      <c r="D618" s="1" t="s">
        <v>83</v>
      </c>
      <c r="E618" s="7">
        <v>16883</v>
      </c>
      <c r="F618" s="1" t="s">
        <v>14</v>
      </c>
      <c r="G618" s="1">
        <v>150</v>
      </c>
      <c r="H618" s="1" t="s">
        <v>64</v>
      </c>
      <c r="I618" s="1" t="s">
        <v>28</v>
      </c>
      <c r="J618" s="1" t="s">
        <v>17</v>
      </c>
      <c r="K618" s="9">
        <v>0.1</v>
      </c>
    </row>
    <row r="619" spans="1:11" x14ac:dyDescent="0.3">
      <c r="A619" s="12">
        <v>45425</v>
      </c>
      <c r="B619" s="1" t="s">
        <v>534</v>
      </c>
      <c r="C619" s="1" t="s">
        <v>225</v>
      </c>
      <c r="D619" s="1" t="s">
        <v>55</v>
      </c>
      <c r="E619" s="7">
        <v>25921</v>
      </c>
      <c r="F619" s="1" t="s">
        <v>68</v>
      </c>
      <c r="G619" s="1">
        <v>240</v>
      </c>
      <c r="H619" s="1" t="s">
        <v>47</v>
      </c>
      <c r="I619" s="1" t="s">
        <v>48</v>
      </c>
      <c r="J619" s="1" t="s">
        <v>17</v>
      </c>
      <c r="K619" s="9">
        <v>0.1</v>
      </c>
    </row>
    <row r="620" spans="1:11" x14ac:dyDescent="0.3">
      <c r="A620" s="12">
        <v>45425</v>
      </c>
      <c r="B620" s="1" t="s">
        <v>187</v>
      </c>
      <c r="C620" s="1" t="s">
        <v>578</v>
      </c>
      <c r="D620" s="1" t="s">
        <v>26</v>
      </c>
      <c r="E620" s="7">
        <v>20098</v>
      </c>
      <c r="F620" s="1" t="s">
        <v>14</v>
      </c>
      <c r="G620" s="1">
        <v>18</v>
      </c>
      <c r="H620" s="1" t="s">
        <v>64</v>
      </c>
      <c r="I620" s="1" t="s">
        <v>52</v>
      </c>
      <c r="J620" s="1" t="s">
        <v>17</v>
      </c>
      <c r="K620" s="9">
        <v>0.1</v>
      </c>
    </row>
    <row r="621" spans="1:11" x14ac:dyDescent="0.3">
      <c r="A621" s="12">
        <v>45425</v>
      </c>
      <c r="B621" s="1" t="s">
        <v>413</v>
      </c>
      <c r="C621" s="1" t="s">
        <v>225</v>
      </c>
      <c r="D621" s="1" t="s">
        <v>26</v>
      </c>
      <c r="E621" s="7">
        <v>25126</v>
      </c>
      <c r="F621" s="1" t="s">
        <v>14</v>
      </c>
      <c r="G621" s="1">
        <v>257</v>
      </c>
      <c r="H621" s="1" t="s">
        <v>65</v>
      </c>
      <c r="I621" s="1"/>
      <c r="J621" s="1" t="s">
        <v>17</v>
      </c>
      <c r="K621" s="9">
        <v>0.1</v>
      </c>
    </row>
    <row r="622" spans="1:11" x14ac:dyDescent="0.3">
      <c r="A622" s="12">
        <v>45425</v>
      </c>
      <c r="B622" s="1" t="s">
        <v>167</v>
      </c>
      <c r="C622" s="1" t="s">
        <v>365</v>
      </c>
      <c r="D622" s="1" t="s">
        <v>78</v>
      </c>
      <c r="E622" s="7">
        <v>35362</v>
      </c>
      <c r="F622" s="1" t="s">
        <v>68</v>
      </c>
      <c r="G622" s="1">
        <v>79</v>
      </c>
      <c r="H622" s="1" t="s">
        <v>42</v>
      </c>
      <c r="I622" s="1" t="s">
        <v>28</v>
      </c>
      <c r="J622" s="1" t="s">
        <v>17</v>
      </c>
      <c r="K622" s="9">
        <v>0.1</v>
      </c>
    </row>
    <row r="623" spans="1:11" x14ac:dyDescent="0.3">
      <c r="A623" s="12">
        <v>45425</v>
      </c>
      <c r="B623" s="1" t="s">
        <v>261</v>
      </c>
      <c r="C623" s="1" t="s">
        <v>25</v>
      </c>
      <c r="D623" s="1" t="s">
        <v>13</v>
      </c>
      <c r="E623" s="7">
        <v>33789</v>
      </c>
      <c r="F623" s="1" t="s">
        <v>14</v>
      </c>
      <c r="G623" s="1">
        <v>414</v>
      </c>
      <c r="H623" s="1" t="s">
        <v>27</v>
      </c>
      <c r="I623" s="1" t="s">
        <v>43</v>
      </c>
      <c r="J623" s="1" t="s">
        <v>17</v>
      </c>
      <c r="K623" s="9">
        <v>0.1</v>
      </c>
    </row>
    <row r="624" spans="1:11" x14ac:dyDescent="0.3">
      <c r="A624" s="12">
        <v>45425</v>
      </c>
      <c r="B624" s="1" t="s">
        <v>233</v>
      </c>
      <c r="C624" s="1" t="s">
        <v>329</v>
      </c>
      <c r="D624" s="1" t="s">
        <v>83</v>
      </c>
      <c r="E624" s="7">
        <v>25846</v>
      </c>
      <c r="F624" s="1" t="s">
        <v>14</v>
      </c>
      <c r="G624" s="1">
        <v>83</v>
      </c>
      <c r="H624" s="1" t="s">
        <v>59</v>
      </c>
      <c r="I624" s="1" t="s">
        <v>35</v>
      </c>
      <c r="J624" s="1" t="s">
        <v>17</v>
      </c>
      <c r="K624" s="9">
        <v>0.1</v>
      </c>
    </row>
    <row r="625" spans="1:11" x14ac:dyDescent="0.3">
      <c r="A625" s="12">
        <v>45425</v>
      </c>
      <c r="B625" s="1" t="s">
        <v>915</v>
      </c>
      <c r="C625" s="1" t="s">
        <v>916</v>
      </c>
      <c r="D625" s="1" t="s">
        <v>55</v>
      </c>
      <c r="E625" s="7">
        <v>27463</v>
      </c>
      <c r="F625" s="1" t="s">
        <v>33</v>
      </c>
      <c r="G625" s="1">
        <v>323</v>
      </c>
      <c r="H625" s="1" t="s">
        <v>56</v>
      </c>
      <c r="I625" s="1" t="s">
        <v>35</v>
      </c>
      <c r="J625" s="1" t="s">
        <v>17</v>
      </c>
      <c r="K625" s="9">
        <v>0.1</v>
      </c>
    </row>
    <row r="626" spans="1:11" x14ac:dyDescent="0.3">
      <c r="A626" s="12">
        <v>45426</v>
      </c>
      <c r="B626" s="1" t="s">
        <v>161</v>
      </c>
      <c r="C626" s="1" t="s">
        <v>176</v>
      </c>
      <c r="D626" s="1" t="s">
        <v>46</v>
      </c>
      <c r="E626" s="7">
        <v>30424</v>
      </c>
      <c r="F626" s="1" t="s">
        <v>14</v>
      </c>
      <c r="G626" s="1">
        <v>401</v>
      </c>
      <c r="H626" s="1" t="s">
        <v>59</v>
      </c>
      <c r="I626" s="1" t="s">
        <v>52</v>
      </c>
      <c r="J626" s="1" t="s">
        <v>17</v>
      </c>
      <c r="K626" s="9">
        <v>0.1</v>
      </c>
    </row>
    <row r="627" spans="1:11" x14ac:dyDescent="0.3">
      <c r="A627" s="12">
        <v>45426</v>
      </c>
      <c r="B627" s="1" t="s">
        <v>109</v>
      </c>
      <c r="C627" s="1" t="s">
        <v>254</v>
      </c>
      <c r="D627" s="1" t="s">
        <v>78</v>
      </c>
      <c r="E627" s="7">
        <v>37884</v>
      </c>
      <c r="F627" s="1" t="s">
        <v>14</v>
      </c>
      <c r="G627" s="1">
        <v>136</v>
      </c>
      <c r="H627" s="1" t="s">
        <v>56</v>
      </c>
      <c r="I627" s="1" t="s">
        <v>48</v>
      </c>
      <c r="J627" s="1" t="s">
        <v>29</v>
      </c>
      <c r="K627" s="9">
        <v>0.1</v>
      </c>
    </row>
    <row r="628" spans="1:11" x14ac:dyDescent="0.3">
      <c r="A628" s="12">
        <v>45426</v>
      </c>
      <c r="B628" s="1" t="s">
        <v>261</v>
      </c>
      <c r="C628" s="1" t="s">
        <v>353</v>
      </c>
      <c r="D628" s="1" t="s">
        <v>32</v>
      </c>
      <c r="E628" s="7">
        <v>38740</v>
      </c>
      <c r="F628" s="1" t="s">
        <v>33</v>
      </c>
      <c r="G628" s="1">
        <v>434</v>
      </c>
      <c r="H628" s="1" t="s">
        <v>59</v>
      </c>
      <c r="I628" s="1" t="s">
        <v>52</v>
      </c>
      <c r="J628" s="1" t="s">
        <v>17</v>
      </c>
      <c r="K628" s="9">
        <v>0.1</v>
      </c>
    </row>
    <row r="629" spans="1:11" x14ac:dyDescent="0.3">
      <c r="A629" s="12">
        <v>45426</v>
      </c>
      <c r="B629" s="1" t="s">
        <v>117</v>
      </c>
      <c r="C629" s="1" t="s">
        <v>705</v>
      </c>
      <c r="D629" s="1" t="s">
        <v>78</v>
      </c>
      <c r="E629" s="7">
        <v>24447</v>
      </c>
      <c r="F629" s="1" t="s">
        <v>14</v>
      </c>
      <c r="G629" s="1">
        <v>90</v>
      </c>
      <c r="H629" s="1" t="s">
        <v>56</v>
      </c>
      <c r="I629" s="1" t="s">
        <v>52</v>
      </c>
      <c r="J629" s="1" t="s">
        <v>17</v>
      </c>
      <c r="K629" s="9">
        <v>0.1</v>
      </c>
    </row>
    <row r="630" spans="1:11" x14ac:dyDescent="0.3">
      <c r="A630" s="12">
        <v>45426</v>
      </c>
      <c r="B630" s="1" t="s">
        <v>922</v>
      </c>
      <c r="C630" s="1" t="s">
        <v>398</v>
      </c>
      <c r="D630" s="1" t="s">
        <v>38</v>
      </c>
      <c r="E630" s="7">
        <v>33379</v>
      </c>
      <c r="F630" s="1" t="s">
        <v>33</v>
      </c>
      <c r="G630" s="1">
        <v>24</v>
      </c>
      <c r="H630" s="1" t="s">
        <v>15</v>
      </c>
      <c r="I630" s="1" t="s">
        <v>48</v>
      </c>
      <c r="J630" s="1" t="s">
        <v>17</v>
      </c>
      <c r="K630" s="9">
        <v>0.1</v>
      </c>
    </row>
    <row r="631" spans="1:11" x14ac:dyDescent="0.3">
      <c r="A631" s="12">
        <v>45427</v>
      </c>
      <c r="B631" s="1" t="s">
        <v>140</v>
      </c>
      <c r="C631" s="1" t="s">
        <v>151</v>
      </c>
      <c r="D631" s="1" t="s">
        <v>94</v>
      </c>
      <c r="E631" s="7">
        <v>32639</v>
      </c>
      <c r="F631" s="1" t="s">
        <v>33</v>
      </c>
      <c r="G631" s="1">
        <v>35</v>
      </c>
      <c r="H631" s="1" t="s">
        <v>21</v>
      </c>
      <c r="I631" s="1" t="s">
        <v>52</v>
      </c>
      <c r="J631" s="1" t="s">
        <v>17</v>
      </c>
      <c r="K631" s="9">
        <v>0.1</v>
      </c>
    </row>
    <row r="632" spans="1:11" x14ac:dyDescent="0.3">
      <c r="A632" s="12">
        <v>45427</v>
      </c>
      <c r="B632" s="1" t="s">
        <v>210</v>
      </c>
      <c r="C632" s="1" t="s">
        <v>211</v>
      </c>
      <c r="D632" s="1" t="s">
        <v>51</v>
      </c>
      <c r="E632" s="7">
        <v>35762</v>
      </c>
      <c r="F632" s="1" t="s">
        <v>33</v>
      </c>
      <c r="G632" s="1">
        <v>139</v>
      </c>
      <c r="H632" s="1" t="s">
        <v>65</v>
      </c>
      <c r="I632" s="1" t="s">
        <v>48</v>
      </c>
      <c r="J632" s="1" t="s">
        <v>17</v>
      </c>
      <c r="K632" s="9">
        <v>0.1</v>
      </c>
    </row>
    <row r="633" spans="1:11" x14ac:dyDescent="0.3">
      <c r="A633" s="12">
        <v>45427</v>
      </c>
      <c r="B633" s="1" t="s">
        <v>257</v>
      </c>
      <c r="C633" s="1" t="s">
        <v>273</v>
      </c>
      <c r="D633" s="1" t="s">
        <v>32</v>
      </c>
      <c r="E633" s="7">
        <v>32833</v>
      </c>
      <c r="F633" s="1" t="s">
        <v>20</v>
      </c>
      <c r="G633" s="1">
        <v>166</v>
      </c>
      <c r="H633" s="1" t="s">
        <v>34</v>
      </c>
      <c r="I633" s="1" t="s">
        <v>52</v>
      </c>
      <c r="J633" s="1" t="s">
        <v>17</v>
      </c>
      <c r="K633" s="9">
        <v>0.1</v>
      </c>
    </row>
    <row r="634" spans="1:11" x14ac:dyDescent="0.3">
      <c r="A634" s="12">
        <v>45427</v>
      </c>
      <c r="B634" s="1" t="s">
        <v>594</v>
      </c>
      <c r="C634" s="1" t="s">
        <v>595</v>
      </c>
      <c r="D634" s="1" t="s">
        <v>38</v>
      </c>
      <c r="E634" s="7">
        <v>33567</v>
      </c>
      <c r="F634" s="1" t="s">
        <v>14</v>
      </c>
      <c r="G634" s="1">
        <v>445</v>
      </c>
      <c r="H634" s="1" t="s">
        <v>34</v>
      </c>
      <c r="I634" s="1" t="s">
        <v>48</v>
      </c>
      <c r="J634" s="1" t="s">
        <v>17</v>
      </c>
      <c r="K634" s="9">
        <v>0.1</v>
      </c>
    </row>
    <row r="635" spans="1:11" x14ac:dyDescent="0.3">
      <c r="A635" s="12">
        <v>45428</v>
      </c>
      <c r="B635" s="1" t="s">
        <v>191</v>
      </c>
      <c r="C635" s="1" t="s">
        <v>747</v>
      </c>
      <c r="D635" s="1" t="s">
        <v>55</v>
      </c>
      <c r="E635" s="7">
        <v>33405</v>
      </c>
      <c r="F635" s="1" t="s">
        <v>33</v>
      </c>
      <c r="G635" s="1">
        <v>440</v>
      </c>
      <c r="H635" s="1" t="s">
        <v>27</v>
      </c>
      <c r="I635" s="1" t="s">
        <v>52</v>
      </c>
      <c r="J635" s="1" t="s">
        <v>17</v>
      </c>
      <c r="K635" s="9">
        <v>0.1</v>
      </c>
    </row>
    <row r="636" spans="1:11" x14ac:dyDescent="0.3">
      <c r="A636" s="12">
        <v>45429</v>
      </c>
      <c r="B636" s="1" t="s">
        <v>336</v>
      </c>
      <c r="C636" s="1" t="s">
        <v>337</v>
      </c>
      <c r="D636" s="1" t="s">
        <v>38</v>
      </c>
      <c r="E636" s="7">
        <v>21171</v>
      </c>
      <c r="F636" s="1" t="s">
        <v>14</v>
      </c>
      <c r="G636" s="1">
        <v>493</v>
      </c>
      <c r="H636" s="1" t="s">
        <v>21</v>
      </c>
      <c r="I636" s="1" t="s">
        <v>48</v>
      </c>
      <c r="J636" s="1" t="s">
        <v>17</v>
      </c>
      <c r="K636" s="9">
        <v>0.1</v>
      </c>
    </row>
    <row r="637" spans="1:11" x14ac:dyDescent="0.3">
      <c r="A637" s="12">
        <v>45429</v>
      </c>
      <c r="B637" s="1" t="s">
        <v>445</v>
      </c>
      <c r="C637" s="1" t="s">
        <v>251</v>
      </c>
      <c r="D637" s="1" t="s">
        <v>55</v>
      </c>
      <c r="E637" s="7">
        <v>33536</v>
      </c>
      <c r="F637" s="1" t="s">
        <v>68</v>
      </c>
      <c r="G637" s="1">
        <v>260</v>
      </c>
      <c r="H637" s="1" t="s">
        <v>42</v>
      </c>
      <c r="I637" s="1" t="s">
        <v>52</v>
      </c>
      <c r="J637" s="1" t="s">
        <v>17</v>
      </c>
      <c r="K637" s="9">
        <v>0.1</v>
      </c>
    </row>
    <row r="638" spans="1:11" x14ac:dyDescent="0.3">
      <c r="A638" s="12">
        <v>45429</v>
      </c>
      <c r="B638" s="1" t="s">
        <v>473</v>
      </c>
      <c r="C638" s="1" t="s">
        <v>308</v>
      </c>
      <c r="D638" s="1" t="s">
        <v>26</v>
      </c>
      <c r="E638" s="7">
        <v>22128</v>
      </c>
      <c r="F638" s="1" t="s">
        <v>68</v>
      </c>
      <c r="G638" s="1">
        <v>197</v>
      </c>
      <c r="H638" s="1" t="s">
        <v>65</v>
      </c>
      <c r="I638" s="1" t="s">
        <v>48</v>
      </c>
      <c r="J638" s="1" t="s">
        <v>17</v>
      </c>
      <c r="K638" s="9">
        <v>0.1</v>
      </c>
    </row>
    <row r="639" spans="1:11" x14ac:dyDescent="0.3">
      <c r="A639" s="12">
        <v>45429</v>
      </c>
      <c r="B639" s="1" t="s">
        <v>187</v>
      </c>
      <c r="C639" s="1" t="s">
        <v>82</v>
      </c>
      <c r="D639" s="1" t="s">
        <v>83</v>
      </c>
      <c r="E639" s="7">
        <v>17505</v>
      </c>
      <c r="F639" s="1" t="s">
        <v>14</v>
      </c>
      <c r="G639" s="1">
        <v>439</v>
      </c>
      <c r="H639" s="1" t="s">
        <v>64</v>
      </c>
      <c r="I639" s="1" t="s">
        <v>35</v>
      </c>
      <c r="J639" s="1" t="s">
        <v>17</v>
      </c>
      <c r="K639" s="9">
        <v>0.1</v>
      </c>
    </row>
    <row r="640" spans="1:11" x14ac:dyDescent="0.3">
      <c r="A640" s="12">
        <v>45429</v>
      </c>
      <c r="B640" s="1" t="s">
        <v>117</v>
      </c>
      <c r="C640" s="1" t="s">
        <v>153</v>
      </c>
      <c r="D640" s="1" t="s">
        <v>13</v>
      </c>
      <c r="E640" s="7">
        <v>24316</v>
      </c>
      <c r="F640" s="1" t="s">
        <v>33</v>
      </c>
      <c r="G640" s="1">
        <v>489</v>
      </c>
      <c r="H640" s="1" t="s">
        <v>42</v>
      </c>
      <c r="I640" s="1" t="s">
        <v>43</v>
      </c>
      <c r="J640" s="1" t="s">
        <v>17</v>
      </c>
      <c r="K640" s="9">
        <v>0.1</v>
      </c>
    </row>
    <row r="641" spans="1:11" x14ac:dyDescent="0.3">
      <c r="A641" s="12">
        <v>45430</v>
      </c>
      <c r="B641" s="1" t="s">
        <v>111</v>
      </c>
      <c r="C641" s="1" t="s">
        <v>112</v>
      </c>
      <c r="D641" s="1" t="s">
        <v>51</v>
      </c>
      <c r="E641" s="7">
        <v>20532</v>
      </c>
      <c r="F641" s="1" t="s">
        <v>20</v>
      </c>
      <c r="G641" s="1">
        <v>280</v>
      </c>
      <c r="H641" s="1" t="s">
        <v>21</v>
      </c>
      <c r="I641" s="1" t="s">
        <v>48</v>
      </c>
      <c r="J641" s="1" t="s">
        <v>17</v>
      </c>
      <c r="K641" s="9">
        <v>0.1</v>
      </c>
    </row>
    <row r="642" spans="1:11" x14ac:dyDescent="0.3">
      <c r="A642" s="12">
        <v>45430</v>
      </c>
      <c r="B642" s="1" t="s">
        <v>107</v>
      </c>
      <c r="C642" s="1" t="s">
        <v>31</v>
      </c>
      <c r="D642" s="1" t="s">
        <v>71</v>
      </c>
      <c r="E642" s="7">
        <v>24301</v>
      </c>
      <c r="F642" s="1" t="s">
        <v>68</v>
      </c>
      <c r="G642" s="1">
        <v>172</v>
      </c>
      <c r="H642" s="1" t="s">
        <v>59</v>
      </c>
      <c r="I642" s="1" t="s">
        <v>52</v>
      </c>
      <c r="J642" s="1" t="s">
        <v>17</v>
      </c>
      <c r="K642" s="9">
        <v>0.1</v>
      </c>
    </row>
    <row r="643" spans="1:11" x14ac:dyDescent="0.3">
      <c r="A643" s="12">
        <v>45431</v>
      </c>
      <c r="B643" s="1" t="s">
        <v>534</v>
      </c>
      <c r="C643" s="1" t="s">
        <v>550</v>
      </c>
      <c r="D643" s="1" t="s">
        <v>13</v>
      </c>
      <c r="E643" s="7">
        <v>33394</v>
      </c>
      <c r="F643" s="1" t="s">
        <v>14</v>
      </c>
      <c r="G643" s="1">
        <v>166</v>
      </c>
      <c r="H643" s="1" t="s">
        <v>65</v>
      </c>
      <c r="I643" s="1" t="s">
        <v>52</v>
      </c>
      <c r="J643" s="1" t="s">
        <v>17</v>
      </c>
      <c r="K643" s="9">
        <v>0.1</v>
      </c>
    </row>
    <row r="644" spans="1:11" x14ac:dyDescent="0.3">
      <c r="A644" s="12">
        <v>45431</v>
      </c>
      <c r="B644" s="1" t="s">
        <v>676</v>
      </c>
      <c r="C644" s="1" t="s">
        <v>249</v>
      </c>
      <c r="D644" s="1" t="s">
        <v>71</v>
      </c>
      <c r="E644" s="7">
        <v>20540</v>
      </c>
      <c r="F644" s="1" t="s">
        <v>14</v>
      </c>
      <c r="G644" s="1">
        <v>161</v>
      </c>
      <c r="H644" s="1" t="s">
        <v>42</v>
      </c>
      <c r="I644" s="1" t="s">
        <v>43</v>
      </c>
      <c r="J644" s="1" t="s">
        <v>17</v>
      </c>
      <c r="K644" s="9">
        <v>0.1</v>
      </c>
    </row>
    <row r="645" spans="1:11" x14ac:dyDescent="0.3">
      <c r="A645" s="12">
        <v>45431</v>
      </c>
      <c r="B645" s="1" t="s">
        <v>763</v>
      </c>
      <c r="C645" s="1" t="s">
        <v>764</v>
      </c>
      <c r="D645" s="1" t="s">
        <v>13</v>
      </c>
      <c r="E645" s="7">
        <v>27349</v>
      </c>
      <c r="F645" s="1" t="s">
        <v>68</v>
      </c>
      <c r="G645" s="1">
        <v>37</v>
      </c>
      <c r="H645" s="1" t="s">
        <v>47</v>
      </c>
      <c r="I645" s="1" t="s">
        <v>28</v>
      </c>
      <c r="J645" s="1" t="s">
        <v>17</v>
      </c>
      <c r="K645" s="9">
        <v>0.1</v>
      </c>
    </row>
    <row r="646" spans="1:11" x14ac:dyDescent="0.3">
      <c r="A646" s="12">
        <v>45431</v>
      </c>
      <c r="B646" s="1" t="s">
        <v>771</v>
      </c>
      <c r="C646" s="1" t="s">
        <v>415</v>
      </c>
      <c r="D646" s="1" t="s">
        <v>13</v>
      </c>
      <c r="E646" s="7">
        <v>32896</v>
      </c>
      <c r="F646" s="1" t="s">
        <v>68</v>
      </c>
      <c r="G646" s="1">
        <v>139</v>
      </c>
      <c r="H646" s="1" t="s">
        <v>64</v>
      </c>
      <c r="I646" s="1" t="s">
        <v>52</v>
      </c>
      <c r="J646" s="1" t="s">
        <v>17</v>
      </c>
      <c r="K646" s="9">
        <v>0.1</v>
      </c>
    </row>
    <row r="647" spans="1:11" x14ac:dyDescent="0.3">
      <c r="A647" s="12">
        <v>45431</v>
      </c>
      <c r="B647" s="1" t="s">
        <v>429</v>
      </c>
      <c r="C647" s="1" t="s">
        <v>787</v>
      </c>
      <c r="D647" s="1" t="s">
        <v>26</v>
      </c>
      <c r="E647" s="7">
        <v>35558</v>
      </c>
      <c r="F647" s="1" t="s">
        <v>14</v>
      </c>
      <c r="G647" s="1">
        <v>241</v>
      </c>
      <c r="H647" s="1" t="s">
        <v>34</v>
      </c>
      <c r="I647" s="1" t="s">
        <v>28</v>
      </c>
      <c r="J647" s="1" t="s">
        <v>17</v>
      </c>
      <c r="K647" s="9">
        <v>0.1</v>
      </c>
    </row>
    <row r="648" spans="1:11" x14ac:dyDescent="0.3">
      <c r="A648" s="12">
        <v>45431</v>
      </c>
      <c r="B648" s="1" t="s">
        <v>855</v>
      </c>
      <c r="C648" s="1" t="s">
        <v>347</v>
      </c>
      <c r="D648" s="1" t="s">
        <v>83</v>
      </c>
      <c r="E648" s="7">
        <v>29610</v>
      </c>
      <c r="F648" s="1" t="s">
        <v>68</v>
      </c>
      <c r="G648" s="1">
        <v>382</v>
      </c>
      <c r="H648" s="1" t="s">
        <v>47</v>
      </c>
      <c r="I648" s="1" t="s">
        <v>28</v>
      </c>
      <c r="J648" s="1" t="s">
        <v>17</v>
      </c>
      <c r="K648" s="9">
        <v>0.1</v>
      </c>
    </row>
    <row r="649" spans="1:11" x14ac:dyDescent="0.3">
      <c r="A649" s="12">
        <v>45432</v>
      </c>
      <c r="B649" s="1" t="s">
        <v>36</v>
      </c>
      <c r="C649" s="1" t="s">
        <v>37</v>
      </c>
      <c r="D649" s="1" t="s">
        <v>38</v>
      </c>
      <c r="E649" s="7">
        <v>19682</v>
      </c>
      <c r="F649" s="1" t="s">
        <v>20</v>
      </c>
      <c r="G649" s="1">
        <v>475</v>
      </c>
      <c r="H649" s="1" t="s">
        <v>15</v>
      </c>
      <c r="I649" s="1" t="s">
        <v>39</v>
      </c>
      <c r="J649" s="1" t="s">
        <v>23</v>
      </c>
      <c r="K649" s="9">
        <v>0.1</v>
      </c>
    </row>
    <row r="650" spans="1:11" x14ac:dyDescent="0.3">
      <c r="A650" s="12">
        <v>45432</v>
      </c>
      <c r="B650" s="1" t="s">
        <v>24</v>
      </c>
      <c r="C650" s="1" t="s">
        <v>25</v>
      </c>
      <c r="D650" s="1" t="s">
        <v>26</v>
      </c>
      <c r="E650" s="7">
        <v>37513</v>
      </c>
      <c r="F650" s="1" t="s">
        <v>14</v>
      </c>
      <c r="G650" s="1">
        <v>174</v>
      </c>
      <c r="H650" s="1" t="s">
        <v>42</v>
      </c>
      <c r="I650" s="1" t="s">
        <v>48</v>
      </c>
      <c r="J650" s="1" t="s">
        <v>29</v>
      </c>
      <c r="K650" s="9">
        <v>0.1</v>
      </c>
    </row>
    <row r="651" spans="1:11" x14ac:dyDescent="0.3">
      <c r="A651" s="12">
        <v>45432</v>
      </c>
      <c r="B651" s="1" t="s">
        <v>24</v>
      </c>
      <c r="C651" s="1" t="s">
        <v>249</v>
      </c>
      <c r="D651" s="1" t="s">
        <v>94</v>
      </c>
      <c r="E651" s="7">
        <v>34172</v>
      </c>
      <c r="F651" s="1" t="s">
        <v>14</v>
      </c>
      <c r="G651" s="1">
        <v>451</v>
      </c>
      <c r="H651" s="1" t="s">
        <v>65</v>
      </c>
      <c r="I651" s="1" t="s">
        <v>52</v>
      </c>
      <c r="J651" s="1" t="s">
        <v>17</v>
      </c>
      <c r="K651" s="9">
        <v>0.1</v>
      </c>
    </row>
    <row r="652" spans="1:11" x14ac:dyDescent="0.3">
      <c r="A652" s="12">
        <v>45432</v>
      </c>
      <c r="B652" s="1" t="s">
        <v>597</v>
      </c>
      <c r="C652" s="1" t="s">
        <v>492</v>
      </c>
      <c r="D652" s="1" t="s">
        <v>55</v>
      </c>
      <c r="E652" s="7">
        <v>29657</v>
      </c>
      <c r="F652" s="1" t="s">
        <v>68</v>
      </c>
      <c r="G652" s="1">
        <v>91</v>
      </c>
      <c r="H652" s="1" t="s">
        <v>64</v>
      </c>
      <c r="I652" s="1" t="s">
        <v>48</v>
      </c>
      <c r="J652" s="1" t="s">
        <v>17</v>
      </c>
      <c r="K652" s="9">
        <v>0.1</v>
      </c>
    </row>
    <row r="653" spans="1:11" x14ac:dyDescent="0.3">
      <c r="A653" s="12">
        <v>45432</v>
      </c>
      <c r="B653" s="1" t="s">
        <v>332</v>
      </c>
      <c r="C653" s="1" t="s">
        <v>761</v>
      </c>
      <c r="D653" s="1" t="s">
        <v>51</v>
      </c>
      <c r="E653" s="7">
        <v>31378</v>
      </c>
      <c r="F653" s="1" t="s">
        <v>33</v>
      </c>
      <c r="G653" s="1">
        <v>348</v>
      </c>
      <c r="H653" s="1" t="s">
        <v>34</v>
      </c>
      <c r="I653" s="1" t="s">
        <v>52</v>
      </c>
      <c r="J653" s="1" t="s">
        <v>17</v>
      </c>
      <c r="K653" s="9">
        <v>0.1</v>
      </c>
    </row>
    <row r="654" spans="1:11" x14ac:dyDescent="0.3">
      <c r="A654" s="12">
        <v>45432</v>
      </c>
      <c r="B654" s="1" t="s">
        <v>786</v>
      </c>
      <c r="C654" s="1" t="s">
        <v>31</v>
      </c>
      <c r="D654" s="1" t="s">
        <v>26</v>
      </c>
      <c r="E654" s="7">
        <v>18640</v>
      </c>
      <c r="F654" s="1" t="s">
        <v>33</v>
      </c>
      <c r="G654" s="1">
        <v>389</v>
      </c>
      <c r="H654" s="1" t="s">
        <v>27</v>
      </c>
      <c r="I654" s="1" t="s">
        <v>52</v>
      </c>
      <c r="J654" s="1" t="s">
        <v>17</v>
      </c>
      <c r="K654" s="9">
        <v>0.1</v>
      </c>
    </row>
    <row r="655" spans="1:11" x14ac:dyDescent="0.3">
      <c r="A655" s="12">
        <v>45432</v>
      </c>
      <c r="B655" s="1" t="s">
        <v>201</v>
      </c>
      <c r="C655" s="1" t="s">
        <v>25</v>
      </c>
      <c r="D655" s="1" t="s">
        <v>94</v>
      </c>
      <c r="E655" s="7">
        <v>22264</v>
      </c>
      <c r="F655" s="1" t="s">
        <v>14</v>
      </c>
      <c r="G655" s="1">
        <v>187</v>
      </c>
      <c r="H655" s="1" t="s">
        <v>42</v>
      </c>
      <c r="I655" s="1" t="s">
        <v>39</v>
      </c>
      <c r="J655" s="1" t="s">
        <v>17</v>
      </c>
      <c r="K655" s="9">
        <v>0.1</v>
      </c>
    </row>
    <row r="656" spans="1:11" x14ac:dyDescent="0.3">
      <c r="A656" s="12">
        <v>45432</v>
      </c>
      <c r="B656" s="1" t="s">
        <v>502</v>
      </c>
      <c r="C656" s="1" t="s">
        <v>854</v>
      </c>
      <c r="D656" s="1" t="s">
        <v>51</v>
      </c>
      <c r="E656" s="7">
        <v>21218</v>
      </c>
      <c r="F656" s="1" t="s">
        <v>20</v>
      </c>
      <c r="G656" s="1">
        <v>200</v>
      </c>
      <c r="H656" s="1" t="s">
        <v>42</v>
      </c>
      <c r="I656" s="1" t="s">
        <v>43</v>
      </c>
      <c r="J656" s="1" t="s">
        <v>17</v>
      </c>
      <c r="K656" s="9">
        <v>0.1</v>
      </c>
    </row>
    <row r="657" spans="1:11" x14ac:dyDescent="0.3">
      <c r="A657" s="12">
        <v>45433</v>
      </c>
      <c r="B657" s="1" t="s">
        <v>310</v>
      </c>
      <c r="C657" s="1" t="s">
        <v>223</v>
      </c>
      <c r="D657" s="1" t="s">
        <v>94</v>
      </c>
      <c r="E657" s="7">
        <v>18575</v>
      </c>
      <c r="F657" s="1" t="s">
        <v>33</v>
      </c>
      <c r="G657" s="1">
        <v>417</v>
      </c>
      <c r="H657" s="1" t="s">
        <v>64</v>
      </c>
      <c r="I657" s="1" t="s">
        <v>43</v>
      </c>
      <c r="J657" s="1" t="s">
        <v>29</v>
      </c>
      <c r="K657" s="9">
        <v>0.1</v>
      </c>
    </row>
    <row r="658" spans="1:11" x14ac:dyDescent="0.3">
      <c r="A658" s="12">
        <v>45433</v>
      </c>
      <c r="B658" s="1" t="s">
        <v>383</v>
      </c>
      <c r="C658" s="1" t="s">
        <v>444</v>
      </c>
      <c r="D658" s="1" t="s">
        <v>51</v>
      </c>
      <c r="E658" s="7">
        <v>31932</v>
      </c>
      <c r="F658" s="1" t="s">
        <v>33</v>
      </c>
      <c r="G658" s="1">
        <v>315</v>
      </c>
      <c r="H658" s="1" t="s">
        <v>42</v>
      </c>
      <c r="I658" s="1" t="s">
        <v>48</v>
      </c>
      <c r="J658" s="1" t="s">
        <v>17</v>
      </c>
      <c r="K658" s="9">
        <v>0.1</v>
      </c>
    </row>
    <row r="659" spans="1:11" x14ac:dyDescent="0.3">
      <c r="A659" s="12">
        <v>45433</v>
      </c>
      <c r="B659" s="1" t="s">
        <v>294</v>
      </c>
      <c r="C659" s="1" t="s">
        <v>342</v>
      </c>
      <c r="D659" s="1" t="s">
        <v>55</v>
      </c>
      <c r="E659" s="7">
        <v>34958</v>
      </c>
      <c r="F659" s="1" t="s">
        <v>68</v>
      </c>
      <c r="G659" s="1">
        <v>285</v>
      </c>
      <c r="H659" s="1" t="s">
        <v>27</v>
      </c>
      <c r="I659" s="1" t="s">
        <v>39</v>
      </c>
      <c r="J659" s="1" t="s">
        <v>17</v>
      </c>
      <c r="K659" s="9">
        <v>0.1</v>
      </c>
    </row>
    <row r="660" spans="1:11" x14ac:dyDescent="0.3">
      <c r="A660" s="12">
        <v>45433</v>
      </c>
      <c r="B660" s="1" t="s">
        <v>265</v>
      </c>
      <c r="C660" s="1" t="s">
        <v>329</v>
      </c>
      <c r="D660" s="1" t="s">
        <v>55</v>
      </c>
      <c r="E660" s="7">
        <v>21963</v>
      </c>
      <c r="F660" s="1" t="s">
        <v>14</v>
      </c>
      <c r="G660" s="1">
        <v>233</v>
      </c>
      <c r="H660" s="1" t="s">
        <v>65</v>
      </c>
      <c r="I660" s="1" t="s">
        <v>28</v>
      </c>
      <c r="J660" s="1" t="s">
        <v>17</v>
      </c>
      <c r="K660" s="9">
        <v>0.1</v>
      </c>
    </row>
    <row r="661" spans="1:11" x14ac:dyDescent="0.3">
      <c r="A661" s="12">
        <v>45433</v>
      </c>
      <c r="B661" s="1" t="s">
        <v>381</v>
      </c>
      <c r="C661" s="1" t="s">
        <v>264</v>
      </c>
      <c r="D661" s="1" t="s">
        <v>26</v>
      </c>
      <c r="E661" s="7">
        <v>33202</v>
      </c>
      <c r="F661" s="1" t="s">
        <v>14</v>
      </c>
      <c r="G661" s="1">
        <v>279</v>
      </c>
      <c r="H661" s="1" t="s">
        <v>65</v>
      </c>
      <c r="I661" s="1" t="s">
        <v>52</v>
      </c>
      <c r="J661" s="1" t="s">
        <v>17</v>
      </c>
      <c r="K661" s="9">
        <v>0.1</v>
      </c>
    </row>
    <row r="662" spans="1:11" x14ac:dyDescent="0.3">
      <c r="A662" s="12">
        <v>45433</v>
      </c>
      <c r="B662" s="1" t="s">
        <v>819</v>
      </c>
      <c r="C662" s="1" t="s">
        <v>820</v>
      </c>
      <c r="D662" s="1" t="s">
        <v>78</v>
      </c>
      <c r="E662" s="7">
        <v>22646</v>
      </c>
      <c r="F662" s="1" t="s">
        <v>68</v>
      </c>
      <c r="G662" s="1">
        <v>107</v>
      </c>
      <c r="H662" s="1" t="s">
        <v>42</v>
      </c>
      <c r="I662" s="1" t="s">
        <v>43</v>
      </c>
      <c r="J662" s="1" t="s">
        <v>17</v>
      </c>
      <c r="K662" s="9">
        <v>0.1</v>
      </c>
    </row>
    <row r="663" spans="1:11" x14ac:dyDescent="0.3">
      <c r="A663" s="12">
        <v>45433</v>
      </c>
      <c r="B663" s="1" t="s">
        <v>278</v>
      </c>
      <c r="C663" s="1" t="s">
        <v>404</v>
      </c>
      <c r="D663" s="1" t="s">
        <v>46</v>
      </c>
      <c r="E663" s="7">
        <v>21509</v>
      </c>
      <c r="F663" s="1" t="s">
        <v>68</v>
      </c>
      <c r="G663" s="1">
        <v>392</v>
      </c>
      <c r="H663" s="1" t="s">
        <v>47</v>
      </c>
      <c r="I663" s="1" t="s">
        <v>48</v>
      </c>
      <c r="J663" s="1" t="s">
        <v>17</v>
      </c>
      <c r="K663" s="9">
        <v>0.1</v>
      </c>
    </row>
    <row r="664" spans="1:11" x14ac:dyDescent="0.3">
      <c r="A664" s="12">
        <v>45433</v>
      </c>
      <c r="B664" s="1" t="s">
        <v>272</v>
      </c>
      <c r="C664" s="1" t="s">
        <v>287</v>
      </c>
      <c r="D664" s="1" t="s">
        <v>83</v>
      </c>
      <c r="E664" s="7">
        <v>25051</v>
      </c>
      <c r="F664" s="1" t="s">
        <v>33</v>
      </c>
      <c r="G664" s="1">
        <v>409</v>
      </c>
      <c r="H664" s="1" t="s">
        <v>59</v>
      </c>
      <c r="I664" s="1" t="s">
        <v>52</v>
      </c>
      <c r="J664" s="1" t="s">
        <v>17</v>
      </c>
      <c r="K664" s="9">
        <v>0.1</v>
      </c>
    </row>
    <row r="665" spans="1:11" x14ac:dyDescent="0.3">
      <c r="A665" s="12">
        <v>45433</v>
      </c>
      <c r="B665" s="1" t="s">
        <v>883</v>
      </c>
      <c r="C665" s="1" t="s">
        <v>884</v>
      </c>
      <c r="D665" s="1" t="s">
        <v>78</v>
      </c>
      <c r="E665" s="7">
        <v>17357</v>
      </c>
      <c r="F665" s="1" t="s">
        <v>33</v>
      </c>
      <c r="G665" s="1">
        <v>147</v>
      </c>
      <c r="H665" s="1" t="s">
        <v>34</v>
      </c>
      <c r="I665" s="1" t="s">
        <v>52</v>
      </c>
      <c r="J665" s="1" t="s">
        <v>17</v>
      </c>
      <c r="K665" s="9">
        <v>0.1</v>
      </c>
    </row>
    <row r="666" spans="1:11" x14ac:dyDescent="0.3">
      <c r="A666" s="12">
        <v>45433</v>
      </c>
      <c r="B666" s="1" t="s">
        <v>278</v>
      </c>
      <c r="C666" s="1" t="s">
        <v>851</v>
      </c>
      <c r="D666" s="1" t="s">
        <v>71</v>
      </c>
      <c r="E666" s="7">
        <v>37337</v>
      </c>
      <c r="F666" s="1" t="s">
        <v>68</v>
      </c>
      <c r="G666" s="1">
        <v>232</v>
      </c>
      <c r="H666" s="1" t="s">
        <v>65</v>
      </c>
      <c r="I666" s="1" t="s">
        <v>52</v>
      </c>
      <c r="J666" s="1" t="s">
        <v>17</v>
      </c>
      <c r="K666" s="9">
        <v>0.1</v>
      </c>
    </row>
    <row r="667" spans="1:11" x14ac:dyDescent="0.3">
      <c r="A667" s="12">
        <v>45434</v>
      </c>
      <c r="B667" s="1" t="s">
        <v>86</v>
      </c>
      <c r="C667" s="1" t="s">
        <v>285</v>
      </c>
      <c r="D667" s="1" t="s">
        <v>94</v>
      </c>
      <c r="E667" s="7">
        <v>30859</v>
      </c>
      <c r="F667" s="1" t="s">
        <v>33</v>
      </c>
      <c r="G667" s="1">
        <v>318</v>
      </c>
      <c r="H667" s="1" t="s">
        <v>64</v>
      </c>
      <c r="I667" s="1" t="s">
        <v>48</v>
      </c>
      <c r="J667" s="1" t="s">
        <v>17</v>
      </c>
      <c r="K667" s="9">
        <v>0.1</v>
      </c>
    </row>
    <row r="668" spans="1:11" x14ac:dyDescent="0.3">
      <c r="A668" s="12">
        <v>45434</v>
      </c>
      <c r="B668" s="1" t="s">
        <v>373</v>
      </c>
      <c r="C668" s="1" t="s">
        <v>424</v>
      </c>
      <c r="D668" s="1" t="s">
        <v>55</v>
      </c>
      <c r="E668" s="7">
        <v>37809</v>
      </c>
      <c r="F668" s="1" t="s">
        <v>68</v>
      </c>
      <c r="G668" s="1">
        <v>62</v>
      </c>
      <c r="H668" s="1" t="s">
        <v>27</v>
      </c>
      <c r="I668" s="1" t="s">
        <v>43</v>
      </c>
      <c r="J668" s="1" t="s">
        <v>17</v>
      </c>
      <c r="K668" s="9">
        <v>0.1</v>
      </c>
    </row>
    <row r="669" spans="1:11" x14ac:dyDescent="0.3">
      <c r="A669" s="12">
        <v>45434</v>
      </c>
      <c r="B669" s="1" t="s">
        <v>24</v>
      </c>
      <c r="C669" s="1" t="s">
        <v>624</v>
      </c>
      <c r="D669" s="1" t="s">
        <v>78</v>
      </c>
      <c r="E669" s="7">
        <v>30864</v>
      </c>
      <c r="F669" s="1" t="s">
        <v>68</v>
      </c>
      <c r="G669" s="1">
        <v>339</v>
      </c>
      <c r="H669" s="1" t="s">
        <v>42</v>
      </c>
      <c r="I669" s="1" t="s">
        <v>52</v>
      </c>
      <c r="J669" s="1" t="s">
        <v>17</v>
      </c>
      <c r="K669" s="9">
        <v>0.1</v>
      </c>
    </row>
    <row r="670" spans="1:11" x14ac:dyDescent="0.3">
      <c r="A670" s="12">
        <v>45434</v>
      </c>
      <c r="B670" s="1" t="s">
        <v>161</v>
      </c>
      <c r="C670" s="1" t="s">
        <v>842</v>
      </c>
      <c r="D670" s="1" t="s">
        <v>51</v>
      </c>
      <c r="E670" s="7">
        <v>37012</v>
      </c>
      <c r="F670" s="1" t="s">
        <v>68</v>
      </c>
      <c r="G670" s="1">
        <v>138</v>
      </c>
      <c r="H670" s="1" t="s">
        <v>59</v>
      </c>
      <c r="I670" s="1" t="s">
        <v>48</v>
      </c>
      <c r="J670" s="1" t="s">
        <v>17</v>
      </c>
      <c r="K670" s="9">
        <v>0.1</v>
      </c>
    </row>
    <row r="671" spans="1:11" x14ac:dyDescent="0.3">
      <c r="A671" s="12">
        <v>45434</v>
      </c>
      <c r="B671" s="1" t="s">
        <v>296</v>
      </c>
      <c r="C671" s="1" t="s">
        <v>648</v>
      </c>
      <c r="D671" s="1" t="s">
        <v>71</v>
      </c>
      <c r="E671" s="7">
        <v>29997</v>
      </c>
      <c r="F671" s="1" t="s">
        <v>20</v>
      </c>
      <c r="G671" s="1">
        <v>152</v>
      </c>
      <c r="H671" s="1" t="s">
        <v>65</v>
      </c>
      <c r="I671" s="1" t="s">
        <v>48</v>
      </c>
      <c r="J671" s="1" t="s">
        <v>17</v>
      </c>
      <c r="K671" s="9">
        <v>0.1</v>
      </c>
    </row>
    <row r="672" spans="1:11" x14ac:dyDescent="0.3">
      <c r="A672" s="12">
        <v>45435</v>
      </c>
      <c r="B672" s="1" t="s">
        <v>278</v>
      </c>
      <c r="C672" s="1" t="s">
        <v>433</v>
      </c>
      <c r="D672" s="1" t="s">
        <v>26</v>
      </c>
      <c r="E672" s="7">
        <v>26531</v>
      </c>
      <c r="F672" s="1" t="s">
        <v>20</v>
      </c>
      <c r="G672" s="1">
        <v>213</v>
      </c>
      <c r="H672" s="1" t="s">
        <v>34</v>
      </c>
      <c r="I672" s="1" t="s">
        <v>35</v>
      </c>
      <c r="J672" s="1" t="s">
        <v>17</v>
      </c>
      <c r="K672" s="9">
        <v>0.1</v>
      </c>
    </row>
    <row r="673" spans="1:11" x14ac:dyDescent="0.3">
      <c r="A673" s="12">
        <v>45435</v>
      </c>
      <c r="B673" s="1" t="s">
        <v>706</v>
      </c>
      <c r="C673" s="1" t="s">
        <v>402</v>
      </c>
      <c r="D673" s="1" t="s">
        <v>51</v>
      </c>
      <c r="E673" s="7">
        <v>27394</v>
      </c>
      <c r="F673" s="1" t="s">
        <v>68</v>
      </c>
      <c r="G673" s="1">
        <v>34</v>
      </c>
      <c r="H673" s="1" t="s">
        <v>59</v>
      </c>
      <c r="I673" s="1" t="s">
        <v>52</v>
      </c>
      <c r="J673" s="1" t="s">
        <v>17</v>
      </c>
      <c r="K673" s="9">
        <v>0.1</v>
      </c>
    </row>
    <row r="674" spans="1:11" x14ac:dyDescent="0.3">
      <c r="A674" s="12">
        <v>45435</v>
      </c>
      <c r="B674" s="1" t="s">
        <v>136</v>
      </c>
      <c r="C674" s="1" t="s">
        <v>488</v>
      </c>
      <c r="D674" s="1" t="s">
        <v>78</v>
      </c>
      <c r="E674" s="7">
        <v>36052</v>
      </c>
      <c r="F674" s="1" t="s">
        <v>20</v>
      </c>
      <c r="G674" s="1">
        <v>309</v>
      </c>
      <c r="H674" s="1" t="s">
        <v>65</v>
      </c>
      <c r="I674" s="1" t="s">
        <v>28</v>
      </c>
      <c r="J674" s="1" t="s">
        <v>17</v>
      </c>
      <c r="K674" s="9">
        <v>0.1</v>
      </c>
    </row>
    <row r="675" spans="1:11" x14ac:dyDescent="0.3">
      <c r="A675" s="12">
        <v>45435</v>
      </c>
      <c r="B675" s="1" t="s">
        <v>233</v>
      </c>
      <c r="C675" s="1" t="s">
        <v>867</v>
      </c>
      <c r="D675" s="1" t="s">
        <v>13</v>
      </c>
      <c r="E675" s="7">
        <v>36232</v>
      </c>
      <c r="F675" s="1" t="s">
        <v>33</v>
      </c>
      <c r="G675" s="1">
        <v>339</v>
      </c>
      <c r="H675" s="1" t="s">
        <v>47</v>
      </c>
      <c r="I675" s="1" t="s">
        <v>52</v>
      </c>
      <c r="J675" s="1" t="s">
        <v>17</v>
      </c>
      <c r="K675" s="9">
        <v>0.1</v>
      </c>
    </row>
    <row r="676" spans="1:11" x14ac:dyDescent="0.3">
      <c r="A676" s="12">
        <v>45436</v>
      </c>
      <c r="B676" s="1" t="s">
        <v>358</v>
      </c>
      <c r="C676" s="1" t="s">
        <v>116</v>
      </c>
      <c r="D676" s="1" t="s">
        <v>38</v>
      </c>
      <c r="E676" s="7">
        <v>22338</v>
      </c>
      <c r="F676" s="1" t="s">
        <v>20</v>
      </c>
      <c r="G676" s="1">
        <v>459</v>
      </c>
      <c r="H676" s="1" t="s">
        <v>56</v>
      </c>
      <c r="I676" s="1" t="s">
        <v>48</v>
      </c>
      <c r="J676" s="1" t="s">
        <v>17</v>
      </c>
      <c r="K676" s="9">
        <v>0.1</v>
      </c>
    </row>
    <row r="677" spans="1:11" x14ac:dyDescent="0.3">
      <c r="A677" s="12">
        <v>45436</v>
      </c>
      <c r="B677" s="1" t="s">
        <v>381</v>
      </c>
      <c r="C677" s="1" t="s">
        <v>580</v>
      </c>
      <c r="D677" s="1" t="s">
        <v>46</v>
      </c>
      <c r="E677" s="7">
        <v>20228</v>
      </c>
      <c r="F677" s="1" t="s">
        <v>20</v>
      </c>
      <c r="G677" s="1">
        <v>107</v>
      </c>
      <c r="H677" s="1" t="s">
        <v>15</v>
      </c>
      <c r="I677" s="1" t="s">
        <v>52</v>
      </c>
      <c r="J677" s="1" t="s">
        <v>17</v>
      </c>
      <c r="K677" s="9">
        <v>0.1</v>
      </c>
    </row>
    <row r="678" spans="1:11" x14ac:dyDescent="0.3">
      <c r="A678" s="12">
        <v>45436</v>
      </c>
      <c r="B678" s="1" t="s">
        <v>241</v>
      </c>
      <c r="C678" s="1" t="s">
        <v>826</v>
      </c>
      <c r="D678" s="1" t="s">
        <v>94</v>
      </c>
      <c r="E678" s="7">
        <v>32954</v>
      </c>
      <c r="F678" s="1" t="s">
        <v>68</v>
      </c>
      <c r="G678" s="1">
        <v>454</v>
      </c>
      <c r="H678" s="1" t="s">
        <v>15</v>
      </c>
      <c r="I678" s="1" t="s">
        <v>43</v>
      </c>
      <c r="J678" s="1" t="s">
        <v>17</v>
      </c>
      <c r="K678" s="9">
        <v>0.1</v>
      </c>
    </row>
    <row r="679" spans="1:11" x14ac:dyDescent="0.3">
      <c r="A679" s="12">
        <v>45436</v>
      </c>
      <c r="B679" s="1" t="s">
        <v>107</v>
      </c>
      <c r="C679" s="1" t="s">
        <v>506</v>
      </c>
      <c r="D679" s="1" t="s">
        <v>94</v>
      </c>
      <c r="E679" s="7">
        <v>27601</v>
      </c>
      <c r="F679" s="1" t="s">
        <v>33</v>
      </c>
      <c r="G679" s="1">
        <v>112</v>
      </c>
      <c r="H679" s="1" t="s">
        <v>42</v>
      </c>
      <c r="I679" s="1" t="s">
        <v>52</v>
      </c>
      <c r="J679" s="1" t="s">
        <v>17</v>
      </c>
      <c r="K679" s="9">
        <v>0.1</v>
      </c>
    </row>
    <row r="680" spans="1:11" x14ac:dyDescent="0.3">
      <c r="A680" s="12">
        <v>45437</v>
      </c>
      <c r="B680" s="1" t="s">
        <v>261</v>
      </c>
      <c r="C680" s="1" t="s">
        <v>209</v>
      </c>
      <c r="D680" s="1" t="s">
        <v>38</v>
      </c>
      <c r="E680" s="7">
        <v>34418</v>
      </c>
      <c r="F680" s="1" t="s">
        <v>20</v>
      </c>
      <c r="G680" s="1">
        <v>102</v>
      </c>
      <c r="H680" s="1" t="s">
        <v>21</v>
      </c>
      <c r="I680" s="1" t="s">
        <v>43</v>
      </c>
      <c r="J680" s="1" t="s">
        <v>17</v>
      </c>
      <c r="K680" s="9">
        <v>0.1</v>
      </c>
    </row>
    <row r="681" spans="1:11" x14ac:dyDescent="0.3">
      <c r="A681" s="12">
        <v>45437</v>
      </c>
      <c r="B681" s="1" t="s">
        <v>255</v>
      </c>
      <c r="C681" s="1" t="s">
        <v>573</v>
      </c>
      <c r="D681" s="1" t="s">
        <v>83</v>
      </c>
      <c r="E681" s="7">
        <v>27953</v>
      </c>
      <c r="F681" s="1" t="s">
        <v>68</v>
      </c>
      <c r="G681" s="1">
        <v>93</v>
      </c>
      <c r="H681" s="1" t="s">
        <v>34</v>
      </c>
      <c r="I681" s="1" t="s">
        <v>52</v>
      </c>
      <c r="J681" s="1" t="s">
        <v>17</v>
      </c>
      <c r="K681" s="9">
        <v>0.1</v>
      </c>
    </row>
    <row r="682" spans="1:11" x14ac:dyDescent="0.3">
      <c r="A682" s="12">
        <v>45437</v>
      </c>
      <c r="B682" s="1" t="s">
        <v>744</v>
      </c>
      <c r="C682" s="1" t="s">
        <v>745</v>
      </c>
      <c r="D682" s="1" t="s">
        <v>46</v>
      </c>
      <c r="E682" s="7">
        <v>18520</v>
      </c>
      <c r="F682" s="1" t="s">
        <v>14</v>
      </c>
      <c r="G682" s="1">
        <v>125</v>
      </c>
      <c r="H682" s="1" t="s">
        <v>42</v>
      </c>
      <c r="I682" s="1" t="s">
        <v>39</v>
      </c>
      <c r="J682" s="1" t="s">
        <v>17</v>
      </c>
      <c r="K682" s="9">
        <v>0.1</v>
      </c>
    </row>
    <row r="683" spans="1:11" x14ac:dyDescent="0.3">
      <c r="A683" s="12">
        <v>45437</v>
      </c>
      <c r="B683" s="1" t="s">
        <v>318</v>
      </c>
      <c r="C683" s="1" t="s">
        <v>824</v>
      </c>
      <c r="D683" s="1" t="s">
        <v>55</v>
      </c>
      <c r="E683" s="7">
        <v>23847</v>
      </c>
      <c r="F683" s="1" t="s">
        <v>68</v>
      </c>
      <c r="G683" s="1">
        <v>161</v>
      </c>
      <c r="H683" s="1" t="s">
        <v>64</v>
      </c>
      <c r="I683" s="1" t="s">
        <v>39</v>
      </c>
      <c r="J683" s="1" t="s">
        <v>17</v>
      </c>
      <c r="K683" s="9">
        <v>0.1</v>
      </c>
    </row>
    <row r="684" spans="1:11" x14ac:dyDescent="0.3">
      <c r="A684" s="12">
        <v>45438</v>
      </c>
      <c r="B684" s="1" t="s">
        <v>149</v>
      </c>
      <c r="C684" s="1" t="s">
        <v>150</v>
      </c>
      <c r="D684" s="1" t="s">
        <v>13</v>
      </c>
      <c r="E684" s="7">
        <v>36821</v>
      </c>
      <c r="F684" s="1" t="s">
        <v>14</v>
      </c>
      <c r="G684" s="1">
        <v>437</v>
      </c>
      <c r="H684" s="1" t="s">
        <v>59</v>
      </c>
      <c r="I684" s="1" t="s">
        <v>48</v>
      </c>
      <c r="J684" s="1" t="s">
        <v>29</v>
      </c>
      <c r="K684" s="9">
        <v>0.1</v>
      </c>
    </row>
    <row r="685" spans="1:11" x14ac:dyDescent="0.3">
      <c r="A685" s="12">
        <v>45438</v>
      </c>
      <c r="B685" s="1" t="s">
        <v>186</v>
      </c>
      <c r="C685" s="1" t="s">
        <v>168</v>
      </c>
      <c r="D685" s="1" t="s">
        <v>26</v>
      </c>
      <c r="E685" s="7">
        <v>31476</v>
      </c>
      <c r="F685" s="1" t="s">
        <v>14</v>
      </c>
      <c r="G685" s="1">
        <v>178</v>
      </c>
      <c r="H685" s="1" t="s">
        <v>47</v>
      </c>
      <c r="I685" s="1" t="s">
        <v>52</v>
      </c>
      <c r="J685" s="1" t="s">
        <v>17</v>
      </c>
      <c r="K685" s="9">
        <v>0.1</v>
      </c>
    </row>
    <row r="686" spans="1:11" x14ac:dyDescent="0.3">
      <c r="A686" s="12">
        <v>45438</v>
      </c>
      <c r="B686" s="1" t="s">
        <v>413</v>
      </c>
      <c r="C686" s="1" t="s">
        <v>110</v>
      </c>
      <c r="D686" s="1" t="s">
        <v>71</v>
      </c>
      <c r="E686" s="7">
        <v>35346</v>
      </c>
      <c r="F686" s="1" t="s">
        <v>14</v>
      </c>
      <c r="G686" s="1">
        <v>219</v>
      </c>
      <c r="H686" s="1" t="s">
        <v>59</v>
      </c>
      <c r="I686" s="1" t="s">
        <v>48</v>
      </c>
      <c r="J686" s="1" t="s">
        <v>17</v>
      </c>
      <c r="K686" s="9">
        <v>0.1</v>
      </c>
    </row>
    <row r="687" spans="1:11" x14ac:dyDescent="0.3">
      <c r="A687" s="12">
        <v>45438</v>
      </c>
      <c r="B687" s="1" t="s">
        <v>167</v>
      </c>
      <c r="C687" s="1" t="s">
        <v>87</v>
      </c>
      <c r="D687" s="1" t="s">
        <v>83</v>
      </c>
      <c r="E687" s="7">
        <v>27171</v>
      </c>
      <c r="F687" s="1" t="s">
        <v>68</v>
      </c>
      <c r="G687" s="1">
        <v>349</v>
      </c>
      <c r="H687" s="1" t="s">
        <v>27</v>
      </c>
      <c r="I687" s="1" t="s">
        <v>52</v>
      </c>
      <c r="J687" s="1" t="s">
        <v>17</v>
      </c>
      <c r="K687" s="9">
        <v>0.1</v>
      </c>
    </row>
    <row r="688" spans="1:11" x14ac:dyDescent="0.3">
      <c r="A688" s="12">
        <v>45438</v>
      </c>
      <c r="B688" s="1" t="s">
        <v>571</v>
      </c>
      <c r="C688" s="1" t="s">
        <v>572</v>
      </c>
      <c r="D688" s="1" t="s">
        <v>51</v>
      </c>
      <c r="E688" s="7">
        <v>16505</v>
      </c>
      <c r="F688" s="1" t="s">
        <v>68</v>
      </c>
      <c r="G688" s="1">
        <v>40</v>
      </c>
      <c r="H688" s="1" t="s">
        <v>59</v>
      </c>
      <c r="I688" s="1" t="s">
        <v>52</v>
      </c>
      <c r="J688" s="1" t="s">
        <v>17</v>
      </c>
      <c r="K688" s="9">
        <v>0.1</v>
      </c>
    </row>
    <row r="689" spans="1:11" x14ac:dyDescent="0.3">
      <c r="A689" s="12">
        <v>45438</v>
      </c>
      <c r="B689" s="1" t="s">
        <v>779</v>
      </c>
      <c r="C689" s="1" t="s">
        <v>780</v>
      </c>
      <c r="D689" s="1" t="s">
        <v>13</v>
      </c>
      <c r="E689" s="7">
        <v>26428</v>
      </c>
      <c r="F689" s="1" t="s">
        <v>68</v>
      </c>
      <c r="G689" s="1">
        <v>233</v>
      </c>
      <c r="H689" s="1" t="s">
        <v>47</v>
      </c>
      <c r="I689" s="1" t="s">
        <v>39</v>
      </c>
      <c r="J689" s="1" t="s">
        <v>17</v>
      </c>
      <c r="K689" s="9">
        <v>0.1</v>
      </c>
    </row>
    <row r="690" spans="1:11" x14ac:dyDescent="0.3">
      <c r="A690" s="12">
        <v>45438</v>
      </c>
      <c r="B690" s="1" t="s">
        <v>195</v>
      </c>
      <c r="C690" s="1" t="s">
        <v>806</v>
      </c>
      <c r="D690" s="1" t="s">
        <v>71</v>
      </c>
      <c r="E690" s="7">
        <v>38341</v>
      </c>
      <c r="F690" s="1" t="s">
        <v>68</v>
      </c>
      <c r="G690" s="1">
        <v>484</v>
      </c>
      <c r="H690" s="1" t="s">
        <v>59</v>
      </c>
      <c r="I690" s="1" t="s">
        <v>52</v>
      </c>
      <c r="J690" s="1" t="s">
        <v>17</v>
      </c>
      <c r="K690" s="9">
        <v>0.1</v>
      </c>
    </row>
    <row r="691" spans="1:11" x14ac:dyDescent="0.3">
      <c r="A691" s="12">
        <v>45439</v>
      </c>
      <c r="B691" s="1" t="s">
        <v>151</v>
      </c>
      <c r="C691" s="1" t="s">
        <v>202</v>
      </c>
      <c r="D691" s="1" t="s">
        <v>38</v>
      </c>
      <c r="E691" s="7">
        <v>15967</v>
      </c>
      <c r="F691" s="1" t="s">
        <v>20</v>
      </c>
      <c r="G691" s="1">
        <v>464</v>
      </c>
      <c r="H691" s="1" t="s">
        <v>56</v>
      </c>
      <c r="I691" s="1" t="s">
        <v>48</v>
      </c>
      <c r="J691" s="1" t="s">
        <v>17</v>
      </c>
      <c r="K691" s="9">
        <v>0.1</v>
      </c>
    </row>
    <row r="692" spans="1:11" x14ac:dyDescent="0.3">
      <c r="A692" s="12">
        <v>45439</v>
      </c>
      <c r="B692" s="1" t="s">
        <v>268</v>
      </c>
      <c r="C692" s="1" t="s">
        <v>254</v>
      </c>
      <c r="D692" s="1" t="s">
        <v>71</v>
      </c>
      <c r="E692" s="7">
        <v>37779</v>
      </c>
      <c r="F692" s="1" t="s">
        <v>14</v>
      </c>
      <c r="G692" s="1">
        <v>463</v>
      </c>
      <c r="H692" s="1" t="s">
        <v>21</v>
      </c>
      <c r="I692" s="1" t="s">
        <v>48</v>
      </c>
      <c r="J692" s="1" t="s">
        <v>17</v>
      </c>
      <c r="K692" s="9">
        <v>0.1</v>
      </c>
    </row>
    <row r="693" spans="1:11" x14ac:dyDescent="0.3">
      <c r="A693" s="12">
        <v>45439</v>
      </c>
      <c r="B693" s="1" t="s">
        <v>338</v>
      </c>
      <c r="C693" s="1" t="s">
        <v>150</v>
      </c>
      <c r="D693" s="1" t="s">
        <v>55</v>
      </c>
      <c r="E693" s="7">
        <v>34842</v>
      </c>
      <c r="F693" s="1" t="s">
        <v>68</v>
      </c>
      <c r="G693" s="1">
        <v>73</v>
      </c>
      <c r="H693" s="1" t="s">
        <v>59</v>
      </c>
      <c r="I693" s="1" t="s">
        <v>48</v>
      </c>
      <c r="J693" s="1" t="s">
        <v>17</v>
      </c>
      <c r="K693" s="9">
        <v>0.1</v>
      </c>
    </row>
    <row r="694" spans="1:11" x14ac:dyDescent="0.3">
      <c r="A694" s="12">
        <v>45439</v>
      </c>
      <c r="B694" s="1" t="s">
        <v>774</v>
      </c>
      <c r="C694" s="1" t="s">
        <v>162</v>
      </c>
      <c r="D694" s="1" t="s">
        <v>51</v>
      </c>
      <c r="E694" s="7">
        <v>29248</v>
      </c>
      <c r="F694" s="1" t="s">
        <v>68</v>
      </c>
      <c r="G694" s="1">
        <v>315</v>
      </c>
      <c r="H694" s="1" t="s">
        <v>65</v>
      </c>
      <c r="I694" s="1" t="s">
        <v>35</v>
      </c>
      <c r="J694" s="1" t="s">
        <v>17</v>
      </c>
      <c r="K694" s="9">
        <v>0.1</v>
      </c>
    </row>
    <row r="695" spans="1:11" x14ac:dyDescent="0.3">
      <c r="A695" s="12">
        <v>45439</v>
      </c>
      <c r="B695" s="1" t="s">
        <v>467</v>
      </c>
      <c r="C695" s="1" t="s">
        <v>430</v>
      </c>
      <c r="D695" s="1" t="s">
        <v>26</v>
      </c>
      <c r="E695" s="7">
        <v>20969</v>
      </c>
      <c r="F695" s="1" t="s">
        <v>14</v>
      </c>
      <c r="G695" s="1">
        <v>138</v>
      </c>
      <c r="H695" s="1" t="s">
        <v>42</v>
      </c>
      <c r="I695" s="1" t="s">
        <v>28</v>
      </c>
      <c r="J695" s="1" t="s">
        <v>17</v>
      </c>
      <c r="K695" s="9">
        <v>0.1</v>
      </c>
    </row>
    <row r="696" spans="1:11" x14ac:dyDescent="0.3">
      <c r="A696" s="12">
        <v>45439</v>
      </c>
      <c r="B696" s="1" t="s">
        <v>221</v>
      </c>
      <c r="C696" s="1" t="s">
        <v>832</v>
      </c>
      <c r="D696" s="1" t="s">
        <v>46</v>
      </c>
      <c r="E696" s="7">
        <v>17823</v>
      </c>
      <c r="F696" s="1" t="s">
        <v>14</v>
      </c>
      <c r="G696" s="1">
        <v>353</v>
      </c>
      <c r="H696" s="1" t="s">
        <v>56</v>
      </c>
      <c r="I696" s="1" t="s">
        <v>28</v>
      </c>
      <c r="J696" s="1" t="s">
        <v>17</v>
      </c>
      <c r="K696" s="9">
        <v>0.1</v>
      </c>
    </row>
    <row r="697" spans="1:11" x14ac:dyDescent="0.3">
      <c r="A697" s="12">
        <v>45440</v>
      </c>
      <c r="B697" s="1" t="s">
        <v>395</v>
      </c>
      <c r="C697" s="1" t="s">
        <v>391</v>
      </c>
      <c r="D697" s="1" t="s">
        <v>55</v>
      </c>
      <c r="E697" s="7">
        <v>33351</v>
      </c>
      <c r="F697" s="1" t="s">
        <v>14</v>
      </c>
      <c r="G697" s="1">
        <v>149</v>
      </c>
      <c r="H697" s="1" t="s">
        <v>64</v>
      </c>
      <c r="I697" s="1" t="s">
        <v>43</v>
      </c>
      <c r="J697" s="1" t="s">
        <v>17</v>
      </c>
      <c r="K697" s="9">
        <v>0.1</v>
      </c>
    </row>
    <row r="698" spans="1:11" x14ac:dyDescent="0.3">
      <c r="A698" s="12">
        <v>45441</v>
      </c>
      <c r="B698" s="1" t="s">
        <v>49</v>
      </c>
      <c r="C698" s="1" t="s">
        <v>50</v>
      </c>
      <c r="D698" s="1" t="s">
        <v>51</v>
      </c>
      <c r="E698" s="7">
        <v>17357</v>
      </c>
      <c r="F698" s="1" t="s">
        <v>20</v>
      </c>
      <c r="G698" s="1">
        <v>122</v>
      </c>
      <c r="H698" s="1" t="s">
        <v>42</v>
      </c>
      <c r="I698" s="1" t="s">
        <v>52</v>
      </c>
      <c r="J698" s="1" t="s">
        <v>17</v>
      </c>
      <c r="K698" s="9">
        <v>0.1</v>
      </c>
    </row>
    <row r="699" spans="1:11" x14ac:dyDescent="0.3">
      <c r="A699" s="12">
        <v>45441</v>
      </c>
      <c r="B699" s="1" t="s">
        <v>53</v>
      </c>
      <c r="C699" s="1" t="s">
        <v>838</v>
      </c>
      <c r="D699" s="1" t="s">
        <v>13</v>
      </c>
      <c r="E699" s="7">
        <v>31951</v>
      </c>
      <c r="F699" s="1" t="s">
        <v>14</v>
      </c>
      <c r="G699" s="1">
        <v>291</v>
      </c>
      <c r="H699" s="1" t="s">
        <v>15</v>
      </c>
      <c r="I699" s="1" t="s">
        <v>52</v>
      </c>
      <c r="J699" s="1" t="s">
        <v>17</v>
      </c>
      <c r="K699" s="9">
        <v>0.1</v>
      </c>
    </row>
    <row r="700" spans="1:11" x14ac:dyDescent="0.3">
      <c r="A700" s="12">
        <v>45441</v>
      </c>
      <c r="B700" s="1" t="s">
        <v>221</v>
      </c>
      <c r="C700" s="1" t="s">
        <v>444</v>
      </c>
      <c r="D700" s="1" t="s">
        <v>32</v>
      </c>
      <c r="E700" s="7">
        <v>22267</v>
      </c>
      <c r="F700" s="1" t="s">
        <v>14</v>
      </c>
      <c r="G700" s="1">
        <v>216</v>
      </c>
      <c r="H700" s="1" t="s">
        <v>42</v>
      </c>
      <c r="I700" s="1" t="s">
        <v>52</v>
      </c>
      <c r="J700" s="1" t="s">
        <v>17</v>
      </c>
      <c r="K700" s="9">
        <v>0.1</v>
      </c>
    </row>
    <row r="701" spans="1:11" x14ac:dyDescent="0.3">
      <c r="A701" s="12">
        <v>45442</v>
      </c>
      <c r="B701" s="1" t="s">
        <v>125</v>
      </c>
      <c r="C701" s="1" t="s">
        <v>255</v>
      </c>
      <c r="D701" s="1" t="s">
        <v>78</v>
      </c>
      <c r="E701" s="7">
        <v>20074</v>
      </c>
      <c r="F701" s="1" t="s">
        <v>68</v>
      </c>
      <c r="G701" s="1">
        <v>203</v>
      </c>
      <c r="H701" s="1" t="s">
        <v>27</v>
      </c>
      <c r="I701" s="1" t="s">
        <v>28</v>
      </c>
      <c r="J701" s="1" t="s">
        <v>17</v>
      </c>
      <c r="K701" s="9">
        <v>0.1</v>
      </c>
    </row>
    <row r="702" spans="1:11" x14ac:dyDescent="0.3">
      <c r="A702" s="12">
        <v>45442</v>
      </c>
      <c r="B702" s="1" t="s">
        <v>360</v>
      </c>
      <c r="C702" s="1" t="s">
        <v>249</v>
      </c>
      <c r="D702" s="1"/>
      <c r="E702" s="7">
        <v>26512</v>
      </c>
      <c r="F702" s="1" t="s">
        <v>14</v>
      </c>
      <c r="G702" s="1">
        <v>181</v>
      </c>
      <c r="H702" s="1"/>
      <c r="I702" s="1"/>
      <c r="J702" s="1" t="s">
        <v>17</v>
      </c>
      <c r="K702" s="9">
        <v>0.1</v>
      </c>
    </row>
    <row r="703" spans="1:11" x14ac:dyDescent="0.3">
      <c r="A703" s="12">
        <v>45442</v>
      </c>
      <c r="B703" s="1" t="s">
        <v>614</v>
      </c>
      <c r="C703" s="1" t="s">
        <v>506</v>
      </c>
      <c r="D703" s="1" t="s">
        <v>38</v>
      </c>
      <c r="E703" s="7">
        <v>28118</v>
      </c>
      <c r="F703" s="1" t="s">
        <v>33</v>
      </c>
      <c r="G703" s="1">
        <v>311</v>
      </c>
      <c r="H703" s="1" t="s">
        <v>64</v>
      </c>
      <c r="I703" s="1" t="s">
        <v>43</v>
      </c>
      <c r="J703" s="1" t="s">
        <v>17</v>
      </c>
      <c r="K703" s="9">
        <v>0.1</v>
      </c>
    </row>
    <row r="704" spans="1:11" x14ac:dyDescent="0.3">
      <c r="A704" s="12">
        <v>45442</v>
      </c>
      <c r="B704" s="1" t="s">
        <v>401</v>
      </c>
      <c r="C704" s="1" t="s">
        <v>557</v>
      </c>
      <c r="D704" s="1" t="s">
        <v>83</v>
      </c>
      <c r="E704" s="7">
        <v>17155</v>
      </c>
      <c r="F704" s="1" t="s">
        <v>33</v>
      </c>
      <c r="G704" s="1">
        <v>411</v>
      </c>
      <c r="H704" s="1" t="s">
        <v>34</v>
      </c>
      <c r="I704" s="1" t="s">
        <v>52</v>
      </c>
      <c r="J704" s="1" t="s">
        <v>17</v>
      </c>
      <c r="K704" s="9">
        <v>0.1</v>
      </c>
    </row>
    <row r="705" spans="1:11" x14ac:dyDescent="0.3">
      <c r="A705" s="12">
        <v>45442</v>
      </c>
      <c r="B705" s="1" t="s">
        <v>784</v>
      </c>
      <c r="C705" s="1" t="s">
        <v>785</v>
      </c>
      <c r="D705" s="1" t="s">
        <v>46</v>
      </c>
      <c r="E705" s="7">
        <v>24327</v>
      </c>
      <c r="F705" s="1" t="s">
        <v>14</v>
      </c>
      <c r="G705" s="1">
        <v>122</v>
      </c>
      <c r="H705" s="1" t="s">
        <v>59</v>
      </c>
      <c r="I705" s="1" t="s">
        <v>52</v>
      </c>
      <c r="J705" s="1" t="s">
        <v>17</v>
      </c>
      <c r="K705" s="9">
        <v>0.1</v>
      </c>
    </row>
    <row r="706" spans="1:11" x14ac:dyDescent="0.3">
      <c r="A706" s="12">
        <v>45442</v>
      </c>
      <c r="B706" s="1" t="s">
        <v>813</v>
      </c>
      <c r="C706" s="1" t="s">
        <v>176</v>
      </c>
      <c r="D706" s="1" t="s">
        <v>26</v>
      </c>
      <c r="E706" s="7">
        <v>28084</v>
      </c>
      <c r="F706" s="1" t="s">
        <v>68</v>
      </c>
      <c r="G706" s="1">
        <v>303</v>
      </c>
      <c r="H706" s="1" t="s">
        <v>27</v>
      </c>
      <c r="I706" s="1" t="s">
        <v>43</v>
      </c>
      <c r="J706" s="1" t="s">
        <v>17</v>
      </c>
      <c r="K706" s="9">
        <v>0.1</v>
      </c>
    </row>
    <row r="707" spans="1:11" x14ac:dyDescent="0.3">
      <c r="A707" s="12">
        <v>45442</v>
      </c>
      <c r="B707" s="1" t="s">
        <v>878</v>
      </c>
      <c r="C707" s="1" t="s">
        <v>12</v>
      </c>
      <c r="D707" s="1" t="s">
        <v>32</v>
      </c>
      <c r="E707" s="7">
        <v>21535</v>
      </c>
      <c r="F707" s="1" t="s">
        <v>20</v>
      </c>
      <c r="G707" s="1">
        <v>475</v>
      </c>
      <c r="H707" s="1" t="s">
        <v>56</v>
      </c>
      <c r="I707" s="1" t="s">
        <v>43</v>
      </c>
      <c r="J707" s="1" t="s">
        <v>17</v>
      </c>
      <c r="K707" s="9">
        <v>0.1</v>
      </c>
    </row>
    <row r="708" spans="1:11" x14ac:dyDescent="0.3">
      <c r="A708" s="12">
        <v>45442</v>
      </c>
      <c r="B708" s="1" t="s">
        <v>265</v>
      </c>
      <c r="C708" s="1" t="s">
        <v>478</v>
      </c>
      <c r="D708" s="1" t="s">
        <v>55</v>
      </c>
      <c r="E708" s="7">
        <v>33812</v>
      </c>
      <c r="F708" s="1" t="s">
        <v>14</v>
      </c>
      <c r="G708" s="1">
        <v>431</v>
      </c>
      <c r="H708" s="1" t="s">
        <v>34</v>
      </c>
      <c r="I708" s="1" t="s">
        <v>43</v>
      </c>
      <c r="J708" s="1" t="s">
        <v>17</v>
      </c>
      <c r="K708" s="9">
        <v>0.1</v>
      </c>
    </row>
    <row r="709" spans="1:11" x14ac:dyDescent="0.3">
      <c r="A709" s="12">
        <v>45443</v>
      </c>
      <c r="B709" s="1" t="s">
        <v>184</v>
      </c>
      <c r="C709" s="1" t="s">
        <v>533</v>
      </c>
      <c r="D709" s="1" t="s">
        <v>83</v>
      </c>
      <c r="E709" s="7">
        <v>20962</v>
      </c>
      <c r="F709" s="1" t="s">
        <v>33</v>
      </c>
      <c r="G709" s="1">
        <v>396</v>
      </c>
      <c r="H709" s="1" t="s">
        <v>21</v>
      </c>
      <c r="I709" s="1" t="s">
        <v>52</v>
      </c>
      <c r="J709" s="1" t="s">
        <v>17</v>
      </c>
      <c r="K709" s="9">
        <v>0.1</v>
      </c>
    </row>
    <row r="710" spans="1:11" x14ac:dyDescent="0.3">
      <c r="A710" s="12">
        <v>45443</v>
      </c>
      <c r="B710" s="1" t="s">
        <v>630</v>
      </c>
      <c r="C710" s="1" t="s">
        <v>736</v>
      </c>
      <c r="D710" s="1" t="s">
        <v>71</v>
      </c>
      <c r="E710" s="7">
        <v>16528</v>
      </c>
      <c r="F710" s="1" t="s">
        <v>68</v>
      </c>
      <c r="G710" s="1">
        <v>231</v>
      </c>
      <c r="H710" s="1" t="s">
        <v>34</v>
      </c>
      <c r="I710" s="1" t="s">
        <v>28</v>
      </c>
      <c r="J710" s="1" t="s">
        <v>17</v>
      </c>
      <c r="K710" s="9">
        <v>0.1</v>
      </c>
    </row>
    <row r="711" spans="1:11" x14ac:dyDescent="0.3">
      <c r="A711" s="12">
        <v>45443</v>
      </c>
      <c r="B711" s="1" t="s">
        <v>265</v>
      </c>
      <c r="C711" s="1" t="s">
        <v>108</v>
      </c>
      <c r="D711" s="1" t="s">
        <v>51</v>
      </c>
      <c r="E711" s="7">
        <v>30562</v>
      </c>
      <c r="F711" s="1" t="s">
        <v>20</v>
      </c>
      <c r="G711" s="1">
        <v>302</v>
      </c>
      <c r="H711" s="1" t="s">
        <v>42</v>
      </c>
      <c r="I711" s="1" t="s">
        <v>48</v>
      </c>
      <c r="J711" s="1" t="s">
        <v>17</v>
      </c>
      <c r="K711" s="9">
        <v>0.1</v>
      </c>
    </row>
    <row r="712" spans="1:11" x14ac:dyDescent="0.3">
      <c r="A712" s="12">
        <v>45444</v>
      </c>
      <c r="B712" s="1" t="s">
        <v>332</v>
      </c>
      <c r="C712" s="1" t="s">
        <v>461</v>
      </c>
      <c r="D712" s="1" t="s">
        <v>38</v>
      </c>
      <c r="E712" s="7">
        <v>20540</v>
      </c>
      <c r="F712" s="1" t="s">
        <v>14</v>
      </c>
      <c r="G712" s="1">
        <v>222</v>
      </c>
      <c r="H712" s="1" t="s">
        <v>65</v>
      </c>
      <c r="I712" s="1" t="s">
        <v>52</v>
      </c>
      <c r="J712" s="1" t="s">
        <v>17</v>
      </c>
      <c r="K712" s="9">
        <v>0.1</v>
      </c>
    </row>
    <row r="713" spans="1:11" x14ac:dyDescent="0.3">
      <c r="A713" s="12">
        <v>45444</v>
      </c>
      <c r="B713" s="1" t="s">
        <v>286</v>
      </c>
      <c r="C713" s="1"/>
      <c r="D713" s="1"/>
      <c r="E713" s="7"/>
      <c r="F713" s="1" t="s">
        <v>68</v>
      </c>
      <c r="G713" s="1">
        <v>37</v>
      </c>
      <c r="H713" s="1" t="s">
        <v>65</v>
      </c>
      <c r="I713" s="1" t="s">
        <v>28</v>
      </c>
      <c r="J713" s="1" t="s">
        <v>17</v>
      </c>
      <c r="K713" s="9">
        <v>0.1</v>
      </c>
    </row>
    <row r="714" spans="1:11" x14ac:dyDescent="0.3">
      <c r="A714" s="12">
        <v>45444</v>
      </c>
      <c r="B714" s="1" t="s">
        <v>577</v>
      </c>
      <c r="C714" s="1" t="s">
        <v>522</v>
      </c>
      <c r="D714" s="1" t="s">
        <v>51</v>
      </c>
      <c r="E714" s="7">
        <v>19058</v>
      </c>
      <c r="F714" s="1" t="s">
        <v>33</v>
      </c>
      <c r="G714" s="1">
        <v>463</v>
      </c>
      <c r="H714" s="1" t="s">
        <v>47</v>
      </c>
      <c r="I714" s="1" t="s">
        <v>48</v>
      </c>
      <c r="J714" s="1" t="s">
        <v>17</v>
      </c>
      <c r="K714" s="9">
        <v>0.1</v>
      </c>
    </row>
    <row r="715" spans="1:11" x14ac:dyDescent="0.3">
      <c r="A715" s="12">
        <v>45445</v>
      </c>
      <c r="B715" s="1" t="s">
        <v>268</v>
      </c>
      <c r="C715" s="1" t="s">
        <v>504</v>
      </c>
      <c r="D715" s="1" t="s">
        <v>13</v>
      </c>
      <c r="E715" s="7">
        <v>30560</v>
      </c>
      <c r="F715" s="1" t="s">
        <v>20</v>
      </c>
      <c r="G715" s="1">
        <v>73</v>
      </c>
      <c r="H715" s="1" t="s">
        <v>56</v>
      </c>
      <c r="I715" s="1" t="s">
        <v>43</v>
      </c>
      <c r="J715" s="1" t="s">
        <v>17</v>
      </c>
      <c r="K715" s="9">
        <v>0.1</v>
      </c>
    </row>
    <row r="716" spans="1:11" x14ac:dyDescent="0.3">
      <c r="A716" s="12">
        <v>45445</v>
      </c>
      <c r="B716" s="1" t="s">
        <v>69</v>
      </c>
      <c r="C716" s="1" t="s">
        <v>593</v>
      </c>
      <c r="D716" s="1" t="s">
        <v>51</v>
      </c>
      <c r="E716" s="7">
        <v>37120</v>
      </c>
      <c r="F716" s="1"/>
      <c r="G716" s="1">
        <v>257</v>
      </c>
      <c r="H716" s="1" t="s">
        <v>27</v>
      </c>
      <c r="I716" s="1" t="s">
        <v>52</v>
      </c>
      <c r="J716" s="1" t="s">
        <v>17</v>
      </c>
      <c r="K716" s="9">
        <v>0.1</v>
      </c>
    </row>
    <row r="717" spans="1:11" x14ac:dyDescent="0.3">
      <c r="A717" s="12">
        <v>45445</v>
      </c>
      <c r="B717" s="1" t="s">
        <v>659</v>
      </c>
      <c r="C717" s="1" t="s">
        <v>660</v>
      </c>
      <c r="D717" s="1" t="s">
        <v>55</v>
      </c>
      <c r="E717" s="7">
        <v>16637</v>
      </c>
      <c r="F717" s="1" t="s">
        <v>68</v>
      </c>
      <c r="G717" s="1">
        <v>247</v>
      </c>
      <c r="H717" s="1" t="s">
        <v>27</v>
      </c>
      <c r="I717" s="1" t="s">
        <v>39</v>
      </c>
      <c r="J717" s="1" t="s">
        <v>17</v>
      </c>
      <c r="K717" s="9">
        <v>0.1</v>
      </c>
    </row>
    <row r="718" spans="1:11" x14ac:dyDescent="0.3">
      <c r="A718" s="12">
        <v>45445</v>
      </c>
      <c r="B718" s="1" t="s">
        <v>290</v>
      </c>
      <c r="C718" s="1" t="s">
        <v>122</v>
      </c>
      <c r="D718" s="1" t="s">
        <v>78</v>
      </c>
      <c r="E718" s="7">
        <v>16630</v>
      </c>
      <c r="F718" s="1" t="s">
        <v>33</v>
      </c>
      <c r="G718" s="1">
        <v>189</v>
      </c>
      <c r="H718" s="1" t="s">
        <v>47</v>
      </c>
      <c r="I718" s="1" t="s">
        <v>43</v>
      </c>
      <c r="J718" s="1" t="s">
        <v>17</v>
      </c>
      <c r="K718" s="9">
        <v>0.1</v>
      </c>
    </row>
    <row r="719" spans="1:11" x14ac:dyDescent="0.3">
      <c r="A719" s="12">
        <v>45445</v>
      </c>
      <c r="B719" s="1" t="s">
        <v>24</v>
      </c>
      <c r="C719" s="1" t="s">
        <v>25</v>
      </c>
      <c r="D719" s="1" t="s">
        <v>26</v>
      </c>
      <c r="E719" s="7">
        <v>35748</v>
      </c>
      <c r="F719" s="1" t="s">
        <v>20</v>
      </c>
      <c r="G719" s="1">
        <v>190</v>
      </c>
      <c r="H719" s="1" t="s">
        <v>27</v>
      </c>
      <c r="I719" s="1" t="s">
        <v>52</v>
      </c>
      <c r="J719" s="1" t="s">
        <v>17</v>
      </c>
      <c r="K719" s="9">
        <v>0.1</v>
      </c>
    </row>
    <row r="720" spans="1:11" x14ac:dyDescent="0.3">
      <c r="A720" s="12">
        <v>45445</v>
      </c>
      <c r="B720" s="1" t="s">
        <v>791</v>
      </c>
      <c r="C720" s="1" t="s">
        <v>37</v>
      </c>
      <c r="D720" s="1" t="s">
        <v>13</v>
      </c>
      <c r="E720" s="7">
        <v>35455</v>
      </c>
      <c r="F720" s="1" t="s">
        <v>33</v>
      </c>
      <c r="G720" s="1">
        <v>276</v>
      </c>
      <c r="H720" s="1" t="s">
        <v>15</v>
      </c>
      <c r="I720" s="1" t="s">
        <v>48</v>
      </c>
      <c r="J720" s="1" t="s">
        <v>17</v>
      </c>
      <c r="K720" s="9">
        <v>0.1</v>
      </c>
    </row>
    <row r="721" spans="1:11" x14ac:dyDescent="0.3">
      <c r="A721" s="12">
        <v>45445</v>
      </c>
      <c r="B721" s="1" t="s">
        <v>632</v>
      </c>
      <c r="C721" s="1" t="s">
        <v>346</v>
      </c>
      <c r="D721" s="1" t="s">
        <v>46</v>
      </c>
      <c r="E721" s="7">
        <v>26007</v>
      </c>
      <c r="F721" s="1" t="s">
        <v>68</v>
      </c>
      <c r="G721" s="1">
        <v>65</v>
      </c>
      <c r="H721" s="1" t="s">
        <v>65</v>
      </c>
      <c r="I721" s="1" t="s">
        <v>43</v>
      </c>
      <c r="J721" s="1" t="s">
        <v>17</v>
      </c>
      <c r="K721" s="9">
        <v>0.1</v>
      </c>
    </row>
    <row r="722" spans="1:11" x14ac:dyDescent="0.3">
      <c r="A722" s="12">
        <v>45446</v>
      </c>
      <c r="B722" s="1" t="s">
        <v>111</v>
      </c>
      <c r="C722" s="1" t="s">
        <v>75</v>
      </c>
      <c r="D722" s="1" t="s">
        <v>55</v>
      </c>
      <c r="E722" s="7">
        <v>24949</v>
      </c>
      <c r="F722" s="1" t="s">
        <v>20</v>
      </c>
      <c r="G722" s="1">
        <v>332</v>
      </c>
      <c r="H722" s="1" t="s">
        <v>65</v>
      </c>
      <c r="I722" s="1" t="s">
        <v>35</v>
      </c>
      <c r="J722" s="1" t="s">
        <v>17</v>
      </c>
      <c r="K722" s="9">
        <v>0.1</v>
      </c>
    </row>
    <row r="723" spans="1:11" x14ac:dyDescent="0.3">
      <c r="A723" s="12">
        <v>45446</v>
      </c>
      <c r="B723" s="1" t="s">
        <v>241</v>
      </c>
      <c r="C723" s="1" t="s">
        <v>242</v>
      </c>
      <c r="D723" s="1" t="s">
        <v>38</v>
      </c>
      <c r="E723" s="7">
        <v>18863</v>
      </c>
      <c r="F723" s="1" t="s">
        <v>20</v>
      </c>
      <c r="G723" s="1">
        <v>186</v>
      </c>
      <c r="H723" s="1" t="s">
        <v>65</v>
      </c>
      <c r="I723" s="1" t="s">
        <v>43</v>
      </c>
      <c r="J723" s="1" t="s">
        <v>29</v>
      </c>
      <c r="K723" s="9">
        <v>0.1</v>
      </c>
    </row>
    <row r="724" spans="1:11" x14ac:dyDescent="0.3">
      <c r="A724" s="12">
        <v>45446</v>
      </c>
      <c r="B724" s="1" t="s">
        <v>447</v>
      </c>
      <c r="C724" s="1" t="s">
        <v>448</v>
      </c>
      <c r="D724" s="1" t="s">
        <v>13</v>
      </c>
      <c r="E724" s="7">
        <v>37803</v>
      </c>
      <c r="F724" s="1" t="s">
        <v>33</v>
      </c>
      <c r="G724" s="1">
        <v>113</v>
      </c>
      <c r="H724" s="1" t="s">
        <v>65</v>
      </c>
      <c r="I724" s="1" t="s">
        <v>39</v>
      </c>
      <c r="J724" s="1" t="s">
        <v>17</v>
      </c>
      <c r="K724" s="9">
        <v>0.1</v>
      </c>
    </row>
    <row r="725" spans="1:11" x14ac:dyDescent="0.3">
      <c r="A725" s="12">
        <v>45446</v>
      </c>
      <c r="B725" s="1" t="s">
        <v>36</v>
      </c>
      <c r="C725" s="1" t="s">
        <v>529</v>
      </c>
      <c r="D725" s="1" t="s">
        <v>32</v>
      </c>
      <c r="E725" s="7">
        <v>37711</v>
      </c>
      <c r="F725" s="1" t="s">
        <v>33</v>
      </c>
      <c r="G725" s="1">
        <v>234</v>
      </c>
      <c r="H725" s="1" t="s">
        <v>42</v>
      </c>
      <c r="I725" s="1" t="s">
        <v>48</v>
      </c>
      <c r="J725" s="1" t="s">
        <v>23</v>
      </c>
      <c r="K725" s="9">
        <v>0.1</v>
      </c>
    </row>
    <row r="726" spans="1:11" x14ac:dyDescent="0.3">
      <c r="A726" s="12">
        <v>45446</v>
      </c>
      <c r="B726" s="1" t="s">
        <v>652</v>
      </c>
      <c r="C726" s="1" t="s">
        <v>339</v>
      </c>
      <c r="D726" s="1" t="s">
        <v>83</v>
      </c>
      <c r="E726" s="7">
        <v>23714</v>
      </c>
      <c r="F726" s="1" t="s">
        <v>68</v>
      </c>
      <c r="G726" s="1">
        <v>124</v>
      </c>
      <c r="H726" s="1" t="s">
        <v>21</v>
      </c>
      <c r="I726" s="1" t="s">
        <v>52</v>
      </c>
      <c r="J726" s="1" t="s">
        <v>17</v>
      </c>
      <c r="K726" s="9">
        <v>0.1</v>
      </c>
    </row>
    <row r="727" spans="1:11" x14ac:dyDescent="0.3">
      <c r="A727" s="12">
        <v>45447</v>
      </c>
      <c r="B727" s="1" t="s">
        <v>136</v>
      </c>
      <c r="C727" s="1" t="s">
        <v>137</v>
      </c>
      <c r="D727" s="1" t="s">
        <v>51</v>
      </c>
      <c r="E727" s="7">
        <v>18090</v>
      </c>
      <c r="F727" s="1" t="s">
        <v>33</v>
      </c>
      <c r="G727" s="1">
        <v>500</v>
      </c>
      <c r="H727" s="1" t="s">
        <v>27</v>
      </c>
      <c r="I727" s="1" t="s">
        <v>52</v>
      </c>
      <c r="J727" s="1" t="s">
        <v>17</v>
      </c>
      <c r="K727" s="9">
        <v>0.1</v>
      </c>
    </row>
    <row r="728" spans="1:11" x14ac:dyDescent="0.3">
      <c r="A728" s="12">
        <v>45447</v>
      </c>
      <c r="B728" s="1" t="s">
        <v>108</v>
      </c>
      <c r="C728" s="1" t="s">
        <v>108</v>
      </c>
      <c r="D728" s="1" t="s">
        <v>78</v>
      </c>
      <c r="E728" s="7">
        <v>24937</v>
      </c>
      <c r="F728" s="1" t="s">
        <v>14</v>
      </c>
      <c r="G728" s="1">
        <v>56</v>
      </c>
      <c r="H728" s="1" t="s">
        <v>15</v>
      </c>
      <c r="I728" s="1" t="s">
        <v>35</v>
      </c>
      <c r="J728" s="1" t="s">
        <v>29</v>
      </c>
      <c r="K728" s="9">
        <v>0.1</v>
      </c>
    </row>
    <row r="729" spans="1:11" x14ac:dyDescent="0.3">
      <c r="A729" s="12">
        <v>45447</v>
      </c>
      <c r="B729" s="1" t="s">
        <v>241</v>
      </c>
      <c r="C729" s="1" t="s">
        <v>110</v>
      </c>
      <c r="D729" s="1" t="s">
        <v>32</v>
      </c>
      <c r="E729" s="7">
        <v>30099</v>
      </c>
      <c r="F729" s="1" t="s">
        <v>20</v>
      </c>
      <c r="G729" s="1">
        <v>169</v>
      </c>
      <c r="H729" s="1" t="s">
        <v>21</v>
      </c>
      <c r="I729" s="1" t="s">
        <v>52</v>
      </c>
      <c r="J729" s="1" t="s">
        <v>17</v>
      </c>
      <c r="K729" s="9">
        <v>0.1</v>
      </c>
    </row>
    <row r="730" spans="1:11" x14ac:dyDescent="0.3">
      <c r="A730" s="12">
        <v>45447</v>
      </c>
      <c r="B730" s="1" t="s">
        <v>208</v>
      </c>
      <c r="C730" s="1" t="s">
        <v>492</v>
      </c>
      <c r="D730" s="1" t="s">
        <v>38</v>
      </c>
      <c r="E730" s="7">
        <v>31342</v>
      </c>
      <c r="F730" s="1" t="s">
        <v>20</v>
      </c>
      <c r="G730" s="1">
        <v>459</v>
      </c>
      <c r="H730" s="1" t="s">
        <v>56</v>
      </c>
      <c r="I730" s="1" t="s">
        <v>48</v>
      </c>
      <c r="J730" s="1" t="s">
        <v>17</v>
      </c>
      <c r="K730" s="9">
        <v>0.1</v>
      </c>
    </row>
    <row r="731" spans="1:11" x14ac:dyDescent="0.3">
      <c r="A731" s="12">
        <v>45447</v>
      </c>
      <c r="B731" s="1" t="s">
        <v>117</v>
      </c>
      <c r="C731" s="1" t="s">
        <v>25</v>
      </c>
      <c r="D731" s="1" t="s">
        <v>51</v>
      </c>
      <c r="E731" s="7">
        <v>21735</v>
      </c>
      <c r="F731" s="1" t="s">
        <v>68</v>
      </c>
      <c r="G731" s="1">
        <v>342</v>
      </c>
      <c r="H731" s="1" t="s">
        <v>64</v>
      </c>
      <c r="I731" s="1" t="s">
        <v>43</v>
      </c>
      <c r="J731" s="1" t="s">
        <v>17</v>
      </c>
      <c r="K731" s="9">
        <v>0.1</v>
      </c>
    </row>
    <row r="732" spans="1:11" x14ac:dyDescent="0.3">
      <c r="A732" s="12">
        <v>45447</v>
      </c>
      <c r="B732" s="1" t="s">
        <v>632</v>
      </c>
      <c r="C732" s="1" t="s">
        <v>153</v>
      </c>
      <c r="D732" s="1" t="s">
        <v>83</v>
      </c>
      <c r="E732" s="7">
        <v>30367</v>
      </c>
      <c r="F732" s="1" t="s">
        <v>33</v>
      </c>
      <c r="G732" s="1">
        <v>284</v>
      </c>
      <c r="H732" s="1" t="s">
        <v>65</v>
      </c>
      <c r="I732" s="1" t="s">
        <v>35</v>
      </c>
      <c r="J732" s="1" t="s">
        <v>17</v>
      </c>
      <c r="K732" s="9">
        <v>0.1</v>
      </c>
    </row>
    <row r="733" spans="1:11" x14ac:dyDescent="0.3">
      <c r="A733" s="12">
        <v>45447</v>
      </c>
      <c r="B733" s="1" t="s">
        <v>670</v>
      </c>
      <c r="C733" s="1" t="s">
        <v>671</v>
      </c>
      <c r="D733" s="1" t="s">
        <v>71</v>
      </c>
      <c r="E733" s="7">
        <v>25146</v>
      </c>
      <c r="F733" s="1" t="s">
        <v>68</v>
      </c>
      <c r="G733" s="1">
        <v>368</v>
      </c>
      <c r="H733" s="1" t="s">
        <v>64</v>
      </c>
      <c r="I733" s="1" t="s">
        <v>39</v>
      </c>
      <c r="J733" s="1" t="s">
        <v>17</v>
      </c>
      <c r="K733" s="9">
        <v>0.1</v>
      </c>
    </row>
    <row r="734" spans="1:11" x14ac:dyDescent="0.3">
      <c r="A734" s="12">
        <v>45447</v>
      </c>
      <c r="B734" s="1" t="s">
        <v>534</v>
      </c>
      <c r="C734" s="1" t="s">
        <v>249</v>
      </c>
      <c r="D734" s="1" t="s">
        <v>55</v>
      </c>
      <c r="E734" s="7">
        <v>26691</v>
      </c>
      <c r="F734" s="1" t="s">
        <v>68</v>
      </c>
      <c r="G734" s="1">
        <v>204</v>
      </c>
      <c r="H734" s="1" t="s">
        <v>21</v>
      </c>
      <c r="I734" s="1" t="s">
        <v>43</v>
      </c>
      <c r="J734" s="1" t="s">
        <v>17</v>
      </c>
      <c r="K734" s="9">
        <v>0.1</v>
      </c>
    </row>
    <row r="735" spans="1:11" x14ac:dyDescent="0.3">
      <c r="A735" s="12">
        <v>45448</v>
      </c>
      <c r="B735" s="1" t="s">
        <v>86</v>
      </c>
      <c r="C735" s="1" t="s">
        <v>87</v>
      </c>
      <c r="D735" s="1" t="s">
        <v>83</v>
      </c>
      <c r="E735" s="7">
        <v>20035</v>
      </c>
      <c r="F735" s="1" t="s">
        <v>33</v>
      </c>
      <c r="G735" s="1">
        <v>494</v>
      </c>
      <c r="H735" s="1" t="s">
        <v>64</v>
      </c>
      <c r="I735" s="1" t="s">
        <v>43</v>
      </c>
      <c r="J735" s="1" t="s">
        <v>17</v>
      </c>
      <c r="K735" s="9">
        <v>0.1</v>
      </c>
    </row>
    <row r="736" spans="1:11" x14ac:dyDescent="0.3">
      <c r="A736" s="12">
        <v>45448</v>
      </c>
      <c r="B736" s="1" t="s">
        <v>115</v>
      </c>
      <c r="C736" s="1" t="s">
        <v>329</v>
      </c>
      <c r="D736" s="1" t="s">
        <v>51</v>
      </c>
      <c r="E736" s="7">
        <v>38727</v>
      </c>
      <c r="F736" s="1" t="s">
        <v>68</v>
      </c>
      <c r="G736" s="1">
        <v>139</v>
      </c>
      <c r="H736" s="1" t="s">
        <v>21</v>
      </c>
      <c r="I736" s="1" t="s">
        <v>48</v>
      </c>
      <c r="J736" s="1" t="s">
        <v>17</v>
      </c>
      <c r="K736" s="9">
        <v>0.1</v>
      </c>
    </row>
    <row r="737" spans="1:11" x14ac:dyDescent="0.3">
      <c r="A737" s="12">
        <v>45448</v>
      </c>
      <c r="B737" s="1" t="s">
        <v>208</v>
      </c>
      <c r="C737" s="1" t="s">
        <v>631</v>
      </c>
      <c r="D737" s="1" t="s">
        <v>94</v>
      </c>
      <c r="E737" s="7">
        <v>28158</v>
      </c>
      <c r="F737" s="1" t="s">
        <v>14</v>
      </c>
      <c r="G737" s="1">
        <v>337</v>
      </c>
      <c r="H737" s="1" t="s">
        <v>27</v>
      </c>
      <c r="I737" s="1" t="s">
        <v>28</v>
      </c>
      <c r="J737" s="1" t="s">
        <v>17</v>
      </c>
      <c r="K737" s="9">
        <v>0.1</v>
      </c>
    </row>
    <row r="738" spans="1:11" x14ac:dyDescent="0.3">
      <c r="A738" s="12">
        <v>45448</v>
      </c>
      <c r="B738" s="1" t="s">
        <v>674</v>
      </c>
      <c r="C738" s="1" t="s">
        <v>150</v>
      </c>
      <c r="D738" s="1" t="s">
        <v>71</v>
      </c>
      <c r="E738" s="7">
        <v>31340</v>
      </c>
      <c r="F738" s="1" t="s">
        <v>33</v>
      </c>
      <c r="G738" s="1">
        <v>141</v>
      </c>
      <c r="H738" s="1" t="s">
        <v>27</v>
      </c>
      <c r="I738" s="1" t="s">
        <v>52</v>
      </c>
      <c r="J738" s="1" t="s">
        <v>17</v>
      </c>
      <c r="K738" s="9">
        <v>0.1</v>
      </c>
    </row>
    <row r="739" spans="1:11" x14ac:dyDescent="0.3">
      <c r="A739" s="12">
        <v>45448</v>
      </c>
      <c r="B739" s="1" t="s">
        <v>760</v>
      </c>
      <c r="C739" s="1" t="s">
        <v>114</v>
      </c>
      <c r="D739" s="1" t="s">
        <v>51</v>
      </c>
      <c r="E739" s="7">
        <v>17007</v>
      </c>
      <c r="F739" s="1" t="s">
        <v>14</v>
      </c>
      <c r="G739" s="1">
        <v>468</v>
      </c>
      <c r="H739" s="1" t="s">
        <v>21</v>
      </c>
      <c r="I739" s="1" t="s">
        <v>48</v>
      </c>
      <c r="J739" s="1" t="s">
        <v>17</v>
      </c>
      <c r="K739" s="9">
        <v>0.1</v>
      </c>
    </row>
    <row r="740" spans="1:11" x14ac:dyDescent="0.3">
      <c r="A740" s="12">
        <v>45449</v>
      </c>
      <c r="B740" s="1" t="s">
        <v>288</v>
      </c>
      <c r="C740" s="1" t="s">
        <v>289</v>
      </c>
      <c r="D740" s="1" t="s">
        <v>26</v>
      </c>
      <c r="E740" s="7">
        <v>29484</v>
      </c>
      <c r="F740" s="1" t="s">
        <v>20</v>
      </c>
      <c r="G740" s="1">
        <v>456</v>
      </c>
      <c r="H740" s="1" t="s">
        <v>56</v>
      </c>
      <c r="I740" s="1" t="s">
        <v>52</v>
      </c>
      <c r="J740" s="1" t="s">
        <v>17</v>
      </c>
      <c r="K740" s="9">
        <v>0.1</v>
      </c>
    </row>
    <row r="741" spans="1:11" x14ac:dyDescent="0.3">
      <c r="A741" s="12">
        <v>45449</v>
      </c>
      <c r="B741" s="1" t="s">
        <v>265</v>
      </c>
      <c r="C741" s="1" t="s">
        <v>298</v>
      </c>
      <c r="D741" s="1" t="s">
        <v>78</v>
      </c>
      <c r="E741" s="7">
        <v>28592</v>
      </c>
      <c r="F741" s="1" t="s">
        <v>33</v>
      </c>
      <c r="G741" s="1">
        <v>182</v>
      </c>
      <c r="H741" s="1" t="s">
        <v>64</v>
      </c>
      <c r="I741" s="1" t="s">
        <v>28</v>
      </c>
      <c r="J741" s="1" t="s">
        <v>17</v>
      </c>
      <c r="K741" s="9">
        <v>0.1</v>
      </c>
    </row>
    <row r="742" spans="1:11" x14ac:dyDescent="0.3">
      <c r="A742" s="12">
        <v>45449</v>
      </c>
      <c r="B742" s="1" t="s">
        <v>322</v>
      </c>
      <c r="C742" s="1" t="s">
        <v>323</v>
      </c>
      <c r="D742" s="1" t="s">
        <v>55</v>
      </c>
      <c r="E742" s="7">
        <v>33510</v>
      </c>
      <c r="F742" s="1" t="s">
        <v>33</v>
      </c>
      <c r="G742" s="1">
        <v>271</v>
      </c>
      <c r="H742" s="1" t="s">
        <v>27</v>
      </c>
      <c r="I742" s="1" t="s">
        <v>39</v>
      </c>
      <c r="J742" s="1" t="s">
        <v>29</v>
      </c>
      <c r="K742" s="9">
        <v>0.1</v>
      </c>
    </row>
    <row r="743" spans="1:11" x14ac:dyDescent="0.3">
      <c r="A743" s="12">
        <v>45449</v>
      </c>
      <c r="B743" s="1" t="s">
        <v>366</v>
      </c>
      <c r="C743" s="1" t="s">
        <v>213</v>
      </c>
      <c r="D743" s="1" t="s">
        <v>13</v>
      </c>
      <c r="E743" s="7">
        <v>28526</v>
      </c>
      <c r="F743" s="1" t="s">
        <v>68</v>
      </c>
      <c r="G743" s="1">
        <v>381</v>
      </c>
      <c r="H743" s="1" t="s">
        <v>65</v>
      </c>
      <c r="I743" s="1" t="s">
        <v>52</v>
      </c>
      <c r="J743" s="1" t="s">
        <v>17</v>
      </c>
      <c r="K743" s="9">
        <v>0.1</v>
      </c>
    </row>
    <row r="744" spans="1:11" x14ac:dyDescent="0.3">
      <c r="A744" s="12">
        <v>45449</v>
      </c>
      <c r="B744" s="1" t="s">
        <v>516</v>
      </c>
      <c r="C744" s="1" t="s">
        <v>517</v>
      </c>
      <c r="D744" s="1" t="s">
        <v>83</v>
      </c>
      <c r="E744" s="7">
        <v>23557</v>
      </c>
      <c r="F744" s="1" t="s">
        <v>33</v>
      </c>
      <c r="G744" s="1">
        <v>64</v>
      </c>
      <c r="H744" s="1" t="s">
        <v>47</v>
      </c>
      <c r="I744" s="1" t="s">
        <v>48</v>
      </c>
      <c r="J744" s="1" t="s">
        <v>17</v>
      </c>
      <c r="K744" s="9">
        <v>0.1</v>
      </c>
    </row>
    <row r="745" spans="1:11" x14ac:dyDescent="0.3">
      <c r="A745" s="12">
        <v>45449</v>
      </c>
      <c r="B745" s="1" t="s">
        <v>534</v>
      </c>
      <c r="C745" s="1" t="s">
        <v>590</v>
      </c>
      <c r="D745" s="1" t="s">
        <v>32</v>
      </c>
      <c r="E745" s="7">
        <v>19730</v>
      </c>
      <c r="F745" s="1" t="s">
        <v>33</v>
      </c>
      <c r="G745" s="1">
        <v>102</v>
      </c>
      <c r="H745" s="1" t="s">
        <v>42</v>
      </c>
      <c r="I745" s="1" t="s">
        <v>28</v>
      </c>
      <c r="J745" s="1" t="s">
        <v>17</v>
      </c>
      <c r="K745" s="9">
        <v>0.1</v>
      </c>
    </row>
    <row r="746" spans="1:11" x14ac:dyDescent="0.3">
      <c r="A746" s="12">
        <v>45449</v>
      </c>
      <c r="B746" s="1" t="s">
        <v>340</v>
      </c>
      <c r="C746" s="1" t="s">
        <v>230</v>
      </c>
      <c r="D746" s="1" t="s">
        <v>51</v>
      </c>
      <c r="E746" s="7">
        <v>29356</v>
      </c>
      <c r="F746" s="1" t="s">
        <v>33</v>
      </c>
      <c r="G746" s="1">
        <v>130</v>
      </c>
      <c r="H746" s="1" t="s">
        <v>59</v>
      </c>
      <c r="I746" s="1" t="s">
        <v>43</v>
      </c>
      <c r="J746" s="1" t="s">
        <v>17</v>
      </c>
      <c r="K746" s="9">
        <v>0.1</v>
      </c>
    </row>
    <row r="747" spans="1:11" x14ac:dyDescent="0.3">
      <c r="A747" s="12">
        <v>45449</v>
      </c>
      <c r="B747" s="1" t="s">
        <v>401</v>
      </c>
      <c r="C747" s="1" t="s">
        <v>893</v>
      </c>
      <c r="D747" s="1" t="s">
        <v>71</v>
      </c>
      <c r="E747" s="7">
        <v>33241</v>
      </c>
      <c r="F747" s="1" t="s">
        <v>33</v>
      </c>
      <c r="G747" s="1">
        <v>277</v>
      </c>
      <c r="H747" s="1" t="s">
        <v>56</v>
      </c>
      <c r="I747" s="1" t="s">
        <v>52</v>
      </c>
      <c r="J747" s="1" t="s">
        <v>17</v>
      </c>
      <c r="K747" s="9">
        <v>0.1</v>
      </c>
    </row>
    <row r="748" spans="1:11" x14ac:dyDescent="0.3">
      <c r="A748" s="12">
        <v>45449</v>
      </c>
      <c r="B748" s="1" t="s">
        <v>160</v>
      </c>
      <c r="C748" s="1" t="s">
        <v>309</v>
      </c>
      <c r="D748" s="1" t="s">
        <v>83</v>
      </c>
      <c r="E748" s="7">
        <v>20775</v>
      </c>
      <c r="F748" s="1" t="s">
        <v>68</v>
      </c>
      <c r="G748" s="1">
        <v>138</v>
      </c>
      <c r="H748" s="1" t="s">
        <v>47</v>
      </c>
      <c r="I748" s="1" t="s">
        <v>39</v>
      </c>
      <c r="J748" s="1" t="s">
        <v>17</v>
      </c>
      <c r="K748" s="9">
        <v>0.1</v>
      </c>
    </row>
    <row r="749" spans="1:11" x14ac:dyDescent="0.3">
      <c r="A749" s="12">
        <v>45450</v>
      </c>
      <c r="B749" s="1" t="s">
        <v>221</v>
      </c>
      <c r="C749" s="1" t="s">
        <v>920</v>
      </c>
      <c r="D749" s="1" t="s">
        <v>83</v>
      </c>
      <c r="E749" s="7">
        <v>34070</v>
      </c>
      <c r="F749" s="1" t="s">
        <v>14</v>
      </c>
      <c r="G749" s="1">
        <v>309</v>
      </c>
      <c r="H749" s="1" t="s">
        <v>59</v>
      </c>
      <c r="I749" s="1" t="s">
        <v>48</v>
      </c>
      <c r="J749" s="1" t="s">
        <v>17</v>
      </c>
      <c r="K749" s="9">
        <v>0.1</v>
      </c>
    </row>
    <row r="750" spans="1:11" x14ac:dyDescent="0.3">
      <c r="A750" s="12">
        <v>45451</v>
      </c>
      <c r="B750" s="1" t="s">
        <v>332</v>
      </c>
      <c r="C750" s="1" t="s">
        <v>592</v>
      </c>
      <c r="D750" s="1" t="s">
        <v>55</v>
      </c>
      <c r="E750" s="7">
        <v>20483</v>
      </c>
      <c r="F750" s="1" t="s">
        <v>20</v>
      </c>
      <c r="G750" s="1">
        <v>214</v>
      </c>
      <c r="H750" s="1" t="s">
        <v>15</v>
      </c>
      <c r="I750" s="1" t="s">
        <v>39</v>
      </c>
      <c r="J750" s="1" t="s">
        <v>17</v>
      </c>
      <c r="K750" s="9">
        <v>0.1</v>
      </c>
    </row>
    <row r="751" spans="1:11" x14ac:dyDescent="0.3">
      <c r="A751" s="12">
        <v>45451</v>
      </c>
      <c r="B751" s="1" t="s">
        <v>704</v>
      </c>
      <c r="C751" s="1" t="s">
        <v>284</v>
      </c>
      <c r="D751" s="1" t="s">
        <v>83</v>
      </c>
      <c r="E751" s="7">
        <v>25092</v>
      </c>
      <c r="F751" s="1" t="s">
        <v>20</v>
      </c>
      <c r="G751" s="1">
        <v>445</v>
      </c>
      <c r="H751" s="1" t="s">
        <v>34</v>
      </c>
      <c r="I751" s="1" t="s">
        <v>52</v>
      </c>
      <c r="J751" s="1" t="s">
        <v>23</v>
      </c>
      <c r="K751" s="9">
        <v>0.1</v>
      </c>
    </row>
    <row r="752" spans="1:11" x14ac:dyDescent="0.3">
      <c r="A752" s="12">
        <v>45453</v>
      </c>
      <c r="B752" s="1" t="s">
        <v>197</v>
      </c>
      <c r="C752" s="1" t="s">
        <v>37</v>
      </c>
      <c r="D752" s="1" t="s">
        <v>83</v>
      </c>
      <c r="E752" s="7">
        <v>34253</v>
      </c>
      <c r="F752" s="1" t="s">
        <v>33</v>
      </c>
      <c r="G752" s="1">
        <v>283</v>
      </c>
      <c r="H752" s="1" t="s">
        <v>15</v>
      </c>
      <c r="I752" s="1" t="s">
        <v>48</v>
      </c>
      <c r="J752" s="1" t="s">
        <v>17</v>
      </c>
      <c r="K752" s="9">
        <v>0.1</v>
      </c>
    </row>
    <row r="753" spans="1:11" x14ac:dyDescent="0.3">
      <c r="A753" s="12">
        <v>45453</v>
      </c>
      <c r="B753" s="1" t="s">
        <v>66</v>
      </c>
      <c r="C753" s="1" t="s">
        <v>619</v>
      </c>
      <c r="D753" s="1" t="s">
        <v>71</v>
      </c>
      <c r="E753" s="7">
        <v>17082</v>
      </c>
      <c r="F753" s="1" t="s">
        <v>20</v>
      </c>
      <c r="G753" s="1">
        <v>411</v>
      </c>
      <c r="H753" s="1" t="s">
        <v>21</v>
      </c>
      <c r="I753" s="1" t="s">
        <v>52</v>
      </c>
      <c r="J753" s="1" t="s">
        <v>17</v>
      </c>
      <c r="K753" s="9">
        <v>0.1</v>
      </c>
    </row>
    <row r="754" spans="1:11" x14ac:dyDescent="0.3">
      <c r="A754" s="12">
        <v>45453</v>
      </c>
      <c r="B754" s="1" t="s">
        <v>117</v>
      </c>
      <c r="C754" s="1" t="s">
        <v>104</v>
      </c>
      <c r="D754" s="1" t="s">
        <v>32</v>
      </c>
      <c r="E754" s="7">
        <v>37804</v>
      </c>
      <c r="F754" s="1" t="s">
        <v>68</v>
      </c>
      <c r="G754" s="1">
        <v>85</v>
      </c>
      <c r="H754" s="1" t="s">
        <v>47</v>
      </c>
      <c r="I754" s="1" t="s">
        <v>52</v>
      </c>
      <c r="J754" s="1" t="s">
        <v>17</v>
      </c>
      <c r="K754" s="9">
        <v>0.1</v>
      </c>
    </row>
    <row r="755" spans="1:11" x14ac:dyDescent="0.3">
      <c r="A755" s="12">
        <v>45453</v>
      </c>
      <c r="B755" s="1" t="s">
        <v>674</v>
      </c>
      <c r="C755" s="1" t="s">
        <v>846</v>
      </c>
      <c r="D755" s="1" t="s">
        <v>78</v>
      </c>
      <c r="E755" s="7">
        <v>18734</v>
      </c>
      <c r="F755" s="1" t="s">
        <v>14</v>
      </c>
      <c r="G755" s="1">
        <v>287</v>
      </c>
      <c r="H755" s="1" t="s">
        <v>42</v>
      </c>
      <c r="I755" s="1" t="s">
        <v>35</v>
      </c>
      <c r="J755" s="1" t="s">
        <v>17</v>
      </c>
      <c r="K755" s="9">
        <v>0.1</v>
      </c>
    </row>
    <row r="756" spans="1:11" x14ac:dyDescent="0.3">
      <c r="A756" s="12">
        <v>45453</v>
      </c>
      <c r="B756" s="1" t="s">
        <v>368</v>
      </c>
      <c r="C756" s="1" t="s">
        <v>875</v>
      </c>
      <c r="D756" s="1" t="s">
        <v>55</v>
      </c>
      <c r="E756" s="7">
        <v>19876</v>
      </c>
      <c r="F756" s="1" t="s">
        <v>33</v>
      </c>
      <c r="G756" s="1">
        <v>305</v>
      </c>
      <c r="H756" s="1" t="s">
        <v>21</v>
      </c>
      <c r="I756" s="1" t="s">
        <v>48</v>
      </c>
      <c r="J756" s="1" t="s">
        <v>17</v>
      </c>
      <c r="K756" s="9">
        <v>0.1</v>
      </c>
    </row>
    <row r="757" spans="1:11" x14ac:dyDescent="0.3">
      <c r="A757" s="12">
        <v>45454</v>
      </c>
      <c r="B757" s="1" t="s">
        <v>441</v>
      </c>
      <c r="C757" s="1" t="s">
        <v>37</v>
      </c>
      <c r="D757" s="1" t="s">
        <v>55</v>
      </c>
      <c r="E757" s="7">
        <v>33248</v>
      </c>
      <c r="F757" s="1" t="s">
        <v>68</v>
      </c>
      <c r="G757" s="1">
        <v>299</v>
      </c>
      <c r="H757" s="1" t="s">
        <v>15</v>
      </c>
      <c r="I757" s="1" t="s">
        <v>52</v>
      </c>
      <c r="J757" s="1" t="s">
        <v>17</v>
      </c>
      <c r="K757" s="9">
        <v>0.1</v>
      </c>
    </row>
    <row r="758" spans="1:11" x14ac:dyDescent="0.3">
      <c r="A758" s="12">
        <v>45454</v>
      </c>
      <c r="B758" s="1" t="s">
        <v>645</v>
      </c>
      <c r="C758" s="1" t="s">
        <v>646</v>
      </c>
      <c r="D758" s="1" t="s">
        <v>26</v>
      </c>
      <c r="E758" s="7">
        <v>38766</v>
      </c>
      <c r="F758" s="1" t="s">
        <v>14</v>
      </c>
      <c r="G758" s="1">
        <v>389</v>
      </c>
      <c r="H758" s="1" t="s">
        <v>56</v>
      </c>
      <c r="I758" s="1" t="s">
        <v>52</v>
      </c>
      <c r="J758" s="1" t="s">
        <v>17</v>
      </c>
      <c r="K758" s="9">
        <v>0.1</v>
      </c>
    </row>
    <row r="759" spans="1:11" x14ac:dyDescent="0.3">
      <c r="A759" s="12">
        <v>45454</v>
      </c>
      <c r="B759" s="1" t="s">
        <v>653</v>
      </c>
      <c r="C759" s="1" t="s">
        <v>258</v>
      </c>
      <c r="D759" s="1" t="s">
        <v>32</v>
      </c>
      <c r="E759" s="7">
        <v>35995</v>
      </c>
      <c r="F759" s="1" t="s">
        <v>20</v>
      </c>
      <c r="G759" s="1">
        <v>150</v>
      </c>
      <c r="H759" s="1" t="s">
        <v>21</v>
      </c>
      <c r="I759" s="1" t="s">
        <v>43</v>
      </c>
      <c r="J759" s="1" t="s">
        <v>17</v>
      </c>
      <c r="K759" s="9">
        <v>0.1</v>
      </c>
    </row>
    <row r="760" spans="1:11" x14ac:dyDescent="0.3">
      <c r="A760" s="12">
        <v>45454</v>
      </c>
      <c r="B760" s="1" t="s">
        <v>752</v>
      </c>
      <c r="C760" s="1" t="s">
        <v>31</v>
      </c>
      <c r="D760" s="1" t="s">
        <v>71</v>
      </c>
      <c r="E760" s="7">
        <v>37869</v>
      </c>
      <c r="F760" s="1" t="s">
        <v>68</v>
      </c>
      <c r="G760" s="1">
        <v>251</v>
      </c>
      <c r="H760" s="1" t="s">
        <v>59</v>
      </c>
      <c r="I760" s="1" t="s">
        <v>52</v>
      </c>
      <c r="J760" s="1" t="s">
        <v>17</v>
      </c>
      <c r="K760" s="9">
        <v>0.1</v>
      </c>
    </row>
    <row r="761" spans="1:11" x14ac:dyDescent="0.3">
      <c r="A761" s="12">
        <v>45454</v>
      </c>
      <c r="B761" s="1" t="s">
        <v>569</v>
      </c>
      <c r="C761" s="1" t="s">
        <v>225</v>
      </c>
      <c r="D761" s="1" t="s">
        <v>55</v>
      </c>
      <c r="E761" s="7">
        <v>19364</v>
      </c>
      <c r="F761" s="1" t="s">
        <v>33</v>
      </c>
      <c r="G761" s="1">
        <v>223</v>
      </c>
      <c r="H761" s="1" t="s">
        <v>42</v>
      </c>
      <c r="I761" s="1" t="s">
        <v>52</v>
      </c>
      <c r="J761" s="1" t="s">
        <v>23</v>
      </c>
      <c r="K761" s="9">
        <v>0.1</v>
      </c>
    </row>
    <row r="762" spans="1:11" x14ac:dyDescent="0.3">
      <c r="A762" s="12">
        <v>45454</v>
      </c>
      <c r="B762" s="1" t="s">
        <v>413</v>
      </c>
      <c r="C762" s="1" t="s">
        <v>599</v>
      </c>
      <c r="D762" s="1" t="s">
        <v>83</v>
      </c>
      <c r="E762" s="7">
        <v>29357</v>
      </c>
      <c r="F762" s="1" t="s">
        <v>68</v>
      </c>
      <c r="G762" s="1">
        <v>333</v>
      </c>
      <c r="H762" s="1" t="s">
        <v>21</v>
      </c>
      <c r="I762" s="1" t="s">
        <v>48</v>
      </c>
      <c r="J762" s="1" t="s">
        <v>17</v>
      </c>
      <c r="K762" s="9">
        <v>0.1</v>
      </c>
    </row>
    <row r="763" spans="1:11" x14ac:dyDescent="0.3">
      <c r="A763" s="12">
        <v>45455</v>
      </c>
      <c r="B763" s="1" t="s">
        <v>72</v>
      </c>
      <c r="C763" s="1" t="s">
        <v>37</v>
      </c>
      <c r="D763" s="1" t="s">
        <v>38</v>
      </c>
      <c r="E763" s="7">
        <v>32742</v>
      </c>
      <c r="F763" s="1" t="s">
        <v>33</v>
      </c>
      <c r="G763" s="1">
        <v>383</v>
      </c>
      <c r="H763" s="1" t="s">
        <v>42</v>
      </c>
      <c r="I763" s="1" t="s">
        <v>28</v>
      </c>
      <c r="J763" s="1" t="s">
        <v>29</v>
      </c>
      <c r="K763" s="9">
        <v>0.1</v>
      </c>
    </row>
    <row r="764" spans="1:11" x14ac:dyDescent="0.3">
      <c r="A764" s="12">
        <v>45456</v>
      </c>
      <c r="B764" s="1" t="s">
        <v>368</v>
      </c>
      <c r="C764" s="1" t="s">
        <v>329</v>
      </c>
      <c r="D764" s="1" t="s">
        <v>83</v>
      </c>
      <c r="E764" s="7">
        <v>19705</v>
      </c>
      <c r="F764" s="1" t="s">
        <v>14</v>
      </c>
      <c r="G764" s="1">
        <v>404</v>
      </c>
      <c r="H764" s="1" t="s">
        <v>64</v>
      </c>
      <c r="I764" s="1" t="s">
        <v>52</v>
      </c>
      <c r="J764" s="1" t="s">
        <v>17</v>
      </c>
      <c r="K764" s="9">
        <v>0.1</v>
      </c>
    </row>
    <row r="765" spans="1:11" x14ac:dyDescent="0.3">
      <c r="A765" s="12">
        <v>45456</v>
      </c>
      <c r="B765" s="1" t="s">
        <v>381</v>
      </c>
      <c r="C765" s="1" t="s">
        <v>382</v>
      </c>
      <c r="D765" s="1" t="s">
        <v>55</v>
      </c>
      <c r="E765" s="7">
        <v>34868</v>
      </c>
      <c r="F765" s="1" t="s">
        <v>20</v>
      </c>
      <c r="G765" s="1">
        <v>359</v>
      </c>
      <c r="H765" s="1" t="s">
        <v>27</v>
      </c>
      <c r="I765" s="1" t="s">
        <v>39</v>
      </c>
      <c r="J765" s="1" t="s">
        <v>17</v>
      </c>
      <c r="K765" s="9">
        <v>0.1</v>
      </c>
    </row>
    <row r="766" spans="1:11" x14ac:dyDescent="0.3">
      <c r="A766" s="12">
        <v>45456</v>
      </c>
      <c r="B766" s="1" t="s">
        <v>332</v>
      </c>
      <c r="C766" s="1" t="s">
        <v>742</v>
      </c>
      <c r="D766" s="1" t="s">
        <v>51</v>
      </c>
      <c r="E766" s="7">
        <v>28788</v>
      </c>
      <c r="F766" s="1" t="s">
        <v>14</v>
      </c>
      <c r="G766" s="1">
        <v>149</v>
      </c>
      <c r="H766" s="1" t="s">
        <v>59</v>
      </c>
      <c r="I766" s="1" t="s">
        <v>48</v>
      </c>
      <c r="J766" s="1" t="s">
        <v>17</v>
      </c>
      <c r="K766" s="9">
        <v>0.1</v>
      </c>
    </row>
    <row r="767" spans="1:11" x14ac:dyDescent="0.3">
      <c r="A767" s="12">
        <v>45456</v>
      </c>
      <c r="B767" s="1" t="s">
        <v>469</v>
      </c>
      <c r="C767" s="1" t="s">
        <v>851</v>
      </c>
      <c r="D767" s="1" t="s">
        <v>94</v>
      </c>
      <c r="E767" s="7">
        <v>37453</v>
      </c>
      <c r="F767" s="1" t="s">
        <v>20</v>
      </c>
      <c r="G767" s="1">
        <v>42</v>
      </c>
      <c r="H767" s="1" t="s">
        <v>59</v>
      </c>
      <c r="I767" s="1" t="s">
        <v>28</v>
      </c>
      <c r="J767" s="1" t="s">
        <v>17</v>
      </c>
      <c r="K767" s="9">
        <v>0.1</v>
      </c>
    </row>
    <row r="768" spans="1:11" x14ac:dyDescent="0.3">
      <c r="A768" s="12">
        <v>45457</v>
      </c>
      <c r="B768" s="1" t="s">
        <v>81</v>
      </c>
      <c r="C768" s="1" t="s">
        <v>267</v>
      </c>
      <c r="D768" s="1" t="s">
        <v>26</v>
      </c>
      <c r="E768" s="7">
        <v>30814</v>
      </c>
      <c r="F768" s="1" t="s">
        <v>68</v>
      </c>
      <c r="G768" s="1">
        <v>329</v>
      </c>
      <c r="H768" s="1" t="s">
        <v>65</v>
      </c>
      <c r="I768" s="1" t="s">
        <v>43</v>
      </c>
      <c r="J768" s="1" t="s">
        <v>17</v>
      </c>
      <c r="K768" s="9">
        <v>0.1</v>
      </c>
    </row>
    <row r="769" spans="1:11" x14ac:dyDescent="0.3">
      <c r="A769" s="12">
        <v>45457</v>
      </c>
      <c r="B769" s="1" t="s">
        <v>191</v>
      </c>
      <c r="C769" s="1" t="s">
        <v>499</v>
      </c>
      <c r="D769" s="1" t="s">
        <v>55</v>
      </c>
      <c r="E769" s="7">
        <v>21781</v>
      </c>
      <c r="F769" s="1" t="s">
        <v>68</v>
      </c>
      <c r="G769" s="1">
        <v>442</v>
      </c>
      <c r="H769" s="1" t="s">
        <v>27</v>
      </c>
      <c r="I769" s="1" t="s">
        <v>52</v>
      </c>
      <c r="J769" s="1" t="s">
        <v>17</v>
      </c>
      <c r="K769" s="9">
        <v>0.1</v>
      </c>
    </row>
    <row r="770" spans="1:11" x14ac:dyDescent="0.3">
      <c r="A770" s="12">
        <v>45457</v>
      </c>
      <c r="B770" s="1" t="s">
        <v>675</v>
      </c>
      <c r="C770" s="1" t="s">
        <v>425</v>
      </c>
      <c r="D770" s="1" t="s">
        <v>51</v>
      </c>
      <c r="E770" s="7">
        <v>38657</v>
      </c>
      <c r="F770" s="1" t="s">
        <v>20</v>
      </c>
      <c r="G770" s="1">
        <v>185</v>
      </c>
      <c r="H770" s="1" t="s">
        <v>34</v>
      </c>
      <c r="I770" s="1" t="s">
        <v>52</v>
      </c>
      <c r="J770" s="1" t="s">
        <v>17</v>
      </c>
      <c r="K770" s="9">
        <v>0.1</v>
      </c>
    </row>
    <row r="771" spans="1:11" x14ac:dyDescent="0.3">
      <c r="A771" s="12">
        <v>45457</v>
      </c>
      <c r="B771" s="1" t="s">
        <v>109</v>
      </c>
      <c r="C771" s="1" t="s">
        <v>19</v>
      </c>
      <c r="D771" s="1" t="s">
        <v>78</v>
      </c>
      <c r="E771" s="7">
        <v>22265</v>
      </c>
      <c r="F771" s="1" t="s">
        <v>33</v>
      </c>
      <c r="G771" s="1">
        <v>63</v>
      </c>
      <c r="H771" s="1" t="s">
        <v>42</v>
      </c>
      <c r="I771" s="1" t="s">
        <v>48</v>
      </c>
      <c r="J771" s="1" t="s">
        <v>17</v>
      </c>
      <c r="K771" s="9">
        <v>0.1</v>
      </c>
    </row>
    <row r="772" spans="1:11" x14ac:dyDescent="0.3">
      <c r="A772" s="12">
        <v>45457</v>
      </c>
      <c r="B772" s="1" t="s">
        <v>489</v>
      </c>
      <c r="C772" s="1" t="s">
        <v>295</v>
      </c>
      <c r="D772" s="1" t="s">
        <v>26</v>
      </c>
      <c r="E772" s="7">
        <v>31686</v>
      </c>
      <c r="F772" s="1" t="s">
        <v>20</v>
      </c>
      <c r="G772" s="1">
        <v>157</v>
      </c>
      <c r="H772" s="1" t="s">
        <v>47</v>
      </c>
      <c r="I772" s="1" t="s">
        <v>48</v>
      </c>
      <c r="J772" s="1" t="s">
        <v>17</v>
      </c>
      <c r="K772" s="9">
        <v>0.1</v>
      </c>
    </row>
    <row r="773" spans="1:11" x14ac:dyDescent="0.3">
      <c r="A773" s="12">
        <v>45458</v>
      </c>
      <c r="B773" s="1" t="s">
        <v>358</v>
      </c>
      <c r="C773" s="1" t="s">
        <v>359</v>
      </c>
      <c r="D773" s="1" t="s">
        <v>83</v>
      </c>
      <c r="E773" s="7">
        <v>17708</v>
      </c>
      <c r="F773" s="1" t="s">
        <v>68</v>
      </c>
      <c r="G773" s="1">
        <v>312</v>
      </c>
      <c r="H773" s="1" t="s">
        <v>15</v>
      </c>
      <c r="I773" s="1" t="s">
        <v>48</v>
      </c>
      <c r="J773" s="1" t="s">
        <v>17</v>
      </c>
      <c r="K773" s="9">
        <v>0.1</v>
      </c>
    </row>
    <row r="774" spans="1:11" x14ac:dyDescent="0.3">
      <c r="A774" s="12">
        <v>45458</v>
      </c>
      <c r="B774" s="1" t="s">
        <v>399</v>
      </c>
      <c r="C774" s="1" t="s">
        <v>400</v>
      </c>
      <c r="D774" s="1" t="s">
        <v>38</v>
      </c>
      <c r="E774" s="7">
        <v>17924</v>
      </c>
      <c r="F774" s="1" t="s">
        <v>68</v>
      </c>
      <c r="G774" s="1">
        <v>137</v>
      </c>
      <c r="H774" s="1" t="s">
        <v>56</v>
      </c>
      <c r="I774" s="1" t="s">
        <v>28</v>
      </c>
      <c r="J774" s="1" t="s">
        <v>17</v>
      </c>
      <c r="K774" s="9">
        <v>0.1</v>
      </c>
    </row>
    <row r="775" spans="1:11" x14ac:dyDescent="0.3">
      <c r="A775" s="12">
        <v>45458</v>
      </c>
      <c r="B775" s="1" t="s">
        <v>241</v>
      </c>
      <c r="C775" s="1" t="s">
        <v>425</v>
      </c>
      <c r="D775" s="1" t="s">
        <v>78</v>
      </c>
      <c r="E775" s="7">
        <v>20370</v>
      </c>
      <c r="F775" s="1" t="s">
        <v>68</v>
      </c>
      <c r="G775" s="1">
        <v>307</v>
      </c>
      <c r="H775" s="1" t="s">
        <v>65</v>
      </c>
      <c r="I775" s="1" t="s">
        <v>48</v>
      </c>
      <c r="J775" s="1" t="s">
        <v>17</v>
      </c>
      <c r="K775" s="9">
        <v>0.1</v>
      </c>
    </row>
    <row r="776" spans="1:11" x14ac:dyDescent="0.3">
      <c r="A776" s="12">
        <v>45458</v>
      </c>
      <c r="B776" s="1" t="s">
        <v>286</v>
      </c>
      <c r="C776" s="1" t="s">
        <v>497</v>
      </c>
      <c r="D776" s="1" t="s">
        <v>71</v>
      </c>
      <c r="E776" s="7">
        <v>20155</v>
      </c>
      <c r="F776" s="1" t="s">
        <v>20</v>
      </c>
      <c r="G776" s="1">
        <v>202</v>
      </c>
      <c r="H776" s="1" t="s">
        <v>56</v>
      </c>
      <c r="I776" s="1" t="s">
        <v>48</v>
      </c>
      <c r="J776" s="1" t="s">
        <v>17</v>
      </c>
      <c r="K776" s="9">
        <v>0.1</v>
      </c>
    </row>
    <row r="777" spans="1:11" x14ac:dyDescent="0.3">
      <c r="A777" s="12">
        <v>45459</v>
      </c>
      <c r="B777" s="1" t="s">
        <v>255</v>
      </c>
      <c r="C777" s="1" t="s">
        <v>251</v>
      </c>
      <c r="D777" s="1"/>
      <c r="E777" s="7">
        <v>31867</v>
      </c>
      <c r="F777" s="1" t="s">
        <v>33</v>
      </c>
      <c r="G777" s="1">
        <v>373</v>
      </c>
      <c r="H777" s="1" t="s">
        <v>42</v>
      </c>
      <c r="I777" s="1" t="s">
        <v>48</v>
      </c>
      <c r="J777" s="1" t="s">
        <v>17</v>
      </c>
      <c r="K777" s="9">
        <v>0.1</v>
      </c>
    </row>
    <row r="778" spans="1:11" x14ac:dyDescent="0.3">
      <c r="A778" s="12">
        <v>45459</v>
      </c>
      <c r="B778" s="1"/>
      <c r="C778" s="1" t="s">
        <v>162</v>
      </c>
      <c r="D778" s="1" t="s">
        <v>94</v>
      </c>
      <c r="E778" s="7">
        <v>30294</v>
      </c>
      <c r="F778" s="1" t="s">
        <v>68</v>
      </c>
      <c r="G778" s="1">
        <v>394</v>
      </c>
      <c r="H778" s="1" t="s">
        <v>56</v>
      </c>
      <c r="I778" s="1" t="s">
        <v>39</v>
      </c>
      <c r="J778" s="1"/>
      <c r="K778" s="9">
        <v>0.1</v>
      </c>
    </row>
    <row r="779" spans="1:11" x14ac:dyDescent="0.3">
      <c r="A779" s="12">
        <v>45459</v>
      </c>
      <c r="B779" s="1" t="s">
        <v>436</v>
      </c>
      <c r="C779" s="1" t="s">
        <v>120</v>
      </c>
      <c r="D779" s="1" t="s">
        <v>94</v>
      </c>
      <c r="E779" s="7">
        <v>20473</v>
      </c>
      <c r="F779" s="1" t="s">
        <v>20</v>
      </c>
      <c r="G779" s="1">
        <v>15</v>
      </c>
      <c r="H779" s="1" t="s">
        <v>47</v>
      </c>
      <c r="I779" s="1" t="s">
        <v>48</v>
      </c>
      <c r="J779" s="1" t="s">
        <v>23</v>
      </c>
      <c r="K779" s="9">
        <v>0.1</v>
      </c>
    </row>
    <row r="780" spans="1:11" x14ac:dyDescent="0.3">
      <c r="A780" s="12">
        <v>45459</v>
      </c>
      <c r="B780" s="1" t="s">
        <v>401</v>
      </c>
      <c r="C780" s="1" t="s">
        <v>685</v>
      </c>
      <c r="D780" s="1" t="s">
        <v>13</v>
      </c>
      <c r="E780" s="7">
        <v>22078</v>
      </c>
      <c r="F780" s="1" t="s">
        <v>33</v>
      </c>
      <c r="G780" s="1"/>
      <c r="H780" s="1" t="s">
        <v>65</v>
      </c>
      <c r="I780" s="1" t="s">
        <v>48</v>
      </c>
      <c r="J780" s="1" t="s">
        <v>17</v>
      </c>
      <c r="K780" s="9">
        <v>0.1</v>
      </c>
    </row>
    <row r="781" spans="1:11" x14ac:dyDescent="0.3">
      <c r="A781" s="12">
        <v>45460</v>
      </c>
      <c r="B781" s="1" t="s">
        <v>201</v>
      </c>
      <c r="C781" s="1" t="s">
        <v>125</v>
      </c>
      <c r="D781" s="1" t="s">
        <v>38</v>
      </c>
      <c r="E781" s="7">
        <v>37923</v>
      </c>
      <c r="F781" s="1" t="s">
        <v>20</v>
      </c>
      <c r="G781" s="1">
        <v>113</v>
      </c>
      <c r="H781" s="1" t="s">
        <v>27</v>
      </c>
      <c r="I781" s="1" t="s">
        <v>43</v>
      </c>
      <c r="J781" s="1" t="s">
        <v>17</v>
      </c>
      <c r="K781" s="9">
        <v>0.1</v>
      </c>
    </row>
    <row r="782" spans="1:11" x14ac:dyDescent="0.3">
      <c r="A782" s="12">
        <v>45460</v>
      </c>
      <c r="B782" s="1" t="s">
        <v>69</v>
      </c>
      <c r="C782" s="1" t="s">
        <v>293</v>
      </c>
      <c r="D782" s="1" t="s">
        <v>78</v>
      </c>
      <c r="E782" s="7">
        <v>37441</v>
      </c>
      <c r="F782" s="1" t="s">
        <v>33</v>
      </c>
      <c r="G782" s="1">
        <v>10</v>
      </c>
      <c r="H782" s="1" t="s">
        <v>27</v>
      </c>
      <c r="I782" s="1" t="s">
        <v>43</v>
      </c>
      <c r="J782" s="1" t="s">
        <v>17</v>
      </c>
      <c r="K782" s="9">
        <v>0.1</v>
      </c>
    </row>
    <row r="783" spans="1:11" x14ac:dyDescent="0.3">
      <c r="A783" s="12">
        <v>45460</v>
      </c>
      <c r="B783" s="1" t="s">
        <v>442</v>
      </c>
      <c r="C783" s="1" t="s">
        <v>443</v>
      </c>
      <c r="D783" s="1" t="s">
        <v>26</v>
      </c>
      <c r="E783" s="7">
        <v>22462</v>
      </c>
      <c r="F783" s="1" t="s">
        <v>33</v>
      </c>
      <c r="G783" s="1">
        <v>83</v>
      </c>
      <c r="H783" s="1" t="s">
        <v>34</v>
      </c>
      <c r="I783" s="1" t="s">
        <v>52</v>
      </c>
      <c r="J783" s="1" t="s">
        <v>17</v>
      </c>
      <c r="K783" s="9">
        <v>0.1</v>
      </c>
    </row>
    <row r="784" spans="1:11" x14ac:dyDescent="0.3">
      <c r="A784" s="12">
        <v>45460</v>
      </c>
      <c r="B784" s="1" t="s">
        <v>226</v>
      </c>
      <c r="C784" s="1" t="s">
        <v>557</v>
      </c>
      <c r="D784" s="1" t="s">
        <v>32</v>
      </c>
      <c r="E784" s="7">
        <v>20693</v>
      </c>
      <c r="F784" s="1" t="s">
        <v>20</v>
      </c>
      <c r="G784" s="1">
        <v>264</v>
      </c>
      <c r="H784" s="1" t="s">
        <v>64</v>
      </c>
      <c r="I784" s="1" t="s">
        <v>48</v>
      </c>
      <c r="J784" s="1" t="s">
        <v>17</v>
      </c>
      <c r="K784" s="9">
        <v>0.1</v>
      </c>
    </row>
    <row r="785" spans="1:11" x14ac:dyDescent="0.3">
      <c r="A785" s="12">
        <v>45460</v>
      </c>
      <c r="B785" s="1" t="s">
        <v>661</v>
      </c>
      <c r="C785" s="1" t="s">
        <v>605</v>
      </c>
      <c r="D785" s="1" t="s">
        <v>71</v>
      </c>
      <c r="E785" s="7">
        <v>31250</v>
      </c>
      <c r="F785" s="1"/>
      <c r="G785" s="1">
        <v>108</v>
      </c>
      <c r="H785" s="1" t="s">
        <v>56</v>
      </c>
      <c r="I785" s="1" t="s">
        <v>43</v>
      </c>
      <c r="J785" s="1"/>
      <c r="K785" s="9">
        <v>0.1</v>
      </c>
    </row>
    <row r="786" spans="1:11" x14ac:dyDescent="0.3">
      <c r="A786" s="12">
        <v>45460</v>
      </c>
      <c r="B786" s="1" t="s">
        <v>663</v>
      </c>
      <c r="C786" s="1" t="s">
        <v>621</v>
      </c>
      <c r="D786" s="1" t="s">
        <v>26</v>
      </c>
      <c r="E786" s="7">
        <v>36925</v>
      </c>
      <c r="F786" s="1" t="s">
        <v>14</v>
      </c>
      <c r="G786" s="1">
        <v>60</v>
      </c>
      <c r="H786" s="1" t="s">
        <v>59</v>
      </c>
      <c r="I786" s="1" t="s">
        <v>52</v>
      </c>
      <c r="J786" s="1" t="s">
        <v>17</v>
      </c>
      <c r="K786" s="9">
        <v>0.1</v>
      </c>
    </row>
    <row r="787" spans="1:11" x14ac:dyDescent="0.3">
      <c r="A787" s="12">
        <v>45460</v>
      </c>
      <c r="B787" s="1" t="s">
        <v>689</v>
      </c>
      <c r="C787" s="1" t="s">
        <v>595</v>
      </c>
      <c r="D787" s="1" t="s">
        <v>32</v>
      </c>
      <c r="E787" s="7">
        <v>17232</v>
      </c>
      <c r="F787" s="1" t="s">
        <v>14</v>
      </c>
      <c r="G787" s="1">
        <v>344</v>
      </c>
      <c r="H787" s="1" t="s">
        <v>27</v>
      </c>
      <c r="I787" s="1" t="s">
        <v>35</v>
      </c>
      <c r="J787" s="1" t="s">
        <v>17</v>
      </c>
      <c r="K787" s="9">
        <v>0.1</v>
      </c>
    </row>
    <row r="788" spans="1:11" x14ac:dyDescent="0.3">
      <c r="A788" s="12">
        <v>45460</v>
      </c>
      <c r="B788" s="1" t="s">
        <v>194</v>
      </c>
      <c r="C788" s="1" t="s">
        <v>120</v>
      </c>
      <c r="D788" s="1" t="s">
        <v>78</v>
      </c>
      <c r="E788" s="7">
        <v>27057</v>
      </c>
      <c r="F788" s="1" t="s">
        <v>14</v>
      </c>
      <c r="G788" s="1">
        <v>345</v>
      </c>
      <c r="H788" s="1" t="s">
        <v>59</v>
      </c>
      <c r="I788" s="1"/>
      <c r="J788" s="1"/>
      <c r="K788" s="9">
        <v>0.1</v>
      </c>
    </row>
    <row r="789" spans="1:11" x14ac:dyDescent="0.3">
      <c r="A789" s="12">
        <v>45461</v>
      </c>
      <c r="B789" s="1" t="s">
        <v>560</v>
      </c>
      <c r="C789" s="1" t="s">
        <v>561</v>
      </c>
      <c r="D789" s="1" t="s">
        <v>51</v>
      </c>
      <c r="E789" s="7">
        <v>25872</v>
      </c>
      <c r="F789" s="1" t="s">
        <v>33</v>
      </c>
      <c r="G789" s="1">
        <v>494</v>
      </c>
      <c r="H789" s="1" t="s">
        <v>42</v>
      </c>
      <c r="I789" s="1" t="s">
        <v>35</v>
      </c>
      <c r="J789" s="1" t="s">
        <v>17</v>
      </c>
      <c r="K789" s="9">
        <v>0.1</v>
      </c>
    </row>
    <row r="790" spans="1:11" x14ac:dyDescent="0.3">
      <c r="A790" s="12">
        <v>45461</v>
      </c>
      <c r="B790" s="1" t="s">
        <v>582</v>
      </c>
      <c r="C790" s="1" t="s">
        <v>583</v>
      </c>
      <c r="D790" s="1" t="s">
        <v>94</v>
      </c>
      <c r="E790" s="7">
        <v>33774</v>
      </c>
      <c r="F790" s="1" t="s">
        <v>20</v>
      </c>
      <c r="G790" s="1">
        <v>484</v>
      </c>
      <c r="H790" s="1" t="s">
        <v>47</v>
      </c>
      <c r="I790" s="1" t="s">
        <v>48</v>
      </c>
      <c r="J790" s="1" t="s">
        <v>17</v>
      </c>
      <c r="K790" s="9">
        <v>0.1</v>
      </c>
    </row>
    <row r="791" spans="1:11" x14ac:dyDescent="0.3">
      <c r="A791" s="12">
        <v>45461</v>
      </c>
      <c r="B791" s="1" t="s">
        <v>156</v>
      </c>
      <c r="C791" s="1" t="s">
        <v>609</v>
      </c>
      <c r="D791" s="1" t="s">
        <v>71</v>
      </c>
      <c r="E791" s="7">
        <v>38438</v>
      </c>
      <c r="F791" s="1" t="s">
        <v>20</v>
      </c>
      <c r="G791" s="1">
        <v>248</v>
      </c>
      <c r="H791" s="1" t="s">
        <v>59</v>
      </c>
      <c r="I791" s="1" t="s">
        <v>52</v>
      </c>
      <c r="J791" s="1" t="s">
        <v>17</v>
      </c>
      <c r="K791" s="9">
        <v>0.1</v>
      </c>
    </row>
    <row r="792" spans="1:11" x14ac:dyDescent="0.3">
      <c r="A792" s="12">
        <v>45461</v>
      </c>
      <c r="B792" s="1" t="s">
        <v>107</v>
      </c>
      <c r="C792" s="1" t="s">
        <v>678</v>
      </c>
      <c r="D792" s="1" t="s">
        <v>51</v>
      </c>
      <c r="E792" s="7">
        <v>34009</v>
      </c>
      <c r="F792" s="1" t="s">
        <v>68</v>
      </c>
      <c r="G792" s="1">
        <v>357</v>
      </c>
      <c r="H792" s="1" t="s">
        <v>42</v>
      </c>
      <c r="I792" s="1" t="s">
        <v>52</v>
      </c>
      <c r="J792" s="1" t="s">
        <v>17</v>
      </c>
      <c r="K792" s="9">
        <v>0.1</v>
      </c>
    </row>
    <row r="793" spans="1:11" x14ac:dyDescent="0.3">
      <c r="A793" s="12">
        <v>45461</v>
      </c>
      <c r="B793" s="1" t="s">
        <v>241</v>
      </c>
      <c r="C793" s="1" t="s">
        <v>204</v>
      </c>
      <c r="D793" s="1" t="s">
        <v>78</v>
      </c>
      <c r="E793" s="7">
        <v>29139</v>
      </c>
      <c r="F793" s="1" t="s">
        <v>14</v>
      </c>
      <c r="G793" s="1">
        <v>471</v>
      </c>
      <c r="H793" s="1" t="s">
        <v>47</v>
      </c>
      <c r="I793" s="1" t="s">
        <v>35</v>
      </c>
      <c r="J793" s="1" t="s">
        <v>17</v>
      </c>
      <c r="K793" s="9">
        <v>0.1</v>
      </c>
    </row>
    <row r="794" spans="1:11" x14ac:dyDescent="0.3">
      <c r="A794" s="12">
        <v>45461</v>
      </c>
      <c r="B794" s="1" t="s">
        <v>24</v>
      </c>
      <c r="C794" s="1" t="s">
        <v>25</v>
      </c>
      <c r="D794" s="1" t="s">
        <v>26</v>
      </c>
      <c r="E794" s="7">
        <v>34879</v>
      </c>
      <c r="F794" s="1" t="s">
        <v>68</v>
      </c>
      <c r="G794" s="1">
        <v>323</v>
      </c>
      <c r="H794" s="1" t="s">
        <v>15</v>
      </c>
      <c r="I794" s="1" t="s">
        <v>48</v>
      </c>
      <c r="J794" s="1" t="s">
        <v>17</v>
      </c>
      <c r="K794" s="9">
        <v>0.1</v>
      </c>
    </row>
    <row r="795" spans="1:11" x14ac:dyDescent="0.3">
      <c r="A795" s="12">
        <v>45461</v>
      </c>
      <c r="B795" s="1" t="s">
        <v>876</v>
      </c>
      <c r="C795" s="1" t="s">
        <v>295</v>
      </c>
      <c r="D795" s="1" t="s">
        <v>51</v>
      </c>
      <c r="E795" s="7">
        <v>23954</v>
      </c>
      <c r="F795" s="1" t="s">
        <v>20</v>
      </c>
      <c r="G795" s="1">
        <v>493</v>
      </c>
      <c r="H795" s="1" t="s">
        <v>65</v>
      </c>
      <c r="I795" s="1" t="s">
        <v>52</v>
      </c>
      <c r="J795" s="1" t="s">
        <v>17</v>
      </c>
      <c r="K795" s="9">
        <v>0.1</v>
      </c>
    </row>
    <row r="796" spans="1:11" x14ac:dyDescent="0.3">
      <c r="A796" s="12">
        <v>45462</v>
      </c>
      <c r="B796" s="1" t="s">
        <v>84</v>
      </c>
      <c r="C796" s="1" t="s">
        <v>85</v>
      </c>
      <c r="D796" s="1" t="s">
        <v>55</v>
      </c>
      <c r="E796" s="7">
        <v>19098</v>
      </c>
      <c r="F796" s="1" t="s">
        <v>68</v>
      </c>
      <c r="G796" s="1">
        <v>370</v>
      </c>
      <c r="H796" s="1" t="s">
        <v>27</v>
      </c>
      <c r="I796" s="1" t="s">
        <v>52</v>
      </c>
      <c r="J796" s="1" t="s">
        <v>29</v>
      </c>
      <c r="K796" s="9">
        <v>0.1</v>
      </c>
    </row>
    <row r="797" spans="1:11" x14ac:dyDescent="0.3">
      <c r="A797" s="12">
        <v>45462</v>
      </c>
      <c r="B797" s="1" t="s">
        <v>208</v>
      </c>
      <c r="C797" s="1" t="s">
        <v>209</v>
      </c>
      <c r="D797" s="1" t="s">
        <v>55</v>
      </c>
      <c r="E797" s="7">
        <v>25439</v>
      </c>
      <c r="F797" s="1"/>
      <c r="G797" s="1">
        <v>170</v>
      </c>
      <c r="H797" s="1" t="s">
        <v>27</v>
      </c>
      <c r="I797" s="1" t="s">
        <v>43</v>
      </c>
      <c r="J797" s="1" t="s">
        <v>29</v>
      </c>
      <c r="K797" s="9">
        <v>0.1</v>
      </c>
    </row>
    <row r="798" spans="1:11" x14ac:dyDescent="0.3">
      <c r="A798" s="12">
        <v>45462</v>
      </c>
      <c r="B798" s="1" t="s">
        <v>798</v>
      </c>
      <c r="C798" s="1" t="s">
        <v>708</v>
      </c>
      <c r="D798" s="1" t="s">
        <v>94</v>
      </c>
      <c r="E798" s="7">
        <v>22070</v>
      </c>
      <c r="F798" s="1" t="s">
        <v>20</v>
      </c>
      <c r="G798" s="1">
        <v>134</v>
      </c>
      <c r="H798" s="1" t="s">
        <v>65</v>
      </c>
      <c r="I798" s="1" t="s">
        <v>52</v>
      </c>
      <c r="J798" s="1" t="s">
        <v>17</v>
      </c>
      <c r="K798" s="9">
        <v>0.1</v>
      </c>
    </row>
    <row r="799" spans="1:11" x14ac:dyDescent="0.3">
      <c r="A799" s="12">
        <v>45463</v>
      </c>
      <c r="B799" s="1" t="s">
        <v>332</v>
      </c>
      <c r="C799" s="1" t="s">
        <v>249</v>
      </c>
      <c r="D799" s="1" t="s">
        <v>46</v>
      </c>
      <c r="E799" s="7">
        <v>18724</v>
      </c>
      <c r="F799" s="1" t="s">
        <v>68</v>
      </c>
      <c r="G799" s="1">
        <v>233</v>
      </c>
      <c r="H799" s="1" t="s">
        <v>65</v>
      </c>
      <c r="I799" s="1" t="s">
        <v>48</v>
      </c>
      <c r="J799" s="1" t="s">
        <v>17</v>
      </c>
      <c r="K799" s="9">
        <v>0.1</v>
      </c>
    </row>
    <row r="800" spans="1:11" x14ac:dyDescent="0.3">
      <c r="A800" s="12">
        <v>45464</v>
      </c>
      <c r="B800" s="1" t="s">
        <v>117</v>
      </c>
      <c r="C800" s="1" t="s">
        <v>118</v>
      </c>
      <c r="D800" s="1" t="s">
        <v>78</v>
      </c>
      <c r="E800" s="7">
        <v>33457</v>
      </c>
      <c r="F800" s="1" t="s">
        <v>68</v>
      </c>
      <c r="G800" s="1">
        <v>267</v>
      </c>
      <c r="H800" s="1" t="s">
        <v>15</v>
      </c>
      <c r="I800" s="1" t="s">
        <v>43</v>
      </c>
      <c r="J800" s="1" t="s">
        <v>29</v>
      </c>
      <c r="K800" s="9">
        <v>0.1</v>
      </c>
    </row>
    <row r="801" spans="1:11" x14ac:dyDescent="0.3">
      <c r="A801" s="12">
        <v>45464</v>
      </c>
      <c r="B801" s="1" t="s">
        <v>235</v>
      </c>
      <c r="C801" s="1" t="s">
        <v>236</v>
      </c>
      <c r="D801" s="1" t="s">
        <v>13</v>
      </c>
      <c r="E801" s="7">
        <v>28447</v>
      </c>
      <c r="F801" s="1" t="s">
        <v>68</v>
      </c>
      <c r="G801" s="1">
        <v>329</v>
      </c>
      <c r="H801" s="1" t="s">
        <v>65</v>
      </c>
      <c r="I801" s="1" t="s">
        <v>48</v>
      </c>
      <c r="J801" s="1" t="s">
        <v>29</v>
      </c>
      <c r="K801" s="9">
        <v>0.1</v>
      </c>
    </row>
    <row r="802" spans="1:11" x14ac:dyDescent="0.3">
      <c r="A802" s="12">
        <v>45464</v>
      </c>
      <c r="B802" s="1" t="s">
        <v>297</v>
      </c>
      <c r="C802" s="1" t="s">
        <v>87</v>
      </c>
      <c r="D802" s="1" t="s">
        <v>71</v>
      </c>
      <c r="E802" s="7">
        <v>20081</v>
      </c>
      <c r="F802" s="1" t="s">
        <v>68</v>
      </c>
      <c r="G802" s="1">
        <v>360</v>
      </c>
      <c r="H802" s="1" t="s">
        <v>34</v>
      </c>
      <c r="I802" s="1" t="s">
        <v>28</v>
      </c>
      <c r="J802" s="1" t="s">
        <v>17</v>
      </c>
      <c r="K802" s="9">
        <v>0.1</v>
      </c>
    </row>
    <row r="803" spans="1:11" x14ac:dyDescent="0.3">
      <c r="A803" s="12">
        <v>45464</v>
      </c>
      <c r="B803" s="1" t="s">
        <v>321</v>
      </c>
      <c r="C803" s="1" t="s">
        <v>249</v>
      </c>
      <c r="D803" s="1" t="s">
        <v>13</v>
      </c>
      <c r="E803" s="7">
        <v>24991</v>
      </c>
      <c r="F803" s="1" t="s">
        <v>14</v>
      </c>
      <c r="G803" s="1">
        <v>442</v>
      </c>
      <c r="H803" s="1" t="s">
        <v>42</v>
      </c>
      <c r="I803" s="1" t="s">
        <v>35</v>
      </c>
      <c r="J803" s="1" t="s">
        <v>17</v>
      </c>
      <c r="K803" s="9">
        <v>0.1</v>
      </c>
    </row>
    <row r="804" spans="1:11" x14ac:dyDescent="0.3">
      <c r="A804" s="12">
        <v>45464</v>
      </c>
      <c r="B804" s="1" t="s">
        <v>548</v>
      </c>
      <c r="C804" s="1" t="s">
        <v>549</v>
      </c>
      <c r="D804" s="1" t="s">
        <v>46</v>
      </c>
      <c r="E804" s="7">
        <v>20692</v>
      </c>
      <c r="F804" s="1" t="s">
        <v>14</v>
      </c>
      <c r="G804" s="1">
        <v>50</v>
      </c>
      <c r="H804" s="1" t="s">
        <v>27</v>
      </c>
      <c r="I804" s="1" t="s">
        <v>39</v>
      </c>
      <c r="J804" s="1" t="s">
        <v>17</v>
      </c>
      <c r="K804" s="9">
        <v>0.1</v>
      </c>
    </row>
    <row r="805" spans="1:11" x14ac:dyDescent="0.3">
      <c r="A805" s="12">
        <v>45464</v>
      </c>
      <c r="B805" s="1" t="s">
        <v>672</v>
      </c>
      <c r="C805" s="1" t="s">
        <v>673</v>
      </c>
      <c r="D805" s="1" t="s">
        <v>71</v>
      </c>
      <c r="E805" s="7">
        <v>19694</v>
      </c>
      <c r="F805" s="1" t="s">
        <v>33</v>
      </c>
      <c r="G805" s="1">
        <v>53</v>
      </c>
      <c r="H805" s="1" t="s">
        <v>47</v>
      </c>
      <c r="I805" s="1" t="s">
        <v>48</v>
      </c>
      <c r="J805" s="1" t="s">
        <v>17</v>
      </c>
      <c r="K805" s="9">
        <v>0.1</v>
      </c>
    </row>
    <row r="806" spans="1:11" x14ac:dyDescent="0.3">
      <c r="A806" s="12">
        <v>45464</v>
      </c>
      <c r="B806" s="1" t="s">
        <v>429</v>
      </c>
      <c r="C806" s="1" t="s">
        <v>709</v>
      </c>
      <c r="D806" s="1" t="s">
        <v>94</v>
      </c>
      <c r="E806" s="7">
        <v>17726</v>
      </c>
      <c r="F806" s="1" t="s">
        <v>14</v>
      </c>
      <c r="G806" s="1">
        <v>307</v>
      </c>
      <c r="H806" s="1" t="s">
        <v>15</v>
      </c>
      <c r="I806" s="1" t="s">
        <v>48</v>
      </c>
      <c r="J806" s="1" t="s">
        <v>17</v>
      </c>
      <c r="K806" s="9">
        <v>0.1</v>
      </c>
    </row>
    <row r="807" spans="1:11" x14ac:dyDescent="0.3">
      <c r="A807" s="12">
        <v>45464</v>
      </c>
      <c r="B807" s="1" t="s">
        <v>756</v>
      </c>
      <c r="C807" s="1" t="s">
        <v>141</v>
      </c>
      <c r="D807" s="1" t="s">
        <v>71</v>
      </c>
      <c r="E807" s="7">
        <v>25459</v>
      </c>
      <c r="F807" s="1" t="s">
        <v>33</v>
      </c>
      <c r="G807" s="1">
        <v>387</v>
      </c>
      <c r="H807" s="1" t="s">
        <v>34</v>
      </c>
      <c r="I807" s="1" t="s">
        <v>52</v>
      </c>
      <c r="J807" s="1" t="s">
        <v>17</v>
      </c>
      <c r="K807" s="9">
        <v>0.1</v>
      </c>
    </row>
    <row r="808" spans="1:11" x14ac:dyDescent="0.3">
      <c r="A808" s="12">
        <v>45465</v>
      </c>
      <c r="B808" s="1" t="s">
        <v>36</v>
      </c>
      <c r="C808" s="1" t="s">
        <v>37</v>
      </c>
      <c r="D808" s="1" t="s">
        <v>38</v>
      </c>
      <c r="E808" s="7">
        <v>24448</v>
      </c>
      <c r="F808" s="1" t="s">
        <v>14</v>
      </c>
      <c r="G808" s="1">
        <v>201</v>
      </c>
      <c r="H808" s="1" t="s">
        <v>47</v>
      </c>
      <c r="I808" s="1" t="s">
        <v>48</v>
      </c>
      <c r="J808" s="1" t="s">
        <v>29</v>
      </c>
      <c r="K808" s="9">
        <v>0.1</v>
      </c>
    </row>
    <row r="809" spans="1:11" x14ac:dyDescent="0.3">
      <c r="A809" s="12">
        <v>45465</v>
      </c>
      <c r="B809" s="1" t="s">
        <v>272</v>
      </c>
      <c r="C809" s="1" t="s">
        <v>242</v>
      </c>
      <c r="D809" s="1" t="s">
        <v>55</v>
      </c>
      <c r="E809" s="7">
        <v>32490</v>
      </c>
      <c r="F809" s="1" t="s">
        <v>33</v>
      </c>
      <c r="G809" s="1">
        <v>109</v>
      </c>
      <c r="H809" s="1" t="s">
        <v>34</v>
      </c>
      <c r="I809" s="1" t="s">
        <v>52</v>
      </c>
      <c r="J809" s="1" t="s">
        <v>17</v>
      </c>
      <c r="K809" s="9">
        <v>0.1</v>
      </c>
    </row>
    <row r="810" spans="1:11" x14ac:dyDescent="0.3">
      <c r="A810" s="12">
        <v>45465</v>
      </c>
      <c r="B810" s="1" t="s">
        <v>233</v>
      </c>
      <c r="C810" s="1" t="s">
        <v>306</v>
      </c>
      <c r="D810" s="1" t="s">
        <v>71</v>
      </c>
      <c r="E810" s="7">
        <v>23144</v>
      </c>
      <c r="F810" s="1" t="s">
        <v>14</v>
      </c>
      <c r="G810" s="1">
        <v>110</v>
      </c>
      <c r="H810" s="1" t="s">
        <v>64</v>
      </c>
      <c r="I810" s="1" t="s">
        <v>52</v>
      </c>
      <c r="J810" s="1" t="s">
        <v>29</v>
      </c>
      <c r="K810" s="9">
        <v>0.1</v>
      </c>
    </row>
    <row r="811" spans="1:11" x14ac:dyDescent="0.3">
      <c r="A811" s="12">
        <v>45465</v>
      </c>
      <c r="B811" s="1" t="s">
        <v>283</v>
      </c>
      <c r="C811" s="1" t="s">
        <v>370</v>
      </c>
      <c r="D811" s="1" t="s">
        <v>51</v>
      </c>
      <c r="E811" s="7">
        <v>16861</v>
      </c>
      <c r="F811" s="1" t="s">
        <v>33</v>
      </c>
      <c r="G811" s="1">
        <v>298</v>
      </c>
      <c r="H811" s="1" t="s">
        <v>59</v>
      </c>
      <c r="I811" s="1" t="s">
        <v>48</v>
      </c>
      <c r="J811" s="1" t="s">
        <v>23</v>
      </c>
      <c r="K811" s="9">
        <v>0.1</v>
      </c>
    </row>
    <row r="812" spans="1:11" x14ac:dyDescent="0.3">
      <c r="A812" s="12">
        <v>45465</v>
      </c>
      <c r="B812" s="1" t="s">
        <v>129</v>
      </c>
      <c r="C812" s="1" t="s">
        <v>385</v>
      </c>
      <c r="D812" s="1" t="s">
        <v>51</v>
      </c>
      <c r="E812" s="7">
        <v>19545</v>
      </c>
      <c r="F812" s="1" t="s">
        <v>33</v>
      </c>
      <c r="G812" s="1">
        <v>120</v>
      </c>
      <c r="H812" s="1" t="s">
        <v>34</v>
      </c>
      <c r="I812" s="1" t="s">
        <v>52</v>
      </c>
      <c r="J812" s="1" t="s">
        <v>17</v>
      </c>
      <c r="K812" s="9">
        <v>0.1</v>
      </c>
    </row>
    <row r="813" spans="1:11" x14ac:dyDescent="0.3">
      <c r="A813" s="12">
        <v>45465</v>
      </c>
      <c r="B813" s="1" t="s">
        <v>403</v>
      </c>
      <c r="C813" s="1" t="s">
        <v>216</v>
      </c>
      <c r="D813" s="1" t="s">
        <v>94</v>
      </c>
      <c r="E813" s="7">
        <v>33760</v>
      </c>
      <c r="F813" s="1" t="s">
        <v>68</v>
      </c>
      <c r="G813" s="1">
        <v>372</v>
      </c>
      <c r="H813" s="1" t="s">
        <v>34</v>
      </c>
      <c r="I813" s="1" t="s">
        <v>43</v>
      </c>
      <c r="J813" s="1" t="s">
        <v>17</v>
      </c>
      <c r="K813" s="9">
        <v>0.1</v>
      </c>
    </row>
    <row r="814" spans="1:11" x14ac:dyDescent="0.3">
      <c r="A814" s="12">
        <v>45466</v>
      </c>
      <c r="B814" s="1" t="s">
        <v>30</v>
      </c>
      <c r="C814" s="1" t="s">
        <v>31</v>
      </c>
      <c r="D814" s="1" t="s">
        <v>13</v>
      </c>
      <c r="E814" s="7">
        <v>21892</v>
      </c>
      <c r="F814" s="1" t="s">
        <v>20</v>
      </c>
      <c r="G814" s="1">
        <v>384</v>
      </c>
      <c r="H814" s="1" t="s">
        <v>27</v>
      </c>
      <c r="I814" s="1" t="s">
        <v>43</v>
      </c>
      <c r="J814" s="1" t="s">
        <v>29</v>
      </c>
      <c r="K814" s="9">
        <v>0.1</v>
      </c>
    </row>
    <row r="815" spans="1:11" x14ac:dyDescent="0.3">
      <c r="A815" s="12">
        <v>45466</v>
      </c>
      <c r="B815" s="1" t="s">
        <v>307</v>
      </c>
      <c r="C815" s="1" t="s">
        <v>308</v>
      </c>
      <c r="D815" s="1" t="s">
        <v>32</v>
      </c>
      <c r="E815" s="7">
        <v>28208</v>
      </c>
      <c r="F815" s="1" t="s">
        <v>33</v>
      </c>
      <c r="G815" s="1">
        <v>399</v>
      </c>
      <c r="H815" s="1" t="s">
        <v>21</v>
      </c>
      <c r="I815" s="1" t="s">
        <v>52</v>
      </c>
      <c r="J815" s="1" t="s">
        <v>29</v>
      </c>
      <c r="K815" s="9">
        <v>0.1</v>
      </c>
    </row>
    <row r="816" spans="1:11" x14ac:dyDescent="0.3">
      <c r="A816" s="12">
        <v>45466</v>
      </c>
      <c r="B816" s="1" t="s">
        <v>184</v>
      </c>
      <c r="C816" s="1" t="s">
        <v>170</v>
      </c>
      <c r="D816" s="1" t="s">
        <v>71</v>
      </c>
      <c r="E816" s="7">
        <v>33498</v>
      </c>
      <c r="F816" s="1" t="s">
        <v>20</v>
      </c>
      <c r="G816" s="1">
        <v>287</v>
      </c>
      <c r="H816" s="1" t="s">
        <v>34</v>
      </c>
      <c r="I816" s="1" t="s">
        <v>35</v>
      </c>
      <c r="J816" s="1" t="s">
        <v>17</v>
      </c>
      <c r="K816" s="9">
        <v>0.1</v>
      </c>
    </row>
    <row r="817" spans="1:11" x14ac:dyDescent="0.3">
      <c r="A817" s="12">
        <v>45466</v>
      </c>
      <c r="B817" s="1" t="s">
        <v>555</v>
      </c>
      <c r="C817" s="1" t="s">
        <v>868</v>
      </c>
      <c r="D817" s="1" t="s">
        <v>94</v>
      </c>
      <c r="E817" s="7">
        <v>37342</v>
      </c>
      <c r="F817" s="1" t="s">
        <v>68</v>
      </c>
      <c r="G817" s="1">
        <v>114</v>
      </c>
      <c r="H817" s="1" t="s">
        <v>65</v>
      </c>
      <c r="I817" s="1" t="s">
        <v>43</v>
      </c>
      <c r="J817" s="1" t="s">
        <v>17</v>
      </c>
      <c r="K817" s="9">
        <v>0.1</v>
      </c>
    </row>
    <row r="818" spans="1:11" x14ac:dyDescent="0.3">
      <c r="A818" s="12">
        <v>45466</v>
      </c>
      <c r="B818" s="1" t="s">
        <v>24</v>
      </c>
      <c r="C818" s="1" t="s">
        <v>889</v>
      </c>
      <c r="D818" s="1" t="s">
        <v>71</v>
      </c>
      <c r="E818" s="7">
        <v>17523</v>
      </c>
      <c r="F818" s="1" t="s">
        <v>20</v>
      </c>
      <c r="G818" s="1">
        <v>303</v>
      </c>
      <c r="H818" s="1" t="s">
        <v>21</v>
      </c>
      <c r="I818" s="1" t="s">
        <v>39</v>
      </c>
      <c r="J818" s="1" t="s">
        <v>17</v>
      </c>
      <c r="K818" s="9">
        <v>0.1</v>
      </c>
    </row>
    <row r="819" spans="1:11" x14ac:dyDescent="0.3">
      <c r="A819" s="12">
        <v>45467</v>
      </c>
      <c r="B819" s="1" t="s">
        <v>403</v>
      </c>
      <c r="C819" s="1" t="s">
        <v>62</v>
      </c>
      <c r="D819" s="1" t="s">
        <v>78</v>
      </c>
      <c r="E819" s="7">
        <v>26964</v>
      </c>
      <c r="F819" s="1" t="s">
        <v>20</v>
      </c>
      <c r="G819" s="1">
        <v>234</v>
      </c>
      <c r="H819" s="1" t="s">
        <v>56</v>
      </c>
      <c r="I819" s="1" t="s">
        <v>28</v>
      </c>
      <c r="J819" s="1" t="s">
        <v>17</v>
      </c>
      <c r="K819" s="9">
        <v>0.1</v>
      </c>
    </row>
    <row r="820" spans="1:11" x14ac:dyDescent="0.3">
      <c r="A820" s="12">
        <v>45467</v>
      </c>
      <c r="B820" s="1" t="s">
        <v>657</v>
      </c>
      <c r="C820" s="1" t="s">
        <v>710</v>
      </c>
      <c r="D820" s="1" t="s">
        <v>13</v>
      </c>
      <c r="E820" s="7">
        <v>26356</v>
      </c>
      <c r="F820" s="1" t="s">
        <v>33</v>
      </c>
      <c r="G820" s="1">
        <v>19</v>
      </c>
      <c r="H820" s="1" t="s">
        <v>15</v>
      </c>
      <c r="I820" s="1" t="s">
        <v>28</v>
      </c>
      <c r="J820" s="1" t="s">
        <v>17</v>
      </c>
      <c r="K820" s="9">
        <v>0.1</v>
      </c>
    </row>
    <row r="821" spans="1:11" x14ac:dyDescent="0.3">
      <c r="A821" s="12">
        <v>45467</v>
      </c>
      <c r="B821" s="1" t="s">
        <v>24</v>
      </c>
      <c r="C821" s="1" t="s">
        <v>25</v>
      </c>
      <c r="D821" s="1" t="s">
        <v>32</v>
      </c>
      <c r="E821" s="7">
        <v>28195</v>
      </c>
      <c r="F821" s="1" t="s">
        <v>68</v>
      </c>
      <c r="G821" s="1">
        <v>409</v>
      </c>
      <c r="H821" s="1" t="s">
        <v>65</v>
      </c>
      <c r="I821" s="1" t="s">
        <v>35</v>
      </c>
      <c r="J821" s="1" t="s">
        <v>17</v>
      </c>
      <c r="K821" s="9">
        <v>0.1</v>
      </c>
    </row>
    <row r="822" spans="1:11" x14ac:dyDescent="0.3">
      <c r="A822" s="12">
        <v>45468</v>
      </c>
      <c r="B822" s="1" t="s">
        <v>668</v>
      </c>
      <c r="C822" s="1" t="s">
        <v>669</v>
      </c>
      <c r="D822" s="1" t="s">
        <v>46</v>
      </c>
      <c r="E822" s="7">
        <v>24659</v>
      </c>
      <c r="F822" s="1" t="s">
        <v>33</v>
      </c>
      <c r="G822" s="1">
        <v>427</v>
      </c>
      <c r="H822" s="1" t="s">
        <v>59</v>
      </c>
      <c r="I822" s="1" t="s">
        <v>35</v>
      </c>
      <c r="J822" s="1" t="s">
        <v>17</v>
      </c>
      <c r="K822" s="9">
        <v>0.1</v>
      </c>
    </row>
    <row r="823" spans="1:11" x14ac:dyDescent="0.3">
      <c r="A823" s="12">
        <v>45468</v>
      </c>
      <c r="B823" s="1" t="s">
        <v>392</v>
      </c>
      <c r="C823" s="1" t="s">
        <v>116</v>
      </c>
      <c r="D823" s="1" t="s">
        <v>46</v>
      </c>
      <c r="E823" s="7">
        <v>25147</v>
      </c>
      <c r="F823" s="1" t="s">
        <v>33</v>
      </c>
      <c r="G823" s="1">
        <v>117</v>
      </c>
      <c r="H823" s="1" t="s">
        <v>15</v>
      </c>
      <c r="I823" s="1" t="s">
        <v>52</v>
      </c>
      <c r="J823" s="1" t="s">
        <v>17</v>
      </c>
      <c r="K823" s="9">
        <v>0.1</v>
      </c>
    </row>
    <row r="824" spans="1:11" x14ac:dyDescent="0.3">
      <c r="A824" s="12">
        <v>45469</v>
      </c>
      <c r="B824" s="1" t="s">
        <v>261</v>
      </c>
      <c r="C824" s="1" t="s">
        <v>207</v>
      </c>
      <c r="D824" s="1" t="s">
        <v>51</v>
      </c>
      <c r="E824" s="7">
        <v>26492</v>
      </c>
      <c r="F824" s="1" t="s">
        <v>68</v>
      </c>
      <c r="G824" s="1">
        <v>276</v>
      </c>
      <c r="H824" s="1" t="s">
        <v>27</v>
      </c>
      <c r="I824" s="1" t="s">
        <v>52</v>
      </c>
      <c r="J824" s="1" t="s">
        <v>17</v>
      </c>
      <c r="K824" s="9">
        <v>0.1</v>
      </c>
    </row>
    <row r="825" spans="1:11" x14ac:dyDescent="0.3">
      <c r="A825" s="12">
        <v>45469</v>
      </c>
      <c r="B825" s="1" t="s">
        <v>771</v>
      </c>
      <c r="C825" s="1" t="s">
        <v>841</v>
      </c>
      <c r="D825" s="1" t="s">
        <v>13</v>
      </c>
      <c r="E825" s="7">
        <v>32680</v>
      </c>
      <c r="F825" s="1" t="s">
        <v>33</v>
      </c>
      <c r="G825" s="1">
        <v>190</v>
      </c>
      <c r="H825" s="1" t="s">
        <v>21</v>
      </c>
      <c r="I825" s="1" t="s">
        <v>52</v>
      </c>
      <c r="J825" s="1" t="s">
        <v>17</v>
      </c>
      <c r="K825" s="9">
        <v>0.1</v>
      </c>
    </row>
    <row r="826" spans="1:11" x14ac:dyDescent="0.3">
      <c r="A826" s="12">
        <v>45469</v>
      </c>
      <c r="B826" s="1" t="s">
        <v>160</v>
      </c>
      <c r="C826" s="1" t="s">
        <v>849</v>
      </c>
      <c r="D826" s="1"/>
      <c r="E826" s="7">
        <v>24463</v>
      </c>
      <c r="F826" s="1" t="s">
        <v>68</v>
      </c>
      <c r="G826" s="1">
        <v>129</v>
      </c>
      <c r="H826" s="1" t="s">
        <v>59</v>
      </c>
      <c r="I826" s="1" t="s">
        <v>52</v>
      </c>
      <c r="J826" s="1"/>
      <c r="K826" s="9">
        <v>0.1</v>
      </c>
    </row>
    <row r="827" spans="1:11" x14ac:dyDescent="0.3">
      <c r="A827" s="12">
        <v>45470</v>
      </c>
      <c r="B827" s="1" t="s">
        <v>409</v>
      </c>
      <c r="C827" s="1" t="s">
        <v>410</v>
      </c>
      <c r="D827" s="1" t="s">
        <v>71</v>
      </c>
      <c r="E827" s="7">
        <v>37757</v>
      </c>
      <c r="F827" s="1" t="s">
        <v>33</v>
      </c>
      <c r="G827" s="1">
        <v>49</v>
      </c>
      <c r="H827" s="1" t="s">
        <v>59</v>
      </c>
      <c r="I827" s="1" t="s">
        <v>52</v>
      </c>
      <c r="J827" s="1" t="s">
        <v>17</v>
      </c>
      <c r="K827" s="9">
        <v>0.1</v>
      </c>
    </row>
    <row r="828" spans="1:11" x14ac:dyDescent="0.3">
      <c r="A828" s="12">
        <v>45470</v>
      </c>
      <c r="B828" s="1" t="s">
        <v>900</v>
      </c>
      <c r="C828" s="1" t="s">
        <v>621</v>
      </c>
      <c r="D828" s="1" t="s">
        <v>78</v>
      </c>
      <c r="E828" s="7">
        <v>20050</v>
      </c>
      <c r="F828" s="1" t="s">
        <v>33</v>
      </c>
      <c r="G828" s="1">
        <v>496</v>
      </c>
      <c r="H828" s="1" t="s">
        <v>21</v>
      </c>
      <c r="I828" s="1" t="s">
        <v>48</v>
      </c>
      <c r="J828" s="1" t="s">
        <v>17</v>
      </c>
      <c r="K828" s="9">
        <v>0.1</v>
      </c>
    </row>
    <row r="829" spans="1:11" x14ac:dyDescent="0.3">
      <c r="A829" s="12">
        <v>45471</v>
      </c>
      <c r="B829" s="1" t="s">
        <v>165</v>
      </c>
      <c r="C829" s="1" t="s">
        <v>166</v>
      </c>
      <c r="D829" s="1" t="s">
        <v>94</v>
      </c>
      <c r="E829" s="7">
        <v>17996</v>
      </c>
      <c r="F829" s="1" t="s">
        <v>33</v>
      </c>
      <c r="G829" s="1">
        <v>161</v>
      </c>
      <c r="H829" s="1" t="s">
        <v>21</v>
      </c>
      <c r="I829" s="1" t="s">
        <v>52</v>
      </c>
      <c r="J829" s="1" t="s">
        <v>17</v>
      </c>
      <c r="K829" s="9">
        <v>0.1</v>
      </c>
    </row>
    <row r="830" spans="1:11" x14ac:dyDescent="0.3">
      <c r="A830" s="12">
        <v>45471</v>
      </c>
      <c r="B830" s="1" t="s">
        <v>345</v>
      </c>
      <c r="C830" s="1" t="s">
        <v>346</v>
      </c>
      <c r="D830" s="1" t="s">
        <v>94</v>
      </c>
      <c r="E830" s="7"/>
      <c r="F830" s="1" t="s">
        <v>33</v>
      </c>
      <c r="G830" s="1">
        <v>193</v>
      </c>
      <c r="H830" s="1" t="s">
        <v>34</v>
      </c>
      <c r="I830" s="1" t="s">
        <v>39</v>
      </c>
      <c r="J830" s="1" t="s">
        <v>17</v>
      </c>
      <c r="K830" s="9">
        <v>0.1</v>
      </c>
    </row>
    <row r="831" spans="1:11" x14ac:dyDescent="0.3">
      <c r="A831" s="12">
        <v>45471</v>
      </c>
      <c r="B831" s="1" t="s">
        <v>352</v>
      </c>
      <c r="C831" s="1" t="s">
        <v>325</v>
      </c>
      <c r="D831" s="1" t="s">
        <v>13</v>
      </c>
      <c r="E831" s="7">
        <v>37960</v>
      </c>
      <c r="F831" s="1" t="s">
        <v>68</v>
      </c>
      <c r="G831" s="1">
        <v>260</v>
      </c>
      <c r="H831" s="1" t="s">
        <v>64</v>
      </c>
      <c r="I831" s="1" t="s">
        <v>52</v>
      </c>
      <c r="J831" s="1" t="s">
        <v>17</v>
      </c>
      <c r="K831" s="9">
        <v>0.1</v>
      </c>
    </row>
    <row r="832" spans="1:11" x14ac:dyDescent="0.3">
      <c r="A832" s="12">
        <v>45471</v>
      </c>
      <c r="B832" s="1" t="s">
        <v>24</v>
      </c>
      <c r="C832" s="1" t="s">
        <v>415</v>
      </c>
      <c r="D832" s="1" t="s">
        <v>32</v>
      </c>
      <c r="E832" s="7">
        <v>26625</v>
      </c>
      <c r="F832" s="1" t="s">
        <v>14</v>
      </c>
      <c r="G832" s="1">
        <v>82</v>
      </c>
      <c r="H832" s="1" t="s">
        <v>15</v>
      </c>
      <c r="I832" s="1" t="s">
        <v>48</v>
      </c>
      <c r="J832" s="1" t="s">
        <v>17</v>
      </c>
      <c r="K832" s="9">
        <v>0.1</v>
      </c>
    </row>
    <row r="833" spans="1:11" x14ac:dyDescent="0.3">
      <c r="A833" s="12">
        <v>45471</v>
      </c>
      <c r="B833" s="1" t="s">
        <v>417</v>
      </c>
      <c r="C833" s="1" t="s">
        <v>622</v>
      </c>
      <c r="D833" s="1" t="s">
        <v>71</v>
      </c>
      <c r="E833" s="7">
        <v>32140</v>
      </c>
      <c r="F833" s="1" t="s">
        <v>33</v>
      </c>
      <c r="G833" s="1">
        <v>399</v>
      </c>
      <c r="H833" s="1" t="s">
        <v>42</v>
      </c>
      <c r="I833" s="1" t="s">
        <v>39</v>
      </c>
      <c r="J833" s="1" t="s">
        <v>17</v>
      </c>
      <c r="K833" s="9">
        <v>0.1</v>
      </c>
    </row>
    <row r="834" spans="1:11" x14ac:dyDescent="0.3">
      <c r="A834" s="12">
        <v>45472</v>
      </c>
      <c r="B834" s="1" t="s">
        <v>485</v>
      </c>
      <c r="C834" s="1" t="s">
        <v>486</v>
      </c>
      <c r="D834" s="1" t="s">
        <v>55</v>
      </c>
      <c r="E834" s="7">
        <v>32874</v>
      </c>
      <c r="F834" s="1" t="s">
        <v>33</v>
      </c>
      <c r="G834" s="1">
        <v>165</v>
      </c>
      <c r="H834" s="1" t="s">
        <v>21</v>
      </c>
      <c r="I834" s="1" t="s">
        <v>43</v>
      </c>
      <c r="J834" s="1" t="s">
        <v>17</v>
      </c>
      <c r="K834" s="9">
        <v>0.1</v>
      </c>
    </row>
    <row r="835" spans="1:11" x14ac:dyDescent="0.3">
      <c r="A835" s="12">
        <v>45472</v>
      </c>
      <c r="B835" s="1" t="s">
        <v>395</v>
      </c>
      <c r="C835" s="1" t="s">
        <v>639</v>
      </c>
      <c r="D835" s="1" t="s">
        <v>51</v>
      </c>
      <c r="E835" s="7">
        <v>24653</v>
      </c>
      <c r="F835" s="1" t="s">
        <v>20</v>
      </c>
      <c r="G835" s="1">
        <v>285</v>
      </c>
      <c r="H835" s="1" t="s">
        <v>56</v>
      </c>
      <c r="I835" s="1" t="s">
        <v>52</v>
      </c>
      <c r="J835" s="1" t="s">
        <v>17</v>
      </c>
      <c r="K835" s="9">
        <v>0.1</v>
      </c>
    </row>
    <row r="836" spans="1:11" x14ac:dyDescent="0.3">
      <c r="A836" s="12">
        <v>45472</v>
      </c>
      <c r="B836" s="1" t="s">
        <v>657</v>
      </c>
      <c r="C836" s="1" t="s">
        <v>225</v>
      </c>
      <c r="D836" s="1" t="s">
        <v>78</v>
      </c>
      <c r="E836" s="7">
        <v>18189</v>
      </c>
      <c r="F836" s="1" t="s">
        <v>33</v>
      </c>
      <c r="G836" s="1">
        <v>80</v>
      </c>
      <c r="H836" s="1" t="s">
        <v>47</v>
      </c>
      <c r="I836" s="1" t="s">
        <v>28</v>
      </c>
      <c r="J836" s="1" t="s">
        <v>17</v>
      </c>
      <c r="K836" s="9">
        <v>0.1</v>
      </c>
    </row>
    <row r="837" spans="1:11" x14ac:dyDescent="0.3">
      <c r="A837" s="12">
        <v>45472</v>
      </c>
      <c r="B837" s="1" t="s">
        <v>200</v>
      </c>
      <c r="C837" s="1" t="s">
        <v>398</v>
      </c>
      <c r="D837" s="1" t="s">
        <v>55</v>
      </c>
      <c r="E837" s="7">
        <v>17019</v>
      </c>
      <c r="F837" s="1" t="s">
        <v>68</v>
      </c>
      <c r="G837" s="1">
        <v>453</v>
      </c>
      <c r="H837" s="1" t="s">
        <v>34</v>
      </c>
      <c r="I837" s="1" t="s">
        <v>52</v>
      </c>
      <c r="J837" s="1" t="s">
        <v>23</v>
      </c>
      <c r="K837" s="9">
        <v>0.1</v>
      </c>
    </row>
    <row r="838" spans="1:11" x14ac:dyDescent="0.3">
      <c r="A838" s="12">
        <v>45472</v>
      </c>
      <c r="B838" s="1" t="s">
        <v>332</v>
      </c>
      <c r="C838" s="1" t="s">
        <v>562</v>
      </c>
      <c r="D838" s="1" t="s">
        <v>32</v>
      </c>
      <c r="E838" s="7">
        <v>19367</v>
      </c>
      <c r="F838" s="1" t="s">
        <v>20</v>
      </c>
      <c r="G838" s="1">
        <v>316</v>
      </c>
      <c r="H838" s="1" t="s">
        <v>59</v>
      </c>
      <c r="I838" s="1" t="s">
        <v>48</v>
      </c>
      <c r="J838" s="1" t="s">
        <v>17</v>
      </c>
      <c r="K838" s="9">
        <v>0.1</v>
      </c>
    </row>
    <row r="839" spans="1:11" x14ac:dyDescent="0.3">
      <c r="A839" s="12">
        <v>45472</v>
      </c>
      <c r="B839" s="1" t="s">
        <v>821</v>
      </c>
      <c r="C839" s="1" t="s">
        <v>194</v>
      </c>
      <c r="D839" s="1" t="s">
        <v>51</v>
      </c>
      <c r="E839" s="7">
        <v>28043</v>
      </c>
      <c r="F839" s="1" t="s">
        <v>68</v>
      </c>
      <c r="G839" s="1">
        <v>114</v>
      </c>
      <c r="H839" s="1" t="s">
        <v>47</v>
      </c>
      <c r="I839" s="1" t="s">
        <v>48</v>
      </c>
      <c r="J839" s="1" t="s">
        <v>17</v>
      </c>
      <c r="K839" s="9">
        <v>0.1</v>
      </c>
    </row>
    <row r="840" spans="1:11" x14ac:dyDescent="0.3">
      <c r="A840" s="12">
        <v>45473</v>
      </c>
      <c r="B840" s="1" t="s">
        <v>36</v>
      </c>
      <c r="C840" s="1" t="s">
        <v>37</v>
      </c>
      <c r="D840" s="1" t="s">
        <v>38</v>
      </c>
      <c r="E840" s="7">
        <v>27423</v>
      </c>
      <c r="F840" s="1" t="s">
        <v>20</v>
      </c>
      <c r="G840" s="1">
        <v>383</v>
      </c>
      <c r="H840" s="1" t="s">
        <v>15</v>
      </c>
      <c r="I840" s="1" t="s">
        <v>28</v>
      </c>
      <c r="J840" s="1" t="s">
        <v>23</v>
      </c>
      <c r="K840" s="9">
        <v>0.1</v>
      </c>
    </row>
    <row r="841" spans="1:11" x14ac:dyDescent="0.3">
      <c r="A841" s="12">
        <v>45473</v>
      </c>
      <c r="B841" s="1" t="s">
        <v>24</v>
      </c>
      <c r="C841" s="1" t="s">
        <v>25</v>
      </c>
      <c r="D841" s="1" t="s">
        <v>26</v>
      </c>
      <c r="E841" s="7">
        <v>19804</v>
      </c>
      <c r="F841" s="1" t="s">
        <v>20</v>
      </c>
      <c r="G841" s="1">
        <v>40</v>
      </c>
      <c r="H841" s="1" t="s">
        <v>64</v>
      </c>
      <c r="I841" s="1" t="s">
        <v>52</v>
      </c>
      <c r="J841" s="1" t="s">
        <v>29</v>
      </c>
      <c r="K841" s="9">
        <v>0.1</v>
      </c>
    </row>
    <row r="842" spans="1:11" x14ac:dyDescent="0.3">
      <c r="A842" s="12">
        <v>45473</v>
      </c>
      <c r="B842" s="1" t="s">
        <v>193</v>
      </c>
      <c r="C842" s="1" t="s">
        <v>194</v>
      </c>
      <c r="D842" s="1" t="s">
        <v>55</v>
      </c>
      <c r="E842" s="7">
        <v>33412</v>
      </c>
      <c r="F842" s="1" t="s">
        <v>68</v>
      </c>
      <c r="G842" s="1">
        <v>313</v>
      </c>
      <c r="H842" s="1" t="s">
        <v>64</v>
      </c>
      <c r="I842" s="1" t="s">
        <v>43</v>
      </c>
      <c r="J842" s="1" t="s">
        <v>17</v>
      </c>
      <c r="K842" s="9">
        <v>0.1</v>
      </c>
    </row>
    <row r="843" spans="1:11" x14ac:dyDescent="0.3">
      <c r="A843" s="12">
        <v>45474</v>
      </c>
      <c r="B843" s="1" t="s">
        <v>635</v>
      </c>
      <c r="C843" s="1" t="s">
        <v>636</v>
      </c>
      <c r="D843" s="1" t="s">
        <v>55</v>
      </c>
      <c r="E843" s="7">
        <v>24721</v>
      </c>
      <c r="F843" s="1" t="s">
        <v>33</v>
      </c>
      <c r="G843" s="1">
        <v>61</v>
      </c>
      <c r="H843" s="1" t="s">
        <v>42</v>
      </c>
      <c r="I843" s="1" t="s">
        <v>48</v>
      </c>
      <c r="J843" s="1" t="s">
        <v>17</v>
      </c>
      <c r="K843" s="9">
        <v>0.1</v>
      </c>
    </row>
    <row r="844" spans="1:11" x14ac:dyDescent="0.3">
      <c r="A844" s="12">
        <v>45475</v>
      </c>
      <c r="B844" s="1" t="s">
        <v>203</v>
      </c>
      <c r="C844" s="1" t="s">
        <v>204</v>
      </c>
      <c r="D844" s="1" t="s">
        <v>51</v>
      </c>
      <c r="E844" s="7">
        <v>33346</v>
      </c>
      <c r="F844" s="1" t="s">
        <v>68</v>
      </c>
      <c r="G844" s="1">
        <v>309</v>
      </c>
      <c r="H844" s="1" t="s">
        <v>21</v>
      </c>
      <c r="I844" s="1" t="s">
        <v>52</v>
      </c>
      <c r="J844" s="1" t="s">
        <v>17</v>
      </c>
      <c r="K844" s="9">
        <v>0.1</v>
      </c>
    </row>
    <row r="845" spans="1:11" x14ac:dyDescent="0.3">
      <c r="A845" s="12">
        <v>45475</v>
      </c>
      <c r="B845" s="1" t="s">
        <v>117</v>
      </c>
      <c r="C845" s="1" t="s">
        <v>239</v>
      </c>
      <c r="D845" s="1" t="s">
        <v>38</v>
      </c>
      <c r="E845" s="7">
        <v>26417</v>
      </c>
      <c r="F845" s="1" t="s">
        <v>14</v>
      </c>
      <c r="G845" s="1">
        <v>449</v>
      </c>
      <c r="H845" s="1" t="s">
        <v>15</v>
      </c>
      <c r="I845" s="1" t="s">
        <v>28</v>
      </c>
      <c r="J845" s="1" t="s">
        <v>29</v>
      </c>
      <c r="K845" s="9">
        <v>0.1</v>
      </c>
    </row>
    <row r="846" spans="1:11" x14ac:dyDescent="0.3">
      <c r="A846" s="12">
        <v>45475</v>
      </c>
      <c r="B846" s="1" t="s">
        <v>24</v>
      </c>
      <c r="C846" s="1" t="s">
        <v>363</v>
      </c>
      <c r="D846" s="1" t="s">
        <v>38</v>
      </c>
      <c r="E846" s="7">
        <v>36486</v>
      </c>
      <c r="F846" s="1" t="s">
        <v>20</v>
      </c>
      <c r="G846" s="1">
        <v>157</v>
      </c>
      <c r="H846" s="1" t="s">
        <v>15</v>
      </c>
      <c r="I846" s="1" t="s">
        <v>43</v>
      </c>
      <c r="J846" s="1" t="s">
        <v>17</v>
      </c>
      <c r="K846" s="9">
        <v>0.1</v>
      </c>
    </row>
    <row r="847" spans="1:11" x14ac:dyDescent="0.3">
      <c r="A847" s="12">
        <v>45475</v>
      </c>
      <c r="B847" s="1" t="s">
        <v>330</v>
      </c>
      <c r="C847" s="1" t="s">
        <v>329</v>
      </c>
      <c r="D847" s="1" t="s">
        <v>38</v>
      </c>
      <c r="E847" s="7">
        <v>35009</v>
      </c>
      <c r="F847" s="1" t="s">
        <v>20</v>
      </c>
      <c r="G847" s="1">
        <v>10</v>
      </c>
      <c r="H847" s="1" t="s">
        <v>47</v>
      </c>
      <c r="I847" s="1" t="s">
        <v>28</v>
      </c>
      <c r="J847" s="1" t="s">
        <v>17</v>
      </c>
      <c r="K847" s="9">
        <v>0.1</v>
      </c>
    </row>
    <row r="848" spans="1:11" x14ac:dyDescent="0.3">
      <c r="A848" s="12">
        <v>45475</v>
      </c>
      <c r="B848" s="1" t="s">
        <v>392</v>
      </c>
      <c r="C848" s="1" t="s">
        <v>625</v>
      </c>
      <c r="D848" s="1" t="s">
        <v>71</v>
      </c>
      <c r="E848" s="7">
        <v>33698</v>
      </c>
      <c r="F848" s="1" t="s">
        <v>33</v>
      </c>
      <c r="G848" s="1">
        <v>164</v>
      </c>
      <c r="H848" s="1" t="s">
        <v>42</v>
      </c>
      <c r="I848" s="1" t="s">
        <v>52</v>
      </c>
      <c r="J848" s="1" t="s">
        <v>17</v>
      </c>
      <c r="K848" s="9">
        <v>0.1</v>
      </c>
    </row>
    <row r="849" spans="1:11" x14ac:dyDescent="0.3">
      <c r="A849" s="12">
        <v>45475</v>
      </c>
      <c r="B849" s="1" t="s">
        <v>686</v>
      </c>
      <c r="C849" s="1" t="s">
        <v>782</v>
      </c>
      <c r="D849" s="1" t="s">
        <v>51</v>
      </c>
      <c r="E849" s="7">
        <v>37470</v>
      </c>
      <c r="F849" s="1" t="s">
        <v>68</v>
      </c>
      <c r="G849" s="1">
        <v>497</v>
      </c>
      <c r="H849" s="1" t="s">
        <v>42</v>
      </c>
      <c r="I849" s="1" t="s">
        <v>48</v>
      </c>
      <c r="J849" s="1" t="s">
        <v>17</v>
      </c>
      <c r="K849" s="9">
        <v>0.1</v>
      </c>
    </row>
    <row r="850" spans="1:11" x14ac:dyDescent="0.3">
      <c r="A850" s="12">
        <v>45476</v>
      </c>
      <c r="B850" s="1" t="s">
        <v>154</v>
      </c>
      <c r="C850" s="1" t="s">
        <v>155</v>
      </c>
      <c r="D850" s="1" t="s">
        <v>78</v>
      </c>
      <c r="E850" s="7">
        <v>27518</v>
      </c>
      <c r="F850" s="1" t="s">
        <v>33</v>
      </c>
      <c r="G850" s="1">
        <v>47</v>
      </c>
      <c r="H850" s="1" t="s">
        <v>21</v>
      </c>
      <c r="I850" s="1" t="s">
        <v>28</v>
      </c>
      <c r="J850" s="1" t="s">
        <v>17</v>
      </c>
      <c r="K850" s="9">
        <v>0.1</v>
      </c>
    </row>
    <row r="851" spans="1:11" x14ac:dyDescent="0.3">
      <c r="A851" s="12">
        <v>45476</v>
      </c>
      <c r="B851" s="1" t="s">
        <v>69</v>
      </c>
      <c r="C851" s="1" t="s">
        <v>362</v>
      </c>
      <c r="D851" s="1" t="s">
        <v>55</v>
      </c>
      <c r="E851" s="7">
        <v>37286</v>
      </c>
      <c r="F851" s="1" t="s">
        <v>33</v>
      </c>
      <c r="G851" s="1">
        <v>209</v>
      </c>
      <c r="H851" s="1" t="s">
        <v>65</v>
      </c>
      <c r="I851" s="1" t="s">
        <v>39</v>
      </c>
      <c r="J851" s="1" t="s">
        <v>17</v>
      </c>
      <c r="K851" s="9">
        <v>0.1</v>
      </c>
    </row>
    <row r="852" spans="1:11" x14ac:dyDescent="0.3">
      <c r="A852" s="12">
        <v>45476</v>
      </c>
      <c r="B852" s="1" t="s">
        <v>255</v>
      </c>
      <c r="C852" s="1" t="s">
        <v>701</v>
      </c>
      <c r="D852" s="1" t="s">
        <v>32</v>
      </c>
      <c r="E852" s="7">
        <v>19196</v>
      </c>
      <c r="F852" s="1" t="s">
        <v>14</v>
      </c>
      <c r="G852" s="1">
        <v>162</v>
      </c>
      <c r="H852" s="1" t="s">
        <v>27</v>
      </c>
      <c r="I852" s="1" t="s">
        <v>39</v>
      </c>
      <c r="J852" s="1" t="s">
        <v>17</v>
      </c>
      <c r="K852" s="9">
        <v>0.1</v>
      </c>
    </row>
    <row r="853" spans="1:11" x14ac:dyDescent="0.3">
      <c r="A853" s="12">
        <v>45477</v>
      </c>
      <c r="B853" s="1" t="s">
        <v>401</v>
      </c>
      <c r="C853" s="1" t="s">
        <v>402</v>
      </c>
      <c r="D853" s="1" t="s">
        <v>71</v>
      </c>
      <c r="E853" s="7">
        <v>30714</v>
      </c>
      <c r="F853" s="1" t="s">
        <v>20</v>
      </c>
      <c r="G853" s="1">
        <v>464</v>
      </c>
      <c r="H853" s="1" t="s">
        <v>47</v>
      </c>
      <c r="I853" s="1" t="s">
        <v>35</v>
      </c>
      <c r="J853" s="1" t="s">
        <v>17</v>
      </c>
      <c r="K853" s="9">
        <v>0.1</v>
      </c>
    </row>
    <row r="854" spans="1:11" x14ac:dyDescent="0.3">
      <c r="A854" s="12">
        <v>45477</v>
      </c>
      <c r="B854" s="1" t="s">
        <v>53</v>
      </c>
      <c r="C854" s="1" t="s">
        <v>31</v>
      </c>
      <c r="D854" s="1" t="s">
        <v>55</v>
      </c>
      <c r="E854" s="7">
        <v>22098</v>
      </c>
      <c r="F854" s="1" t="s">
        <v>68</v>
      </c>
      <c r="G854" s="1">
        <v>313</v>
      </c>
      <c r="H854" s="1" t="s">
        <v>56</v>
      </c>
      <c r="I854" s="1" t="s">
        <v>52</v>
      </c>
      <c r="J854" s="1" t="s">
        <v>17</v>
      </c>
      <c r="K854" s="9">
        <v>0.1</v>
      </c>
    </row>
    <row r="855" spans="1:11" x14ac:dyDescent="0.3">
      <c r="A855" s="12">
        <v>45477</v>
      </c>
      <c r="B855" s="1" t="s">
        <v>493</v>
      </c>
      <c r="C855" s="1" t="s">
        <v>746</v>
      </c>
      <c r="D855" s="1" t="s">
        <v>55</v>
      </c>
      <c r="E855" s="7">
        <v>37379</v>
      </c>
      <c r="F855" s="1" t="s">
        <v>14</v>
      </c>
      <c r="G855" s="1">
        <v>149</v>
      </c>
      <c r="H855" s="1" t="s">
        <v>27</v>
      </c>
      <c r="I855" s="1" t="s">
        <v>48</v>
      </c>
      <c r="J855" s="1" t="s">
        <v>17</v>
      </c>
      <c r="K855" s="9">
        <v>0.1</v>
      </c>
    </row>
    <row r="856" spans="1:11" x14ac:dyDescent="0.3">
      <c r="A856" s="12">
        <v>45477</v>
      </c>
      <c r="B856" s="1" t="s">
        <v>765</v>
      </c>
      <c r="C856" s="1" t="s">
        <v>224</v>
      </c>
      <c r="D856" s="1" t="s">
        <v>51</v>
      </c>
      <c r="E856" s="7">
        <v>31690</v>
      </c>
      <c r="F856" s="1" t="s">
        <v>14</v>
      </c>
      <c r="G856" s="1">
        <v>213</v>
      </c>
      <c r="H856" s="1" t="s">
        <v>47</v>
      </c>
      <c r="I856" s="1" t="s">
        <v>35</v>
      </c>
      <c r="J856" s="1" t="s">
        <v>17</v>
      </c>
      <c r="K856" s="9">
        <v>0.1</v>
      </c>
    </row>
    <row r="857" spans="1:11" x14ac:dyDescent="0.3">
      <c r="A857" s="12">
        <v>45478</v>
      </c>
      <c r="B857" s="1" t="s">
        <v>246</v>
      </c>
      <c r="C857" s="1" t="s">
        <v>247</v>
      </c>
      <c r="D857" s="1" t="s">
        <v>13</v>
      </c>
      <c r="E857" s="7">
        <v>30073</v>
      </c>
      <c r="F857" s="1" t="s">
        <v>14</v>
      </c>
      <c r="G857" s="1">
        <v>306</v>
      </c>
      <c r="H857" s="1" t="s">
        <v>47</v>
      </c>
      <c r="I857" s="1" t="s">
        <v>48</v>
      </c>
      <c r="J857" s="1" t="s">
        <v>29</v>
      </c>
      <c r="K857" s="9">
        <v>0.1</v>
      </c>
    </row>
    <row r="858" spans="1:11" x14ac:dyDescent="0.3">
      <c r="A858" s="12">
        <v>45478</v>
      </c>
      <c r="B858" s="1" t="s">
        <v>36</v>
      </c>
      <c r="C858" s="1" t="s">
        <v>378</v>
      </c>
      <c r="D858" s="1" t="s">
        <v>38</v>
      </c>
      <c r="E858" s="7">
        <v>22217</v>
      </c>
      <c r="F858" s="1" t="s">
        <v>33</v>
      </c>
      <c r="G858" s="1">
        <v>165</v>
      </c>
      <c r="H858" s="1" t="s">
        <v>34</v>
      </c>
      <c r="I858" s="1" t="s">
        <v>28</v>
      </c>
      <c r="J858" s="1" t="s">
        <v>23</v>
      </c>
      <c r="K858" s="9">
        <v>0.1</v>
      </c>
    </row>
    <row r="859" spans="1:11" x14ac:dyDescent="0.3">
      <c r="A859" s="12">
        <v>45478</v>
      </c>
      <c r="B859" s="1" t="s">
        <v>466</v>
      </c>
      <c r="C859" s="1" t="s">
        <v>467</v>
      </c>
      <c r="D859" s="1" t="s">
        <v>46</v>
      </c>
      <c r="E859" s="7">
        <v>18522</v>
      </c>
      <c r="F859" s="1" t="s">
        <v>20</v>
      </c>
      <c r="G859" s="1">
        <v>477</v>
      </c>
      <c r="H859" s="1" t="s">
        <v>42</v>
      </c>
      <c r="I859" s="1" t="s">
        <v>48</v>
      </c>
      <c r="J859" s="1" t="s">
        <v>17</v>
      </c>
      <c r="K859" s="9">
        <v>0.1</v>
      </c>
    </row>
    <row r="860" spans="1:11" x14ac:dyDescent="0.3">
      <c r="A860" s="12">
        <v>45478</v>
      </c>
      <c r="B860" s="1" t="s">
        <v>210</v>
      </c>
      <c r="C860" s="1" t="s">
        <v>531</v>
      </c>
      <c r="D860" s="1" t="s">
        <v>55</v>
      </c>
      <c r="E860" s="7">
        <v>35085</v>
      </c>
      <c r="F860" s="1" t="s">
        <v>20</v>
      </c>
      <c r="G860" s="1">
        <v>161</v>
      </c>
      <c r="H860" s="1" t="s">
        <v>27</v>
      </c>
      <c r="I860" s="1" t="s">
        <v>43</v>
      </c>
      <c r="J860" s="1" t="s">
        <v>17</v>
      </c>
      <c r="K860" s="9">
        <v>0.1</v>
      </c>
    </row>
    <row r="861" spans="1:11" x14ac:dyDescent="0.3">
      <c r="A861" s="12">
        <v>45478</v>
      </c>
      <c r="B861" s="1" t="s">
        <v>275</v>
      </c>
      <c r="C861" s="1" t="s">
        <v>279</v>
      </c>
      <c r="D861" s="1" t="s">
        <v>94</v>
      </c>
      <c r="E861" s="7">
        <v>21187</v>
      </c>
      <c r="F861" s="1" t="s">
        <v>33</v>
      </c>
      <c r="G861" s="1">
        <v>312</v>
      </c>
      <c r="H861" s="1" t="s">
        <v>64</v>
      </c>
      <c r="I861" s="1" t="s">
        <v>28</v>
      </c>
      <c r="J861" s="1" t="s">
        <v>17</v>
      </c>
      <c r="K861" s="9">
        <v>0.1</v>
      </c>
    </row>
    <row r="862" spans="1:11" x14ac:dyDescent="0.3">
      <c r="A862" s="12">
        <v>45478</v>
      </c>
      <c r="B862" s="1" t="s">
        <v>563</v>
      </c>
      <c r="C862" s="1" t="s">
        <v>564</v>
      </c>
      <c r="D862" s="1" t="s">
        <v>55</v>
      </c>
      <c r="E862" s="7">
        <v>38251</v>
      </c>
      <c r="F862" s="1" t="s">
        <v>20</v>
      </c>
      <c r="G862" s="1">
        <v>83</v>
      </c>
      <c r="H862" s="1" t="s">
        <v>47</v>
      </c>
      <c r="I862" s="1" t="s">
        <v>48</v>
      </c>
      <c r="J862" s="1" t="s">
        <v>17</v>
      </c>
      <c r="K862" s="9">
        <v>0.1</v>
      </c>
    </row>
    <row r="863" spans="1:11" x14ac:dyDescent="0.3">
      <c r="A863" s="12">
        <v>45478</v>
      </c>
      <c r="B863" s="1" t="s">
        <v>245</v>
      </c>
      <c r="C863" s="1" t="s">
        <v>608</v>
      </c>
      <c r="D863" s="1" t="s">
        <v>13</v>
      </c>
      <c r="E863" s="7">
        <v>30100</v>
      </c>
      <c r="F863" s="1" t="s">
        <v>68</v>
      </c>
      <c r="G863" s="1">
        <v>309</v>
      </c>
      <c r="H863" s="1" t="s">
        <v>65</v>
      </c>
      <c r="I863" s="1" t="s">
        <v>48</v>
      </c>
      <c r="J863" s="1" t="s">
        <v>17</v>
      </c>
      <c r="K863" s="9">
        <v>0.1</v>
      </c>
    </row>
    <row r="864" spans="1:11" x14ac:dyDescent="0.3">
      <c r="A864" s="12">
        <v>45478</v>
      </c>
      <c r="B864" s="1" t="s">
        <v>469</v>
      </c>
      <c r="C864" s="1" t="s">
        <v>638</v>
      </c>
      <c r="D864" s="1" t="s">
        <v>46</v>
      </c>
      <c r="E864" s="7">
        <v>26722</v>
      </c>
      <c r="F864" s="1" t="s">
        <v>14</v>
      </c>
      <c r="G864" s="1">
        <v>495</v>
      </c>
      <c r="H864" s="1" t="s">
        <v>34</v>
      </c>
      <c r="I864" s="1" t="s">
        <v>35</v>
      </c>
      <c r="J864" s="1" t="s">
        <v>17</v>
      </c>
      <c r="K864" s="9">
        <v>0.1</v>
      </c>
    </row>
    <row r="865" spans="1:11" x14ac:dyDescent="0.3">
      <c r="A865" s="12">
        <v>45479</v>
      </c>
      <c r="B865" s="1" t="s">
        <v>224</v>
      </c>
      <c r="C865" s="1" t="s">
        <v>225</v>
      </c>
      <c r="D865" s="1" t="s">
        <v>26</v>
      </c>
      <c r="E865" s="7">
        <v>30437</v>
      </c>
      <c r="F865" s="1" t="s">
        <v>20</v>
      </c>
      <c r="G865" s="1">
        <v>171</v>
      </c>
      <c r="H865" s="1" t="s">
        <v>65</v>
      </c>
      <c r="I865" s="1" t="s">
        <v>52</v>
      </c>
      <c r="J865" s="1" t="s">
        <v>17</v>
      </c>
      <c r="K865" s="9">
        <v>0.1</v>
      </c>
    </row>
    <row r="866" spans="1:11" x14ac:dyDescent="0.3">
      <c r="A866" s="12">
        <v>45479</v>
      </c>
      <c r="B866" s="1" t="s">
        <v>240</v>
      </c>
      <c r="C866" s="1" t="s">
        <v>63</v>
      </c>
      <c r="D866" s="1" t="s">
        <v>13</v>
      </c>
      <c r="E866" s="7">
        <v>23179</v>
      </c>
      <c r="F866" s="1" t="s">
        <v>20</v>
      </c>
      <c r="G866" s="1">
        <v>70</v>
      </c>
      <c r="H866" s="1" t="s">
        <v>15</v>
      </c>
      <c r="I866" s="1" t="s">
        <v>35</v>
      </c>
      <c r="J866" s="1" t="s">
        <v>29</v>
      </c>
      <c r="K866" s="9">
        <v>0.1</v>
      </c>
    </row>
    <row r="867" spans="1:11" x14ac:dyDescent="0.3">
      <c r="A867" s="12">
        <v>45479</v>
      </c>
      <c r="B867" s="1" t="s">
        <v>411</v>
      </c>
      <c r="C867" s="1" t="s">
        <v>412</v>
      </c>
      <c r="D867" s="1" t="s">
        <v>55</v>
      </c>
      <c r="E867" s="7">
        <v>22375</v>
      </c>
      <c r="F867" s="1" t="s">
        <v>20</v>
      </c>
      <c r="G867" s="1">
        <v>459</v>
      </c>
      <c r="H867" s="1" t="s">
        <v>21</v>
      </c>
      <c r="I867" s="1" t="s">
        <v>43</v>
      </c>
      <c r="J867" s="1" t="s">
        <v>17</v>
      </c>
      <c r="K867" s="9">
        <v>0.1</v>
      </c>
    </row>
    <row r="868" spans="1:11" x14ac:dyDescent="0.3">
      <c r="A868" s="12">
        <v>45479</v>
      </c>
      <c r="B868" s="1" t="s">
        <v>611</v>
      </c>
      <c r="C868" s="1" t="s">
        <v>183</v>
      </c>
      <c r="D868" s="1" t="s">
        <v>94</v>
      </c>
      <c r="E868" s="7">
        <v>15936</v>
      </c>
      <c r="F868" s="1" t="s">
        <v>20</v>
      </c>
      <c r="G868" s="1">
        <v>15</v>
      </c>
      <c r="H868" s="1" t="s">
        <v>64</v>
      </c>
      <c r="I868" s="1" t="s">
        <v>52</v>
      </c>
      <c r="J868" s="1" t="s">
        <v>17</v>
      </c>
      <c r="K868" s="9">
        <v>0.1</v>
      </c>
    </row>
    <row r="869" spans="1:11" x14ac:dyDescent="0.3">
      <c r="A869" s="12">
        <v>45479</v>
      </c>
      <c r="B869" s="1" t="s">
        <v>666</v>
      </c>
      <c r="C869" s="1" t="s">
        <v>11</v>
      </c>
      <c r="D869" s="1" t="s">
        <v>51</v>
      </c>
      <c r="E869" s="7">
        <v>35963</v>
      </c>
      <c r="F869" s="1" t="s">
        <v>20</v>
      </c>
      <c r="G869" s="1">
        <v>282</v>
      </c>
      <c r="H869" s="1" t="s">
        <v>15</v>
      </c>
      <c r="I869" s="1" t="s">
        <v>43</v>
      </c>
      <c r="J869" s="1" t="s">
        <v>17</v>
      </c>
      <c r="K869" s="9">
        <v>0.1</v>
      </c>
    </row>
    <row r="870" spans="1:11" x14ac:dyDescent="0.3">
      <c r="A870" s="12">
        <v>45479</v>
      </c>
      <c r="B870" s="1" t="s">
        <v>103</v>
      </c>
      <c r="C870" s="1" t="s">
        <v>830</v>
      </c>
      <c r="D870" s="1" t="s">
        <v>78</v>
      </c>
      <c r="E870" s="7">
        <v>25970</v>
      </c>
      <c r="F870" s="1" t="s">
        <v>20</v>
      </c>
      <c r="G870" s="1">
        <v>201</v>
      </c>
      <c r="H870" s="1" t="s">
        <v>34</v>
      </c>
      <c r="I870" s="1" t="s">
        <v>52</v>
      </c>
      <c r="J870" s="1" t="s">
        <v>17</v>
      </c>
      <c r="K870" s="9">
        <v>0.1</v>
      </c>
    </row>
    <row r="871" spans="1:11" x14ac:dyDescent="0.3">
      <c r="A871" s="12">
        <v>45479</v>
      </c>
      <c r="B871" s="1" t="s">
        <v>194</v>
      </c>
      <c r="C871" s="1" t="s">
        <v>837</v>
      </c>
      <c r="D871" s="1" t="s">
        <v>46</v>
      </c>
      <c r="E871" s="7">
        <v>35913</v>
      </c>
      <c r="F871" s="1" t="s">
        <v>14</v>
      </c>
      <c r="G871" s="1">
        <v>378</v>
      </c>
      <c r="H871" s="1" t="s">
        <v>42</v>
      </c>
      <c r="I871" s="1" t="s">
        <v>52</v>
      </c>
      <c r="J871" s="1" t="s">
        <v>17</v>
      </c>
      <c r="K871" s="9">
        <v>0.1</v>
      </c>
    </row>
    <row r="872" spans="1:11" x14ac:dyDescent="0.3">
      <c r="A872" s="12">
        <v>45479</v>
      </c>
      <c r="B872" s="1" t="s">
        <v>616</v>
      </c>
      <c r="C872" s="1" t="s">
        <v>347</v>
      </c>
      <c r="D872" s="1" t="s">
        <v>78</v>
      </c>
      <c r="E872" s="7"/>
      <c r="F872" s="1" t="s">
        <v>68</v>
      </c>
      <c r="G872" s="1">
        <v>32</v>
      </c>
      <c r="H872" s="1" t="s">
        <v>15</v>
      </c>
      <c r="I872" s="1" t="s">
        <v>28</v>
      </c>
      <c r="J872" s="1" t="s">
        <v>17</v>
      </c>
      <c r="K872" s="9">
        <v>0.1</v>
      </c>
    </row>
    <row r="873" spans="1:11" x14ac:dyDescent="0.3">
      <c r="A873" s="12">
        <v>45480</v>
      </c>
      <c r="B873" s="1" t="s">
        <v>140</v>
      </c>
      <c r="C873" s="1" t="s">
        <v>584</v>
      </c>
      <c r="D873" s="1" t="s">
        <v>55</v>
      </c>
      <c r="E873" s="7">
        <v>26775</v>
      </c>
      <c r="F873" s="1" t="s">
        <v>68</v>
      </c>
      <c r="G873" s="1">
        <v>370</v>
      </c>
      <c r="H873" s="1" t="s">
        <v>27</v>
      </c>
      <c r="I873" s="1" t="s">
        <v>52</v>
      </c>
      <c r="J873" s="1" t="s">
        <v>17</v>
      </c>
      <c r="K873" s="9">
        <v>0.1</v>
      </c>
    </row>
    <row r="874" spans="1:11" x14ac:dyDescent="0.3">
      <c r="A874" s="12">
        <v>45480</v>
      </c>
      <c r="B874" s="1" t="s">
        <v>489</v>
      </c>
      <c r="C874" s="1" t="s">
        <v>733</v>
      </c>
      <c r="D874" s="1" t="s">
        <v>32</v>
      </c>
      <c r="E874" s="7">
        <v>19796</v>
      </c>
      <c r="F874" s="1" t="s">
        <v>14</v>
      </c>
      <c r="G874" s="1">
        <v>93</v>
      </c>
      <c r="H874" s="1" t="s">
        <v>42</v>
      </c>
      <c r="I874" s="1" t="s">
        <v>52</v>
      </c>
      <c r="J874" s="1" t="s">
        <v>17</v>
      </c>
      <c r="K874" s="9">
        <v>0.1</v>
      </c>
    </row>
    <row r="875" spans="1:11" x14ac:dyDescent="0.3">
      <c r="A875" s="12">
        <v>45480</v>
      </c>
      <c r="B875" s="1" t="s">
        <v>653</v>
      </c>
      <c r="C875" s="1" t="s">
        <v>647</v>
      </c>
      <c r="D875" s="1" t="s">
        <v>46</v>
      </c>
      <c r="E875" s="7">
        <v>19823</v>
      </c>
      <c r="F875" s="1" t="s">
        <v>68</v>
      </c>
      <c r="G875" s="1">
        <v>61</v>
      </c>
      <c r="H875" s="1" t="s">
        <v>47</v>
      </c>
      <c r="I875" s="1" t="s">
        <v>35</v>
      </c>
      <c r="J875" s="1" t="s">
        <v>17</v>
      </c>
      <c r="K875" s="9">
        <v>0.1</v>
      </c>
    </row>
    <row r="876" spans="1:11" x14ac:dyDescent="0.3">
      <c r="A876" s="12">
        <v>45481</v>
      </c>
      <c r="B876" s="1" t="s">
        <v>86</v>
      </c>
      <c r="C876" s="1" t="s">
        <v>299</v>
      </c>
      <c r="D876" s="1" t="s">
        <v>83</v>
      </c>
      <c r="E876" s="7">
        <v>22851</v>
      </c>
      <c r="F876" s="1" t="s">
        <v>14</v>
      </c>
      <c r="G876" s="1">
        <v>392</v>
      </c>
      <c r="H876" s="1" t="s">
        <v>56</v>
      </c>
      <c r="I876" s="1" t="s">
        <v>35</v>
      </c>
      <c r="J876" s="1" t="s">
        <v>17</v>
      </c>
      <c r="K876" s="9">
        <v>0.1</v>
      </c>
    </row>
    <row r="877" spans="1:11" x14ac:dyDescent="0.3">
      <c r="A877" s="12">
        <v>45481</v>
      </c>
      <c r="B877" s="1" t="s">
        <v>324</v>
      </c>
      <c r="C877" s="1" t="s">
        <v>325</v>
      </c>
      <c r="D877" s="1" t="s">
        <v>51</v>
      </c>
      <c r="E877" s="7">
        <v>24020</v>
      </c>
      <c r="F877" s="1" t="s">
        <v>20</v>
      </c>
      <c r="G877" s="1">
        <v>104</v>
      </c>
      <c r="H877" s="1" t="s">
        <v>64</v>
      </c>
      <c r="I877" s="1" t="s">
        <v>43</v>
      </c>
      <c r="J877" s="1" t="s">
        <v>17</v>
      </c>
      <c r="K877" s="9">
        <v>0.1</v>
      </c>
    </row>
    <row r="878" spans="1:11" x14ac:dyDescent="0.3">
      <c r="A878" s="12">
        <v>45481</v>
      </c>
      <c r="B878" s="1" t="s">
        <v>384</v>
      </c>
      <c r="C878" s="1" t="s">
        <v>112</v>
      </c>
      <c r="D878" s="1" t="s">
        <v>94</v>
      </c>
      <c r="E878" s="7">
        <v>29391</v>
      </c>
      <c r="F878" s="1" t="s">
        <v>33</v>
      </c>
      <c r="G878" s="1">
        <v>36</v>
      </c>
      <c r="H878" s="1" t="s">
        <v>21</v>
      </c>
      <c r="I878" s="1" t="s">
        <v>48</v>
      </c>
      <c r="J878" s="1" t="s">
        <v>17</v>
      </c>
      <c r="K878" s="9">
        <v>0.1</v>
      </c>
    </row>
    <row r="879" spans="1:11" x14ac:dyDescent="0.3">
      <c r="A879" s="12">
        <v>45481</v>
      </c>
      <c r="B879" s="1" t="s">
        <v>509</v>
      </c>
      <c r="C879" s="1" t="s">
        <v>510</v>
      </c>
      <c r="D879" s="1" t="s">
        <v>94</v>
      </c>
      <c r="E879" s="7">
        <v>25379</v>
      </c>
      <c r="F879" s="1" t="s">
        <v>20</v>
      </c>
      <c r="G879" s="1">
        <v>445</v>
      </c>
      <c r="H879" s="1" t="s">
        <v>15</v>
      </c>
      <c r="I879" s="1" t="s">
        <v>28</v>
      </c>
      <c r="J879" s="1" t="s">
        <v>17</v>
      </c>
      <c r="K879" s="9">
        <v>0.1</v>
      </c>
    </row>
    <row r="880" spans="1:11" x14ac:dyDescent="0.3">
      <c r="A880" s="12">
        <v>45482</v>
      </c>
      <c r="B880" s="1" t="s">
        <v>144</v>
      </c>
      <c r="C880" s="1" t="s">
        <v>31</v>
      </c>
      <c r="D880" s="1" t="s">
        <v>78</v>
      </c>
      <c r="E880" s="7">
        <v>21450</v>
      </c>
      <c r="F880" s="1" t="s">
        <v>33</v>
      </c>
      <c r="G880" s="1">
        <v>46</v>
      </c>
      <c r="H880" s="1" t="s">
        <v>27</v>
      </c>
      <c r="I880" s="1" t="s">
        <v>43</v>
      </c>
      <c r="J880" s="1" t="s">
        <v>17</v>
      </c>
      <c r="K880" s="9">
        <v>0.1</v>
      </c>
    </row>
    <row r="881" spans="1:11" x14ac:dyDescent="0.3">
      <c r="A881" s="12">
        <v>45482</v>
      </c>
      <c r="B881" s="1" t="s">
        <v>24</v>
      </c>
      <c r="C881" s="1" t="s">
        <v>89</v>
      </c>
      <c r="D881" s="1" t="s">
        <v>13</v>
      </c>
      <c r="E881" s="7">
        <v>21061</v>
      </c>
      <c r="F881" s="1" t="s">
        <v>68</v>
      </c>
      <c r="G881" s="1">
        <v>29</v>
      </c>
      <c r="H881" s="1" t="s">
        <v>42</v>
      </c>
      <c r="I881" s="1" t="s">
        <v>28</v>
      </c>
      <c r="J881" s="1" t="s">
        <v>17</v>
      </c>
      <c r="K881" s="9">
        <v>0.1</v>
      </c>
    </row>
    <row r="882" spans="1:11" x14ac:dyDescent="0.3">
      <c r="A882" s="12">
        <v>45482</v>
      </c>
      <c r="B882" s="1" t="s">
        <v>269</v>
      </c>
      <c r="C882" s="1" t="s">
        <v>270</v>
      </c>
      <c r="D882" s="1" t="s">
        <v>71</v>
      </c>
      <c r="E882" s="7">
        <v>34977</v>
      </c>
      <c r="F882" s="1" t="s">
        <v>20</v>
      </c>
      <c r="G882" s="1">
        <v>392</v>
      </c>
      <c r="H882" s="1" t="s">
        <v>34</v>
      </c>
      <c r="I882" s="1" t="s">
        <v>52</v>
      </c>
      <c r="J882" s="1" t="s">
        <v>17</v>
      </c>
      <c r="K882" s="9">
        <v>0.1</v>
      </c>
    </row>
    <row r="883" spans="1:11" x14ac:dyDescent="0.3">
      <c r="A883" s="12">
        <v>45482</v>
      </c>
      <c r="B883" s="1" t="s">
        <v>413</v>
      </c>
      <c r="C883" s="1" t="s">
        <v>711</v>
      </c>
      <c r="D883" s="1" t="s">
        <v>32</v>
      </c>
      <c r="E883" s="7">
        <v>34376</v>
      </c>
      <c r="F883" s="1" t="s">
        <v>33</v>
      </c>
      <c r="G883" s="1">
        <v>216</v>
      </c>
      <c r="H883" s="1" t="s">
        <v>21</v>
      </c>
      <c r="I883" s="1" t="s">
        <v>43</v>
      </c>
      <c r="J883" s="1" t="s">
        <v>17</v>
      </c>
      <c r="K883" s="9">
        <v>0.1</v>
      </c>
    </row>
    <row r="884" spans="1:11" x14ac:dyDescent="0.3">
      <c r="A884" s="12">
        <v>45483</v>
      </c>
      <c r="B884" s="1" t="s">
        <v>312</v>
      </c>
      <c r="C884" s="1" t="s">
        <v>313</v>
      </c>
      <c r="D884" s="1" t="s">
        <v>13</v>
      </c>
      <c r="E884" s="7">
        <v>34887</v>
      </c>
      <c r="F884" s="1" t="s">
        <v>14</v>
      </c>
      <c r="G884" s="1">
        <v>460</v>
      </c>
      <c r="H884" s="1" t="s">
        <v>27</v>
      </c>
      <c r="I884" s="1" t="s">
        <v>52</v>
      </c>
      <c r="J884" s="1" t="s">
        <v>29</v>
      </c>
      <c r="K884" s="9">
        <v>0.1</v>
      </c>
    </row>
    <row r="885" spans="1:11" x14ac:dyDescent="0.3">
      <c r="A885" s="12">
        <v>45483</v>
      </c>
      <c r="B885" s="1" t="s">
        <v>318</v>
      </c>
      <c r="C885" s="1" t="s">
        <v>319</v>
      </c>
      <c r="D885" s="1" t="s">
        <v>32</v>
      </c>
      <c r="E885" s="7">
        <v>26922</v>
      </c>
      <c r="F885" s="1" t="s">
        <v>68</v>
      </c>
      <c r="G885" s="1">
        <v>175</v>
      </c>
      <c r="H885" s="1" t="s">
        <v>42</v>
      </c>
      <c r="I885" s="1" t="s">
        <v>28</v>
      </c>
      <c r="J885" s="1" t="s">
        <v>17</v>
      </c>
      <c r="K885" s="9">
        <v>0.1</v>
      </c>
    </row>
    <row r="886" spans="1:11" x14ac:dyDescent="0.3">
      <c r="A886" s="12">
        <v>45483</v>
      </c>
      <c r="B886" s="1" t="s">
        <v>73</v>
      </c>
      <c r="C886" s="1" t="s">
        <v>153</v>
      </c>
      <c r="D886" s="1" t="s">
        <v>94</v>
      </c>
      <c r="E886" s="7">
        <v>28689</v>
      </c>
      <c r="F886" s="1" t="s">
        <v>68</v>
      </c>
      <c r="G886" s="1">
        <v>384</v>
      </c>
      <c r="H886" s="1" t="s">
        <v>65</v>
      </c>
      <c r="I886" s="1" t="s">
        <v>52</v>
      </c>
      <c r="J886" s="1" t="s">
        <v>17</v>
      </c>
      <c r="K886" s="9">
        <v>0.1</v>
      </c>
    </row>
    <row r="887" spans="1:11" x14ac:dyDescent="0.3">
      <c r="A887" s="12">
        <v>45483</v>
      </c>
      <c r="B887" s="1" t="s">
        <v>233</v>
      </c>
      <c r="C887" s="1" t="s">
        <v>807</v>
      </c>
      <c r="D887" s="1" t="s">
        <v>71</v>
      </c>
      <c r="E887" s="7">
        <v>27643</v>
      </c>
      <c r="F887" s="1" t="s">
        <v>14</v>
      </c>
      <c r="G887" s="1">
        <v>360</v>
      </c>
      <c r="H887" s="1" t="s">
        <v>65</v>
      </c>
      <c r="I887" s="1" t="s">
        <v>52</v>
      </c>
      <c r="J887" s="1" t="s">
        <v>17</v>
      </c>
      <c r="K887" s="9">
        <v>0.1</v>
      </c>
    </row>
    <row r="888" spans="1:11" x14ac:dyDescent="0.3">
      <c r="A888" s="12">
        <v>45483</v>
      </c>
      <c r="B888" s="1" t="s">
        <v>843</v>
      </c>
      <c r="C888" s="1" t="s">
        <v>542</v>
      </c>
      <c r="D888" s="1" t="s">
        <v>71</v>
      </c>
      <c r="E888" s="7">
        <v>31493</v>
      </c>
      <c r="F888" s="1" t="s">
        <v>14</v>
      </c>
      <c r="G888" s="1">
        <v>229</v>
      </c>
      <c r="H888" s="1" t="s">
        <v>15</v>
      </c>
      <c r="I888" s="1" t="s">
        <v>43</v>
      </c>
      <c r="J888" s="1" t="s">
        <v>17</v>
      </c>
      <c r="K888" s="9">
        <v>0.1</v>
      </c>
    </row>
    <row r="889" spans="1:11" x14ac:dyDescent="0.3">
      <c r="A889" s="12">
        <v>45484</v>
      </c>
      <c r="B889" s="1" t="s">
        <v>389</v>
      </c>
      <c r="C889" s="1" t="s">
        <v>390</v>
      </c>
      <c r="D889" s="1" t="s">
        <v>51</v>
      </c>
      <c r="E889" s="7">
        <v>28869</v>
      </c>
      <c r="F889" s="1" t="s">
        <v>14</v>
      </c>
      <c r="G889" s="1">
        <v>250</v>
      </c>
      <c r="H889" s="1" t="s">
        <v>27</v>
      </c>
      <c r="I889" s="1" t="s">
        <v>52</v>
      </c>
      <c r="J889" s="1" t="s">
        <v>17</v>
      </c>
      <c r="K889" s="9">
        <v>0.1</v>
      </c>
    </row>
    <row r="890" spans="1:11" x14ac:dyDescent="0.3">
      <c r="A890" s="12">
        <v>45484</v>
      </c>
      <c r="B890" s="1" t="s">
        <v>383</v>
      </c>
      <c r="C890" s="1" t="s">
        <v>550</v>
      </c>
      <c r="D890" s="1" t="s">
        <v>78</v>
      </c>
      <c r="E890" s="7">
        <v>38327</v>
      </c>
      <c r="F890" s="1" t="s">
        <v>68</v>
      </c>
      <c r="G890" s="1">
        <v>20</v>
      </c>
      <c r="H890" s="1" t="s">
        <v>64</v>
      </c>
      <c r="I890" s="1" t="s">
        <v>43</v>
      </c>
      <c r="J890" s="1" t="s">
        <v>17</v>
      </c>
      <c r="K890" s="9">
        <v>0.1</v>
      </c>
    </row>
    <row r="891" spans="1:11" x14ac:dyDescent="0.3">
      <c r="A891" s="12">
        <v>45484</v>
      </c>
      <c r="B891" s="1" t="s">
        <v>294</v>
      </c>
      <c r="C891" s="1" t="s">
        <v>295</v>
      </c>
      <c r="D891" s="1" t="s">
        <v>38</v>
      </c>
      <c r="E891" s="7">
        <v>19598</v>
      </c>
      <c r="F891" s="1" t="s">
        <v>20</v>
      </c>
      <c r="G891" s="1">
        <v>493</v>
      </c>
      <c r="H891" s="1" t="s">
        <v>34</v>
      </c>
      <c r="I891" s="1" t="s">
        <v>28</v>
      </c>
      <c r="J891" s="1" t="s">
        <v>17</v>
      </c>
      <c r="K891" s="9">
        <v>0.1</v>
      </c>
    </row>
    <row r="892" spans="1:11" x14ac:dyDescent="0.3">
      <c r="A892" s="12">
        <v>45484</v>
      </c>
      <c r="B892" s="1" t="s">
        <v>381</v>
      </c>
      <c r="C892" s="1" t="s">
        <v>615</v>
      </c>
      <c r="D892" s="1" t="s">
        <v>26</v>
      </c>
      <c r="E892" s="7">
        <v>17952</v>
      </c>
      <c r="F892" s="1" t="s">
        <v>33</v>
      </c>
      <c r="G892" s="1">
        <v>181</v>
      </c>
      <c r="H892" s="1" t="s">
        <v>27</v>
      </c>
      <c r="I892" s="1" t="s">
        <v>48</v>
      </c>
      <c r="J892" s="1" t="s">
        <v>17</v>
      </c>
      <c r="K892" s="9">
        <v>0.1</v>
      </c>
    </row>
    <row r="893" spans="1:11" x14ac:dyDescent="0.3">
      <c r="A893" s="12">
        <v>45484</v>
      </c>
      <c r="B893" s="1" t="s">
        <v>360</v>
      </c>
      <c r="C893" s="1" t="s">
        <v>638</v>
      </c>
      <c r="D893" s="1" t="s">
        <v>78</v>
      </c>
      <c r="E893" s="7">
        <v>32829</v>
      </c>
      <c r="F893" s="1" t="s">
        <v>68</v>
      </c>
      <c r="G893" s="1">
        <v>453</v>
      </c>
      <c r="H893" s="1" t="s">
        <v>34</v>
      </c>
      <c r="I893" s="1" t="s">
        <v>48</v>
      </c>
      <c r="J893" s="1" t="s">
        <v>17</v>
      </c>
      <c r="K893" s="9">
        <v>0.1</v>
      </c>
    </row>
    <row r="894" spans="1:11" x14ac:dyDescent="0.3">
      <c r="A894" s="12">
        <v>45484</v>
      </c>
      <c r="B894" s="1" t="s">
        <v>413</v>
      </c>
      <c r="C894" s="1" t="s">
        <v>599</v>
      </c>
      <c r="D894" s="1" t="s">
        <v>51</v>
      </c>
      <c r="E894" s="7">
        <v>28234</v>
      </c>
      <c r="F894" s="1" t="s">
        <v>14</v>
      </c>
      <c r="G894" s="1">
        <v>170</v>
      </c>
      <c r="H894" s="1" t="s">
        <v>56</v>
      </c>
      <c r="I894" s="1" t="s">
        <v>35</v>
      </c>
      <c r="J894" s="1" t="s">
        <v>17</v>
      </c>
      <c r="K894" s="9">
        <v>0.1</v>
      </c>
    </row>
    <row r="895" spans="1:11" x14ac:dyDescent="0.3">
      <c r="A895" s="12">
        <v>45485</v>
      </c>
      <c r="B895" s="1" t="s">
        <v>349</v>
      </c>
      <c r="C895" s="1" t="s">
        <v>89</v>
      </c>
      <c r="D895" s="1" t="s">
        <v>71</v>
      </c>
      <c r="E895" s="7">
        <v>20675</v>
      </c>
      <c r="F895" s="1" t="s">
        <v>68</v>
      </c>
      <c r="G895" s="1">
        <v>321</v>
      </c>
      <c r="H895" s="1" t="s">
        <v>64</v>
      </c>
      <c r="I895" s="1" t="s">
        <v>52</v>
      </c>
      <c r="J895" s="1" t="s">
        <v>23</v>
      </c>
      <c r="K895" s="9">
        <v>0.1</v>
      </c>
    </row>
    <row r="896" spans="1:11" x14ac:dyDescent="0.3">
      <c r="A896" s="12">
        <v>45485</v>
      </c>
      <c r="B896" s="1" t="s">
        <v>383</v>
      </c>
      <c r="C896" s="1" t="s">
        <v>153</v>
      </c>
      <c r="D896" s="1" t="s">
        <v>46</v>
      </c>
      <c r="E896" s="7">
        <v>24905</v>
      </c>
      <c r="F896" s="1" t="s">
        <v>68</v>
      </c>
      <c r="G896" s="1">
        <v>278</v>
      </c>
      <c r="H896" s="1" t="s">
        <v>27</v>
      </c>
      <c r="I896" s="1" t="s">
        <v>28</v>
      </c>
      <c r="J896" s="1" t="s">
        <v>17</v>
      </c>
      <c r="K896" s="9">
        <v>0.1</v>
      </c>
    </row>
    <row r="897" spans="1:11" x14ac:dyDescent="0.3">
      <c r="A897" s="12">
        <v>45485</v>
      </c>
      <c r="B897" s="1" t="s">
        <v>117</v>
      </c>
      <c r="C897" s="1" t="s">
        <v>501</v>
      </c>
      <c r="D897" s="1" t="s">
        <v>26</v>
      </c>
      <c r="E897" s="7">
        <v>17965</v>
      </c>
      <c r="F897" s="1" t="s">
        <v>33</v>
      </c>
      <c r="G897" s="1">
        <v>482</v>
      </c>
      <c r="H897" s="1" t="s">
        <v>65</v>
      </c>
      <c r="I897" s="1" t="s">
        <v>52</v>
      </c>
      <c r="J897" s="1" t="s">
        <v>17</v>
      </c>
      <c r="K897" s="9">
        <v>0.1</v>
      </c>
    </row>
    <row r="898" spans="1:11" x14ac:dyDescent="0.3">
      <c r="A898" s="12">
        <v>45485</v>
      </c>
      <c r="B898" s="1" t="s">
        <v>377</v>
      </c>
      <c r="C898" s="1" t="s">
        <v>579</v>
      </c>
      <c r="D898" s="1" t="s">
        <v>46</v>
      </c>
      <c r="E898" s="7">
        <v>29628</v>
      </c>
      <c r="F898" s="1" t="s">
        <v>20</v>
      </c>
      <c r="G898" s="1">
        <v>66</v>
      </c>
      <c r="H898" s="1" t="s">
        <v>27</v>
      </c>
      <c r="I898" s="1" t="s">
        <v>48</v>
      </c>
      <c r="J898" s="1" t="s">
        <v>17</v>
      </c>
      <c r="K898" s="9">
        <v>0.1</v>
      </c>
    </row>
    <row r="899" spans="1:11" x14ac:dyDescent="0.3">
      <c r="A899" s="12">
        <v>45485</v>
      </c>
      <c r="B899" s="1" t="s">
        <v>724</v>
      </c>
      <c r="C899" s="1" t="s">
        <v>449</v>
      </c>
      <c r="D899" s="1" t="s">
        <v>46</v>
      </c>
      <c r="E899" s="7">
        <v>38520</v>
      </c>
      <c r="F899" s="1" t="s">
        <v>33</v>
      </c>
      <c r="G899" s="1">
        <v>26</v>
      </c>
      <c r="H899" s="1" t="s">
        <v>21</v>
      </c>
      <c r="I899" s="1" t="s">
        <v>52</v>
      </c>
      <c r="J899" s="1" t="s">
        <v>17</v>
      </c>
      <c r="K899" s="9">
        <v>0.1</v>
      </c>
    </row>
    <row r="900" spans="1:11" x14ac:dyDescent="0.3">
      <c r="A900" s="12">
        <v>45485</v>
      </c>
      <c r="B900" s="1" t="s">
        <v>877</v>
      </c>
      <c r="C900" s="1" t="s">
        <v>486</v>
      </c>
      <c r="D900" s="1" t="s">
        <v>55</v>
      </c>
      <c r="E900" s="7">
        <v>20756</v>
      </c>
      <c r="F900" s="1" t="s">
        <v>20</v>
      </c>
      <c r="G900" s="1">
        <v>421</v>
      </c>
      <c r="H900" s="1" t="s">
        <v>56</v>
      </c>
      <c r="I900" s="1" t="s">
        <v>52</v>
      </c>
      <c r="J900" s="1" t="s">
        <v>17</v>
      </c>
      <c r="K900" s="9">
        <v>0.1</v>
      </c>
    </row>
    <row r="901" spans="1:11" x14ac:dyDescent="0.3">
      <c r="A901" s="12">
        <v>45485</v>
      </c>
      <c r="B901" s="1" t="s">
        <v>350</v>
      </c>
      <c r="C901" s="1" t="s">
        <v>735</v>
      </c>
      <c r="D901" s="1" t="s">
        <v>13</v>
      </c>
      <c r="E901" s="7">
        <v>22832</v>
      </c>
      <c r="F901" s="1" t="s">
        <v>68</v>
      </c>
      <c r="G901" s="1">
        <v>110</v>
      </c>
      <c r="H901" s="1" t="s">
        <v>47</v>
      </c>
      <c r="I901" s="1" t="s">
        <v>48</v>
      </c>
      <c r="J901" s="1" t="s">
        <v>17</v>
      </c>
      <c r="K901" s="9">
        <v>0.1</v>
      </c>
    </row>
    <row r="902" spans="1:11" x14ac:dyDescent="0.3">
      <c r="A902" s="12">
        <v>45486</v>
      </c>
      <c r="B902" s="1" t="s">
        <v>383</v>
      </c>
      <c r="C902" s="1" t="s">
        <v>85</v>
      </c>
      <c r="D902" s="1" t="s">
        <v>71</v>
      </c>
      <c r="E902" s="7">
        <v>35846</v>
      </c>
      <c r="F902" s="1" t="s">
        <v>14</v>
      </c>
      <c r="G902" s="1">
        <v>263</v>
      </c>
      <c r="H902" s="1" t="s">
        <v>21</v>
      </c>
      <c r="I902" s="1" t="s">
        <v>43</v>
      </c>
      <c r="J902" s="1" t="s">
        <v>17</v>
      </c>
      <c r="K902" s="9">
        <v>0.1</v>
      </c>
    </row>
    <row r="903" spans="1:11" x14ac:dyDescent="0.3">
      <c r="A903" s="12">
        <v>45486</v>
      </c>
      <c r="B903" s="1" t="s">
        <v>40</v>
      </c>
      <c r="C903" s="1" t="s">
        <v>452</v>
      </c>
      <c r="D903" s="1" t="s">
        <v>78</v>
      </c>
      <c r="E903" s="7">
        <v>29446</v>
      </c>
      <c r="F903" s="1" t="s">
        <v>20</v>
      </c>
      <c r="G903" s="1">
        <v>65</v>
      </c>
      <c r="H903" s="1" t="s">
        <v>21</v>
      </c>
      <c r="I903" s="1" t="s">
        <v>52</v>
      </c>
      <c r="J903" s="1" t="s">
        <v>17</v>
      </c>
      <c r="K903" s="9">
        <v>0.1</v>
      </c>
    </row>
    <row r="904" spans="1:11" x14ac:dyDescent="0.3">
      <c r="A904" s="12">
        <v>45486</v>
      </c>
      <c r="B904" s="1" t="s">
        <v>453</v>
      </c>
      <c r="C904" s="1" t="s">
        <v>511</v>
      </c>
      <c r="D904" s="1" t="s">
        <v>38</v>
      </c>
      <c r="E904" s="7">
        <v>26114</v>
      </c>
      <c r="F904" s="1" t="s">
        <v>14</v>
      </c>
      <c r="G904" s="1">
        <v>107</v>
      </c>
      <c r="H904" s="1" t="s">
        <v>27</v>
      </c>
      <c r="I904" s="1" t="s">
        <v>35</v>
      </c>
      <c r="J904" s="1" t="s">
        <v>17</v>
      </c>
      <c r="K904" s="9">
        <v>0.1</v>
      </c>
    </row>
    <row r="905" spans="1:11" x14ac:dyDescent="0.3">
      <c r="A905" s="12">
        <v>45486</v>
      </c>
      <c r="B905" s="1" t="s">
        <v>509</v>
      </c>
      <c r="C905" s="1" t="s">
        <v>498</v>
      </c>
      <c r="D905" s="1" t="s">
        <v>13</v>
      </c>
      <c r="E905" s="7">
        <v>24082</v>
      </c>
      <c r="F905" s="1" t="s">
        <v>68</v>
      </c>
      <c r="G905" s="1">
        <v>452</v>
      </c>
      <c r="H905" s="1" t="s">
        <v>64</v>
      </c>
      <c r="I905" s="1" t="s">
        <v>35</v>
      </c>
      <c r="J905" s="1" t="s">
        <v>17</v>
      </c>
      <c r="K905" s="9">
        <v>0.1</v>
      </c>
    </row>
    <row r="906" spans="1:11" x14ac:dyDescent="0.3">
      <c r="A906" s="12">
        <v>45486</v>
      </c>
      <c r="B906" s="1" t="s">
        <v>160</v>
      </c>
      <c r="C906" s="1"/>
      <c r="D906" s="1" t="s">
        <v>46</v>
      </c>
      <c r="E906" s="7">
        <v>28513</v>
      </c>
      <c r="F906" s="1" t="s">
        <v>20</v>
      </c>
      <c r="G906" s="1">
        <v>336</v>
      </c>
      <c r="H906" s="1" t="s">
        <v>56</v>
      </c>
      <c r="I906" s="1" t="s">
        <v>52</v>
      </c>
      <c r="J906" s="1" t="s">
        <v>17</v>
      </c>
      <c r="K906" s="9">
        <v>0.1</v>
      </c>
    </row>
    <row r="907" spans="1:11" x14ac:dyDescent="0.3">
      <c r="A907" s="12">
        <v>45487</v>
      </c>
      <c r="B907" s="1" t="s">
        <v>664</v>
      </c>
      <c r="C907" s="1" t="s">
        <v>665</v>
      </c>
      <c r="D907" s="1" t="s">
        <v>32</v>
      </c>
      <c r="E907" s="7">
        <v>30078</v>
      </c>
      <c r="F907" s="1" t="s">
        <v>68</v>
      </c>
      <c r="G907" s="1">
        <v>207</v>
      </c>
      <c r="H907" s="1" t="s">
        <v>56</v>
      </c>
      <c r="I907" s="1" t="s">
        <v>52</v>
      </c>
      <c r="J907" s="1" t="s">
        <v>17</v>
      </c>
      <c r="K907" s="9">
        <v>0.1</v>
      </c>
    </row>
    <row r="908" spans="1:11" x14ac:dyDescent="0.3">
      <c r="A908" s="12">
        <v>45487</v>
      </c>
      <c r="B908" s="1" t="s">
        <v>801</v>
      </c>
      <c r="C908" s="1" t="s">
        <v>82</v>
      </c>
      <c r="D908" s="1" t="s">
        <v>13</v>
      </c>
      <c r="E908" s="7">
        <v>15943</v>
      </c>
      <c r="F908" s="1" t="s">
        <v>68</v>
      </c>
      <c r="G908" s="1">
        <v>98</v>
      </c>
      <c r="H908" s="1" t="s">
        <v>56</v>
      </c>
      <c r="I908" s="1" t="s">
        <v>52</v>
      </c>
      <c r="J908" s="1" t="s">
        <v>17</v>
      </c>
      <c r="K908" s="9">
        <v>0.1</v>
      </c>
    </row>
    <row r="909" spans="1:11" x14ac:dyDescent="0.3">
      <c r="A909" s="12">
        <v>45488</v>
      </c>
      <c r="B909" s="1" t="s">
        <v>462</v>
      </c>
      <c r="C909" s="1" t="s">
        <v>211</v>
      </c>
      <c r="D909" s="1" t="s">
        <v>71</v>
      </c>
      <c r="E909" s="7">
        <v>33125</v>
      </c>
      <c r="F909" s="1" t="s">
        <v>20</v>
      </c>
      <c r="G909" s="1">
        <v>69</v>
      </c>
      <c r="H909" s="1" t="s">
        <v>34</v>
      </c>
      <c r="I909" s="1" t="s">
        <v>52</v>
      </c>
      <c r="J909" s="1" t="s">
        <v>17</v>
      </c>
      <c r="K909" s="9">
        <v>0.1</v>
      </c>
    </row>
    <row r="910" spans="1:11" x14ac:dyDescent="0.3">
      <c r="A910" s="12">
        <v>45488</v>
      </c>
      <c r="B910" s="1" t="s">
        <v>358</v>
      </c>
      <c r="C910" s="1" t="s">
        <v>425</v>
      </c>
      <c r="D910" s="1" t="s">
        <v>71</v>
      </c>
      <c r="E910" s="7">
        <v>24300</v>
      </c>
      <c r="F910" s="1" t="s">
        <v>14</v>
      </c>
      <c r="G910" s="1">
        <v>85</v>
      </c>
      <c r="H910" s="1" t="s">
        <v>47</v>
      </c>
      <c r="I910" s="1" t="s">
        <v>52</v>
      </c>
      <c r="J910" s="1" t="s">
        <v>17</v>
      </c>
      <c r="K910" s="9">
        <v>0.1</v>
      </c>
    </row>
    <row r="911" spans="1:11" x14ac:dyDescent="0.3">
      <c r="A911" s="12">
        <v>45488</v>
      </c>
      <c r="B911" s="1" t="s">
        <v>210</v>
      </c>
      <c r="C911" s="1" t="s">
        <v>684</v>
      </c>
      <c r="D911" s="1" t="s">
        <v>13</v>
      </c>
      <c r="E911" s="7">
        <v>18611</v>
      </c>
      <c r="F911" s="1" t="s">
        <v>68</v>
      </c>
      <c r="G911" s="1">
        <v>107</v>
      </c>
      <c r="H911" s="1" t="s">
        <v>47</v>
      </c>
      <c r="I911" s="1" t="s">
        <v>52</v>
      </c>
      <c r="J911" s="1" t="s">
        <v>17</v>
      </c>
      <c r="K911" s="9">
        <v>0.1</v>
      </c>
    </row>
    <row r="912" spans="1:11" x14ac:dyDescent="0.3">
      <c r="A912" s="12">
        <v>45488</v>
      </c>
      <c r="B912" s="1" t="s">
        <v>117</v>
      </c>
      <c r="C912" s="1" t="s">
        <v>357</v>
      </c>
      <c r="D912" s="1" t="s">
        <v>94</v>
      </c>
      <c r="E912" s="7">
        <v>38258</v>
      </c>
      <c r="F912" s="1" t="s">
        <v>68</v>
      </c>
      <c r="G912" s="1">
        <v>427</v>
      </c>
      <c r="H912" s="1" t="s">
        <v>15</v>
      </c>
      <c r="I912" s="1" t="s">
        <v>48</v>
      </c>
      <c r="J912" s="1" t="s">
        <v>17</v>
      </c>
      <c r="K912" s="9">
        <v>0.1</v>
      </c>
    </row>
    <row r="913" spans="1:11" x14ac:dyDescent="0.3">
      <c r="A913" s="12">
        <v>45488</v>
      </c>
      <c r="B913" s="1" t="s">
        <v>453</v>
      </c>
      <c r="C913" s="1" t="s">
        <v>525</v>
      </c>
      <c r="D913" s="1" t="s">
        <v>46</v>
      </c>
      <c r="E913" s="7">
        <v>29911</v>
      </c>
      <c r="F913" s="1" t="s">
        <v>33</v>
      </c>
      <c r="G913" s="1">
        <v>467</v>
      </c>
      <c r="H913" s="1" t="s">
        <v>42</v>
      </c>
      <c r="I913" s="1" t="s">
        <v>48</v>
      </c>
      <c r="J913" s="1" t="s">
        <v>17</v>
      </c>
      <c r="K913" s="9">
        <v>0.1</v>
      </c>
    </row>
    <row r="914" spans="1:11" x14ac:dyDescent="0.3">
      <c r="A914" s="12">
        <v>45489</v>
      </c>
      <c r="B914" s="1" t="s">
        <v>521</v>
      </c>
      <c r="C914" s="1" t="s">
        <v>613</v>
      </c>
      <c r="D914" s="1" t="s">
        <v>13</v>
      </c>
      <c r="E914" s="7">
        <v>18343</v>
      </c>
      <c r="F914" s="1" t="s">
        <v>68</v>
      </c>
      <c r="G914" s="1">
        <v>481</v>
      </c>
      <c r="H914" s="1" t="s">
        <v>65</v>
      </c>
      <c r="I914" s="1" t="s">
        <v>28</v>
      </c>
      <c r="J914" s="1" t="s">
        <v>17</v>
      </c>
      <c r="K914" s="9">
        <v>0.1</v>
      </c>
    </row>
    <row r="915" spans="1:11" x14ac:dyDescent="0.3">
      <c r="A915" s="12">
        <v>45489</v>
      </c>
      <c r="B915" s="1" t="s">
        <v>255</v>
      </c>
      <c r="C915" s="1" t="s">
        <v>415</v>
      </c>
      <c r="D915" s="1" t="s">
        <v>78</v>
      </c>
      <c r="E915" s="7">
        <v>34123</v>
      </c>
      <c r="F915" s="1" t="s">
        <v>20</v>
      </c>
      <c r="G915" s="1">
        <v>145</v>
      </c>
      <c r="H915" s="1" t="s">
        <v>42</v>
      </c>
      <c r="I915" s="1" t="s">
        <v>52</v>
      </c>
      <c r="J915" s="1" t="s">
        <v>17</v>
      </c>
      <c r="K915" s="9">
        <v>0.1</v>
      </c>
    </row>
    <row r="916" spans="1:11" x14ac:dyDescent="0.3">
      <c r="A916" s="12">
        <v>45489</v>
      </c>
      <c r="B916" s="1" t="s">
        <v>227</v>
      </c>
      <c r="C916" s="1" t="s">
        <v>135</v>
      </c>
      <c r="D916" s="1" t="s">
        <v>46</v>
      </c>
      <c r="E916" s="7">
        <v>32489</v>
      </c>
      <c r="F916" s="1" t="s">
        <v>33</v>
      </c>
      <c r="G916" s="1">
        <v>23</v>
      </c>
      <c r="H916" s="1" t="s">
        <v>64</v>
      </c>
      <c r="I916" s="1" t="s">
        <v>43</v>
      </c>
      <c r="J916" s="1" t="s">
        <v>17</v>
      </c>
      <c r="K916" s="9">
        <v>0.1</v>
      </c>
    </row>
    <row r="917" spans="1:11" x14ac:dyDescent="0.3">
      <c r="A917" s="12">
        <v>45490</v>
      </c>
      <c r="B917" s="1" t="s">
        <v>191</v>
      </c>
      <c r="C917" s="1" t="s">
        <v>31</v>
      </c>
      <c r="D917" s="1" t="s">
        <v>46</v>
      </c>
      <c r="E917" s="7">
        <v>36767</v>
      </c>
      <c r="F917" s="1" t="s">
        <v>33</v>
      </c>
      <c r="G917" s="1">
        <v>216</v>
      </c>
      <c r="H917" s="1" t="s">
        <v>27</v>
      </c>
      <c r="I917" s="1" t="s">
        <v>28</v>
      </c>
      <c r="J917" s="1" t="s">
        <v>17</v>
      </c>
      <c r="K917" s="9">
        <v>0.1</v>
      </c>
    </row>
    <row r="918" spans="1:11" x14ac:dyDescent="0.3">
      <c r="A918" s="12">
        <v>45490</v>
      </c>
      <c r="B918" s="1" t="s">
        <v>151</v>
      </c>
      <c r="C918" s="1" t="s">
        <v>289</v>
      </c>
      <c r="D918" s="1" t="s">
        <v>38</v>
      </c>
      <c r="E918" s="7">
        <v>30505</v>
      </c>
      <c r="F918" s="1" t="s">
        <v>14</v>
      </c>
      <c r="G918" s="1">
        <v>188</v>
      </c>
      <c r="H918" s="1" t="s">
        <v>15</v>
      </c>
      <c r="I918" s="1" t="s">
        <v>48</v>
      </c>
      <c r="J918" s="1" t="s">
        <v>17</v>
      </c>
      <c r="K918" s="9">
        <v>0.1</v>
      </c>
    </row>
    <row r="919" spans="1:11" x14ac:dyDescent="0.3">
      <c r="A919" s="12">
        <v>45490</v>
      </c>
      <c r="B919" s="1" t="s">
        <v>569</v>
      </c>
      <c r="C919" s="1" t="s">
        <v>31</v>
      </c>
      <c r="D919" s="1" t="s">
        <v>38</v>
      </c>
      <c r="E919" s="7">
        <v>21909</v>
      </c>
      <c r="F919" s="1" t="s">
        <v>33</v>
      </c>
      <c r="G919" s="1">
        <v>343</v>
      </c>
      <c r="H919" s="1" t="s">
        <v>64</v>
      </c>
      <c r="I919" s="1" t="s">
        <v>52</v>
      </c>
      <c r="J919" s="1" t="s">
        <v>23</v>
      </c>
      <c r="K919" s="9">
        <v>0.1</v>
      </c>
    </row>
    <row r="920" spans="1:11" x14ac:dyDescent="0.3">
      <c r="A920" s="12">
        <v>45490</v>
      </c>
      <c r="B920" s="1" t="s">
        <v>401</v>
      </c>
      <c r="C920" s="1" t="s">
        <v>573</v>
      </c>
      <c r="D920" s="1" t="s">
        <v>83</v>
      </c>
      <c r="E920" s="7">
        <v>19713</v>
      </c>
      <c r="F920" s="1" t="s">
        <v>33</v>
      </c>
      <c r="G920" s="1">
        <v>75</v>
      </c>
      <c r="H920" s="1" t="s">
        <v>65</v>
      </c>
      <c r="I920" s="1" t="s">
        <v>28</v>
      </c>
      <c r="J920" s="1" t="s">
        <v>17</v>
      </c>
      <c r="K920" s="9">
        <v>0.1</v>
      </c>
    </row>
    <row r="921" spans="1:11" x14ac:dyDescent="0.3">
      <c r="A921" s="12">
        <v>45490</v>
      </c>
      <c r="B921" s="1" t="s">
        <v>712</v>
      </c>
      <c r="C921" s="1" t="s">
        <v>347</v>
      </c>
      <c r="D921" s="1" t="s">
        <v>46</v>
      </c>
      <c r="E921" s="7">
        <v>27963</v>
      </c>
      <c r="F921" s="1" t="s">
        <v>33</v>
      </c>
      <c r="G921" s="1">
        <v>310</v>
      </c>
      <c r="H921" s="1" t="s">
        <v>27</v>
      </c>
      <c r="I921" s="1" t="s">
        <v>48</v>
      </c>
      <c r="J921" s="1" t="s">
        <v>17</v>
      </c>
      <c r="K921" s="9">
        <v>0.1</v>
      </c>
    </row>
    <row r="922" spans="1:11" x14ac:dyDescent="0.3">
      <c r="A922" s="12">
        <v>45490</v>
      </c>
      <c r="B922" s="1" t="s">
        <v>297</v>
      </c>
      <c r="C922" s="1" t="s">
        <v>353</v>
      </c>
      <c r="D922" s="1" t="s">
        <v>78</v>
      </c>
      <c r="E922" s="7">
        <v>24553</v>
      </c>
      <c r="F922" s="1" t="s">
        <v>33</v>
      </c>
      <c r="G922" s="1">
        <v>435</v>
      </c>
      <c r="H922" s="1" t="s">
        <v>27</v>
      </c>
      <c r="I922" s="1" t="s">
        <v>52</v>
      </c>
      <c r="J922" s="1" t="s">
        <v>17</v>
      </c>
      <c r="K922" s="9">
        <v>0.1</v>
      </c>
    </row>
    <row r="923" spans="1:11" x14ac:dyDescent="0.3">
      <c r="A923" s="12">
        <v>45491</v>
      </c>
      <c r="B923" s="1" t="s">
        <v>107</v>
      </c>
      <c r="C923" s="1" t="s">
        <v>108</v>
      </c>
      <c r="D923" s="1" t="s">
        <v>94</v>
      </c>
      <c r="E923" s="7">
        <v>26234</v>
      </c>
      <c r="F923" s="1" t="s">
        <v>68</v>
      </c>
      <c r="G923" s="1">
        <v>412</v>
      </c>
      <c r="H923" s="1" t="s">
        <v>64</v>
      </c>
      <c r="I923" s="1" t="s">
        <v>48</v>
      </c>
      <c r="J923" s="1" t="s">
        <v>17</v>
      </c>
      <c r="K923" s="9">
        <v>0.1</v>
      </c>
    </row>
    <row r="924" spans="1:11" x14ac:dyDescent="0.3">
      <c r="A924" s="12">
        <v>45491</v>
      </c>
      <c r="B924" s="1" t="s">
        <v>261</v>
      </c>
      <c r="C924" s="1" t="s">
        <v>262</v>
      </c>
      <c r="D924" s="1" t="s">
        <v>13</v>
      </c>
      <c r="E924" s="7">
        <v>38400</v>
      </c>
      <c r="F924" s="1" t="s">
        <v>33</v>
      </c>
      <c r="G924" s="1">
        <v>125</v>
      </c>
      <c r="H924" s="1" t="s">
        <v>47</v>
      </c>
      <c r="I924" s="1" t="s">
        <v>28</v>
      </c>
      <c r="J924" s="1" t="s">
        <v>29</v>
      </c>
      <c r="K924" s="9">
        <v>0.1</v>
      </c>
    </row>
    <row r="925" spans="1:11" x14ac:dyDescent="0.3">
      <c r="A925" s="12">
        <v>45491</v>
      </c>
      <c r="B925" s="1" t="s">
        <v>330</v>
      </c>
      <c r="C925" s="1" t="s">
        <v>331</v>
      </c>
      <c r="D925" s="1" t="s">
        <v>32</v>
      </c>
      <c r="E925" s="7">
        <v>22815</v>
      </c>
      <c r="F925" s="1" t="s">
        <v>20</v>
      </c>
      <c r="G925" s="1">
        <v>316</v>
      </c>
      <c r="H925" s="1" t="s">
        <v>47</v>
      </c>
      <c r="I925" s="1" t="s">
        <v>48</v>
      </c>
      <c r="J925" s="1" t="s">
        <v>17</v>
      </c>
      <c r="K925" s="9">
        <v>0.1</v>
      </c>
    </row>
    <row r="926" spans="1:11" x14ac:dyDescent="0.3">
      <c r="A926" s="12">
        <v>45491</v>
      </c>
      <c r="B926" s="1" t="s">
        <v>117</v>
      </c>
      <c r="C926" s="1" t="s">
        <v>258</v>
      </c>
      <c r="D926" s="1" t="s">
        <v>94</v>
      </c>
      <c r="E926" s="7">
        <v>34003</v>
      </c>
      <c r="F926" s="1" t="s">
        <v>14</v>
      </c>
      <c r="G926" s="1">
        <v>371</v>
      </c>
      <c r="H926" s="1" t="s">
        <v>34</v>
      </c>
      <c r="I926" s="1" t="s">
        <v>28</v>
      </c>
      <c r="J926" s="1" t="s">
        <v>17</v>
      </c>
      <c r="K926" s="9">
        <v>0.1</v>
      </c>
    </row>
    <row r="927" spans="1:11" x14ac:dyDescent="0.3">
      <c r="A927" s="12">
        <v>45491</v>
      </c>
      <c r="B927" s="1" t="s">
        <v>332</v>
      </c>
      <c r="C927" s="1" t="s">
        <v>506</v>
      </c>
      <c r="D927" s="1" t="s">
        <v>71</v>
      </c>
      <c r="E927" s="7"/>
      <c r="F927" s="1" t="s">
        <v>20</v>
      </c>
      <c r="G927" s="1">
        <v>162</v>
      </c>
      <c r="H927" s="1" t="s">
        <v>42</v>
      </c>
      <c r="I927" s="1" t="s">
        <v>43</v>
      </c>
      <c r="J927" s="1" t="s">
        <v>17</v>
      </c>
      <c r="K927" s="9">
        <v>0.1</v>
      </c>
    </row>
    <row r="928" spans="1:11" x14ac:dyDescent="0.3">
      <c r="A928" s="12">
        <v>45491</v>
      </c>
      <c r="B928" s="1" t="s">
        <v>314</v>
      </c>
      <c r="C928" s="1" t="s">
        <v>860</v>
      </c>
      <c r="D928" s="1" t="s">
        <v>55</v>
      </c>
      <c r="E928" s="7">
        <v>32585</v>
      </c>
      <c r="F928" s="1" t="s">
        <v>14</v>
      </c>
      <c r="G928" s="1">
        <v>86</v>
      </c>
      <c r="H928" s="1" t="s">
        <v>27</v>
      </c>
      <c r="I928" s="1" t="s">
        <v>35</v>
      </c>
      <c r="J928" s="1" t="s">
        <v>17</v>
      </c>
      <c r="K928" s="9">
        <v>0.1</v>
      </c>
    </row>
    <row r="929" spans="1:11" x14ac:dyDescent="0.3">
      <c r="A929" s="12">
        <v>45491</v>
      </c>
      <c r="B929" s="1" t="s">
        <v>66</v>
      </c>
      <c r="C929" s="1" t="s">
        <v>603</v>
      </c>
      <c r="D929" s="1" t="s">
        <v>26</v>
      </c>
      <c r="E929" s="7">
        <v>38508</v>
      </c>
      <c r="F929" s="1" t="s">
        <v>68</v>
      </c>
      <c r="G929" s="1">
        <v>478</v>
      </c>
      <c r="H929" s="1" t="s">
        <v>21</v>
      </c>
      <c r="I929" s="1" t="s">
        <v>48</v>
      </c>
      <c r="J929" s="1" t="s">
        <v>17</v>
      </c>
      <c r="K929" s="9">
        <v>0.1</v>
      </c>
    </row>
    <row r="930" spans="1:11" x14ac:dyDescent="0.3">
      <c r="A930" s="12">
        <v>45492</v>
      </c>
      <c r="B930" s="1" t="s">
        <v>30</v>
      </c>
      <c r="C930" s="1" t="s">
        <v>31</v>
      </c>
      <c r="D930" s="1" t="s">
        <v>13</v>
      </c>
      <c r="E930" s="7">
        <v>33975</v>
      </c>
      <c r="F930" s="1" t="s">
        <v>33</v>
      </c>
      <c r="G930" s="1">
        <v>177</v>
      </c>
      <c r="H930" s="1" t="s">
        <v>56</v>
      </c>
      <c r="I930" s="1" t="s">
        <v>52</v>
      </c>
      <c r="J930" s="1" t="s">
        <v>29</v>
      </c>
      <c r="K930" s="9">
        <v>0.1</v>
      </c>
    </row>
    <row r="931" spans="1:11" x14ac:dyDescent="0.3">
      <c r="A931" s="12">
        <v>45492</v>
      </c>
      <c r="B931" s="1" t="s">
        <v>233</v>
      </c>
      <c r="C931" s="1" t="s">
        <v>185</v>
      </c>
      <c r="D931" s="1" t="s">
        <v>51</v>
      </c>
      <c r="E931" s="7">
        <v>34853</v>
      </c>
      <c r="F931" s="1" t="s">
        <v>20</v>
      </c>
      <c r="G931" s="1">
        <v>78</v>
      </c>
      <c r="H931" s="1" t="s">
        <v>21</v>
      </c>
      <c r="I931" s="1" t="s">
        <v>52</v>
      </c>
      <c r="J931" s="1" t="s">
        <v>17</v>
      </c>
      <c r="K931" s="9">
        <v>0.1</v>
      </c>
    </row>
    <row r="932" spans="1:11" x14ac:dyDescent="0.3">
      <c r="A932" s="12">
        <v>45492</v>
      </c>
      <c r="B932" s="1" t="s">
        <v>601</v>
      </c>
      <c r="C932" s="1" t="s">
        <v>425</v>
      </c>
      <c r="D932" s="1" t="s">
        <v>71</v>
      </c>
      <c r="E932" s="7">
        <v>18958</v>
      </c>
      <c r="F932" s="1" t="s">
        <v>33</v>
      </c>
      <c r="G932" s="1">
        <v>109</v>
      </c>
      <c r="H932" s="1" t="s">
        <v>47</v>
      </c>
      <c r="I932" s="1" t="s">
        <v>28</v>
      </c>
      <c r="J932" s="1" t="s">
        <v>17</v>
      </c>
      <c r="K932" s="9">
        <v>0.1</v>
      </c>
    </row>
    <row r="933" spans="1:11" x14ac:dyDescent="0.3">
      <c r="A933" s="12">
        <v>45493</v>
      </c>
      <c r="B933" s="1" t="s">
        <v>457</v>
      </c>
      <c r="C933" s="1" t="s">
        <v>244</v>
      </c>
      <c r="D933" s="1" t="s">
        <v>46</v>
      </c>
      <c r="E933" s="7">
        <v>38395</v>
      </c>
      <c r="F933" s="1" t="s">
        <v>14</v>
      </c>
      <c r="G933" s="1">
        <v>13</v>
      </c>
      <c r="H933" s="1" t="s">
        <v>65</v>
      </c>
      <c r="I933" s="1" t="s">
        <v>39</v>
      </c>
      <c r="J933" s="1" t="s">
        <v>17</v>
      </c>
      <c r="K933" s="9">
        <v>0.1</v>
      </c>
    </row>
    <row r="934" spans="1:11" x14ac:dyDescent="0.3">
      <c r="A934" s="12">
        <v>45493</v>
      </c>
      <c r="B934" s="1" t="s">
        <v>184</v>
      </c>
      <c r="C934" s="1" t="s">
        <v>532</v>
      </c>
      <c r="D934" s="1" t="s">
        <v>83</v>
      </c>
      <c r="E934" s="7">
        <v>23208</v>
      </c>
      <c r="F934" s="1" t="s">
        <v>14</v>
      </c>
      <c r="G934" s="1">
        <v>265</v>
      </c>
      <c r="H934" s="1" t="s">
        <v>27</v>
      </c>
      <c r="I934" s="1" t="s">
        <v>48</v>
      </c>
      <c r="J934" s="1" t="s">
        <v>17</v>
      </c>
      <c r="K934" s="9">
        <v>0.1</v>
      </c>
    </row>
    <row r="935" spans="1:11" x14ac:dyDescent="0.3">
      <c r="A935" s="12">
        <v>45493</v>
      </c>
      <c r="B935" s="1" t="s">
        <v>76</v>
      </c>
      <c r="C935" s="1" t="s">
        <v>213</v>
      </c>
      <c r="D935" s="1" t="s">
        <v>13</v>
      </c>
      <c r="E935" s="7">
        <v>26275</v>
      </c>
      <c r="F935" s="1" t="s">
        <v>20</v>
      </c>
      <c r="G935" s="1">
        <v>183</v>
      </c>
      <c r="H935" s="1" t="s">
        <v>34</v>
      </c>
      <c r="I935" s="1" t="s">
        <v>39</v>
      </c>
      <c r="J935" s="1" t="s">
        <v>17</v>
      </c>
      <c r="K935" s="9">
        <v>0.1</v>
      </c>
    </row>
    <row r="936" spans="1:11" x14ac:dyDescent="0.3">
      <c r="A936" s="12">
        <v>45494</v>
      </c>
      <c r="B936" s="1" t="s">
        <v>62</v>
      </c>
      <c r="C936" s="1" t="s">
        <v>63</v>
      </c>
      <c r="D936" s="1" t="s">
        <v>38</v>
      </c>
      <c r="E936" s="7">
        <v>23513</v>
      </c>
      <c r="F936" s="1" t="s">
        <v>14</v>
      </c>
      <c r="G936" s="1">
        <v>129</v>
      </c>
      <c r="H936" s="1" t="s">
        <v>34</v>
      </c>
      <c r="I936" s="1" t="s">
        <v>48</v>
      </c>
      <c r="J936" s="1" t="s">
        <v>17</v>
      </c>
      <c r="K936" s="9">
        <v>0.1</v>
      </c>
    </row>
    <row r="937" spans="1:11" x14ac:dyDescent="0.3">
      <c r="A937" s="12">
        <v>45494</v>
      </c>
      <c r="B937" s="1" t="s">
        <v>343</v>
      </c>
      <c r="C937" s="1" t="s">
        <v>344</v>
      </c>
      <c r="D937" s="1" t="s">
        <v>94</v>
      </c>
      <c r="E937" s="7">
        <v>38402</v>
      </c>
      <c r="F937" s="1" t="s">
        <v>20</v>
      </c>
      <c r="G937" s="1">
        <v>485</v>
      </c>
      <c r="H937" s="1" t="s">
        <v>42</v>
      </c>
      <c r="I937" s="1" t="s">
        <v>35</v>
      </c>
      <c r="J937" s="1" t="s">
        <v>17</v>
      </c>
      <c r="K937" s="9">
        <v>0.1</v>
      </c>
    </row>
    <row r="938" spans="1:11" x14ac:dyDescent="0.3">
      <c r="A938" s="12">
        <v>45494</v>
      </c>
      <c r="B938" s="1" t="s">
        <v>417</v>
      </c>
      <c r="C938" s="1" t="s">
        <v>62</v>
      </c>
      <c r="D938" s="1" t="s">
        <v>55</v>
      </c>
      <c r="E938" s="7">
        <v>36853</v>
      </c>
      <c r="F938" s="1" t="s">
        <v>68</v>
      </c>
      <c r="G938" s="1">
        <v>317</v>
      </c>
      <c r="H938" s="1" t="s">
        <v>34</v>
      </c>
      <c r="I938" s="1" t="s">
        <v>28</v>
      </c>
      <c r="J938" s="1" t="s">
        <v>17</v>
      </c>
      <c r="K938" s="9">
        <v>0.1</v>
      </c>
    </row>
    <row r="939" spans="1:11" x14ac:dyDescent="0.3">
      <c r="A939" s="12">
        <v>45494</v>
      </c>
      <c r="B939" s="1" t="s">
        <v>18</v>
      </c>
      <c r="C939" s="1" t="s">
        <v>488</v>
      </c>
      <c r="D939" s="1" t="s">
        <v>78</v>
      </c>
      <c r="E939" s="7">
        <v>26250</v>
      </c>
      <c r="F939" s="1" t="s">
        <v>33</v>
      </c>
      <c r="G939" s="1">
        <v>457</v>
      </c>
      <c r="H939" s="1" t="s">
        <v>64</v>
      </c>
      <c r="I939" s="1" t="s">
        <v>52</v>
      </c>
      <c r="J939" s="1" t="s">
        <v>23</v>
      </c>
      <c r="K939" s="9">
        <v>0.1</v>
      </c>
    </row>
    <row r="940" spans="1:11" x14ac:dyDescent="0.3">
      <c r="A940" s="12">
        <v>45494</v>
      </c>
      <c r="B940" s="1" t="s">
        <v>539</v>
      </c>
      <c r="C940" s="1" t="s">
        <v>562</v>
      </c>
      <c r="D940" s="1" t="s">
        <v>26</v>
      </c>
      <c r="E940" s="7">
        <v>17363</v>
      </c>
      <c r="F940" s="1" t="s">
        <v>68</v>
      </c>
      <c r="G940" s="1">
        <v>387</v>
      </c>
      <c r="H940" s="1" t="s">
        <v>59</v>
      </c>
      <c r="I940" s="1" t="s">
        <v>39</v>
      </c>
      <c r="J940" s="1" t="s">
        <v>17</v>
      </c>
      <c r="K940" s="9">
        <v>0.1</v>
      </c>
    </row>
    <row r="941" spans="1:11" x14ac:dyDescent="0.3">
      <c r="A941" s="12">
        <v>45494</v>
      </c>
      <c r="B941" s="1" t="s">
        <v>750</v>
      </c>
      <c r="C941" s="1" t="s">
        <v>519</v>
      </c>
      <c r="D941" s="1" t="s">
        <v>71</v>
      </c>
      <c r="E941" s="7">
        <v>19022</v>
      </c>
      <c r="F941" s="1" t="s">
        <v>14</v>
      </c>
      <c r="G941" s="1">
        <v>231</v>
      </c>
      <c r="H941" s="1" t="s">
        <v>27</v>
      </c>
      <c r="I941" s="1" t="s">
        <v>52</v>
      </c>
      <c r="J941" s="1" t="s">
        <v>17</v>
      </c>
      <c r="K941" s="9">
        <v>0.1</v>
      </c>
    </row>
    <row r="942" spans="1:11" x14ac:dyDescent="0.3">
      <c r="A942" s="12">
        <v>45494</v>
      </c>
      <c r="B942" s="1" t="s">
        <v>563</v>
      </c>
      <c r="C942" s="1" t="s">
        <v>82</v>
      </c>
      <c r="D942" s="1" t="s">
        <v>71</v>
      </c>
      <c r="E942" s="7">
        <v>32105</v>
      </c>
      <c r="F942" s="1" t="s">
        <v>20</v>
      </c>
      <c r="G942" s="1">
        <v>291</v>
      </c>
      <c r="H942" s="1" t="s">
        <v>15</v>
      </c>
      <c r="I942" s="1" t="s">
        <v>39</v>
      </c>
      <c r="J942" s="1" t="s">
        <v>17</v>
      </c>
      <c r="K942" s="9">
        <v>0.1</v>
      </c>
    </row>
    <row r="943" spans="1:11" x14ac:dyDescent="0.3">
      <c r="A943" s="12">
        <v>45494</v>
      </c>
      <c r="B943" s="1" t="s">
        <v>360</v>
      </c>
      <c r="C943" s="1" t="s">
        <v>604</v>
      </c>
      <c r="D943" s="1" t="s">
        <v>94</v>
      </c>
      <c r="E943" s="7">
        <v>26221</v>
      </c>
      <c r="F943" s="1" t="s">
        <v>20</v>
      </c>
      <c r="G943" s="1">
        <v>321</v>
      </c>
      <c r="H943" s="1" t="s">
        <v>21</v>
      </c>
      <c r="I943" s="1" t="s">
        <v>52</v>
      </c>
      <c r="J943" s="1" t="s">
        <v>17</v>
      </c>
      <c r="K943" s="9">
        <v>0.1</v>
      </c>
    </row>
    <row r="944" spans="1:11" x14ac:dyDescent="0.3">
      <c r="A944" s="12">
        <v>45495</v>
      </c>
      <c r="B944" s="1" t="s">
        <v>280</v>
      </c>
      <c r="C944" s="1" t="s">
        <v>524</v>
      </c>
      <c r="D944" s="1" t="s">
        <v>78</v>
      </c>
      <c r="E944" s="7">
        <v>34372</v>
      </c>
      <c r="F944" s="1" t="s">
        <v>33</v>
      </c>
      <c r="G944" s="1">
        <v>197</v>
      </c>
      <c r="H944" s="1" t="s">
        <v>65</v>
      </c>
      <c r="I944" s="1" t="s">
        <v>35</v>
      </c>
      <c r="J944" s="1" t="s">
        <v>17</v>
      </c>
      <c r="K944" s="9">
        <v>0.1</v>
      </c>
    </row>
    <row r="945" spans="1:11" x14ac:dyDescent="0.3">
      <c r="A945" s="12">
        <v>45495</v>
      </c>
      <c r="B945" s="1" t="s">
        <v>24</v>
      </c>
      <c r="C945" s="1" t="s">
        <v>715</v>
      </c>
      <c r="D945" s="1" t="s">
        <v>71</v>
      </c>
      <c r="E945" s="7">
        <v>24953</v>
      </c>
      <c r="F945" s="1" t="s">
        <v>68</v>
      </c>
      <c r="G945" s="1">
        <v>270</v>
      </c>
      <c r="H945" s="1" t="s">
        <v>59</v>
      </c>
      <c r="I945" s="1" t="s">
        <v>52</v>
      </c>
      <c r="J945" s="1" t="s">
        <v>17</v>
      </c>
      <c r="K945" s="9">
        <v>0.1</v>
      </c>
    </row>
    <row r="946" spans="1:11" x14ac:dyDescent="0.3">
      <c r="A946" s="12">
        <v>45495</v>
      </c>
      <c r="B946" s="1" t="s">
        <v>145</v>
      </c>
      <c r="C946" s="1" t="s">
        <v>31</v>
      </c>
      <c r="D946" s="1" t="s">
        <v>46</v>
      </c>
      <c r="E946" s="7">
        <v>31397</v>
      </c>
      <c r="F946" s="1" t="s">
        <v>33</v>
      </c>
      <c r="G946" s="1">
        <v>286</v>
      </c>
      <c r="H946" s="1" t="s">
        <v>42</v>
      </c>
      <c r="I946" s="1" t="s">
        <v>43</v>
      </c>
      <c r="J946" s="1" t="s">
        <v>17</v>
      </c>
      <c r="K946" s="9">
        <v>0.1</v>
      </c>
    </row>
    <row r="947" spans="1:11" x14ac:dyDescent="0.3">
      <c r="A947" s="12">
        <v>45495</v>
      </c>
      <c r="B947" s="1" t="s">
        <v>36</v>
      </c>
      <c r="C947" s="1" t="s">
        <v>62</v>
      </c>
      <c r="D947" s="1" t="s">
        <v>55</v>
      </c>
      <c r="E947" s="7">
        <v>32939</v>
      </c>
      <c r="F947" s="1" t="s">
        <v>14</v>
      </c>
      <c r="G947" s="1">
        <v>108</v>
      </c>
      <c r="H947" s="1" t="s">
        <v>47</v>
      </c>
      <c r="I947" s="1"/>
      <c r="J947" s="1" t="s">
        <v>23</v>
      </c>
      <c r="K947" s="9">
        <v>0.1</v>
      </c>
    </row>
    <row r="948" spans="1:11" x14ac:dyDescent="0.3">
      <c r="A948" s="12">
        <v>45495</v>
      </c>
      <c r="B948" s="1"/>
      <c r="C948" s="1" t="s">
        <v>116</v>
      </c>
      <c r="D948" s="1" t="s">
        <v>83</v>
      </c>
      <c r="E948" s="7">
        <v>30652</v>
      </c>
      <c r="F948" s="1" t="s">
        <v>14</v>
      </c>
      <c r="G948" s="1">
        <v>79</v>
      </c>
      <c r="H948" s="1" t="s">
        <v>42</v>
      </c>
      <c r="I948" s="1" t="s">
        <v>48</v>
      </c>
      <c r="J948" s="1" t="s">
        <v>17</v>
      </c>
      <c r="K948" s="9">
        <v>0.1</v>
      </c>
    </row>
    <row r="949" spans="1:11" x14ac:dyDescent="0.3">
      <c r="A949" s="12">
        <v>45495</v>
      </c>
      <c r="B949" s="1" t="s">
        <v>115</v>
      </c>
      <c r="C949" s="1" t="s">
        <v>256</v>
      </c>
      <c r="D949" s="1" t="s">
        <v>55</v>
      </c>
      <c r="E949" s="7">
        <v>26224</v>
      </c>
      <c r="F949" s="1" t="s">
        <v>33</v>
      </c>
      <c r="G949" s="1">
        <v>191</v>
      </c>
      <c r="H949" s="1" t="s">
        <v>56</v>
      </c>
      <c r="I949" s="1" t="s">
        <v>52</v>
      </c>
      <c r="J949" s="1" t="s">
        <v>17</v>
      </c>
      <c r="K949" s="9">
        <v>0.1</v>
      </c>
    </row>
    <row r="950" spans="1:11" x14ac:dyDescent="0.3">
      <c r="A950" s="12">
        <v>45495</v>
      </c>
      <c r="B950" s="1" t="s">
        <v>261</v>
      </c>
      <c r="C950" s="1"/>
      <c r="D950" s="1" t="s">
        <v>38</v>
      </c>
      <c r="E950" s="7">
        <v>28927</v>
      </c>
      <c r="F950" s="1" t="s">
        <v>33</v>
      </c>
      <c r="G950" s="1">
        <v>235</v>
      </c>
      <c r="H950" s="1" t="s">
        <v>34</v>
      </c>
      <c r="I950" s="1" t="s">
        <v>52</v>
      </c>
      <c r="J950" s="1" t="s">
        <v>17</v>
      </c>
      <c r="K950" s="9">
        <v>0.1</v>
      </c>
    </row>
    <row r="951" spans="1:11" x14ac:dyDescent="0.3">
      <c r="A951" s="12">
        <v>45496</v>
      </c>
      <c r="B951" s="1" t="s">
        <v>481</v>
      </c>
      <c r="C951" s="1" t="s">
        <v>301</v>
      </c>
      <c r="D951" s="1" t="s">
        <v>94</v>
      </c>
      <c r="E951" s="7">
        <v>28240</v>
      </c>
      <c r="F951" s="1" t="s">
        <v>68</v>
      </c>
      <c r="G951" s="1">
        <v>268</v>
      </c>
      <c r="H951" s="1" t="s">
        <v>42</v>
      </c>
      <c r="I951" s="1" t="s">
        <v>52</v>
      </c>
      <c r="J951" s="1" t="s">
        <v>17</v>
      </c>
      <c r="K951" s="9">
        <v>0.1</v>
      </c>
    </row>
    <row r="952" spans="1:11" x14ac:dyDescent="0.3">
      <c r="A952" s="12">
        <v>45496</v>
      </c>
      <c r="B952" s="1" t="s">
        <v>233</v>
      </c>
      <c r="C952" s="1" t="s">
        <v>287</v>
      </c>
      <c r="D952" s="1" t="s">
        <v>46</v>
      </c>
      <c r="E952" s="7">
        <v>23071</v>
      </c>
      <c r="F952" s="1" t="s">
        <v>33</v>
      </c>
      <c r="G952" s="1">
        <v>127</v>
      </c>
      <c r="H952" s="1" t="s">
        <v>64</v>
      </c>
      <c r="I952" s="1" t="s">
        <v>39</v>
      </c>
      <c r="J952" s="1" t="s">
        <v>17</v>
      </c>
      <c r="K952" s="9">
        <v>0.1</v>
      </c>
    </row>
    <row r="953" spans="1:11" x14ac:dyDescent="0.3">
      <c r="A953" s="12">
        <v>45496</v>
      </c>
      <c r="B953" s="1" t="s">
        <v>690</v>
      </c>
      <c r="C953" s="1" t="s">
        <v>407</v>
      </c>
      <c r="D953" s="1" t="s">
        <v>51</v>
      </c>
      <c r="E953" s="7">
        <v>31390</v>
      </c>
      <c r="F953" s="1" t="s">
        <v>68</v>
      </c>
      <c r="G953" s="1">
        <v>324</v>
      </c>
      <c r="H953" s="1" t="s">
        <v>65</v>
      </c>
      <c r="I953" s="1"/>
      <c r="J953" s="1" t="s">
        <v>17</v>
      </c>
      <c r="K953" s="9">
        <v>0.1</v>
      </c>
    </row>
    <row r="954" spans="1:11" x14ac:dyDescent="0.3">
      <c r="A954" s="12">
        <v>45497</v>
      </c>
      <c r="B954" s="1" t="s">
        <v>381</v>
      </c>
      <c r="C954" s="1" t="s">
        <v>514</v>
      </c>
      <c r="D954" s="1" t="s">
        <v>55</v>
      </c>
      <c r="E954" s="7">
        <v>29348</v>
      </c>
      <c r="F954" s="1" t="s">
        <v>14</v>
      </c>
      <c r="G954" s="1">
        <v>345</v>
      </c>
      <c r="H954" s="1" t="s">
        <v>65</v>
      </c>
      <c r="I954" s="1" t="s">
        <v>48</v>
      </c>
      <c r="J954" s="1" t="s">
        <v>17</v>
      </c>
      <c r="K954" s="9">
        <v>0.1</v>
      </c>
    </row>
    <row r="955" spans="1:11" x14ac:dyDescent="0.3">
      <c r="A955" s="12">
        <v>45497</v>
      </c>
      <c r="B955" s="1" t="s">
        <v>117</v>
      </c>
      <c r="C955" s="1" t="s">
        <v>592</v>
      </c>
      <c r="D955" s="1" t="s">
        <v>32</v>
      </c>
      <c r="E955" s="7">
        <v>38914</v>
      </c>
      <c r="F955" s="1" t="s">
        <v>68</v>
      </c>
      <c r="G955" s="1">
        <v>98</v>
      </c>
      <c r="H955" s="1" t="s">
        <v>65</v>
      </c>
      <c r="I955" s="1" t="s">
        <v>35</v>
      </c>
      <c r="J955" s="1" t="s">
        <v>17</v>
      </c>
      <c r="K955" s="9">
        <v>0.1</v>
      </c>
    </row>
    <row r="956" spans="1:11" x14ac:dyDescent="0.3">
      <c r="A956" s="12">
        <v>45497</v>
      </c>
      <c r="B956" s="1" t="s">
        <v>739</v>
      </c>
      <c r="C956" s="1" t="s">
        <v>31</v>
      </c>
      <c r="D956" s="1" t="s">
        <v>83</v>
      </c>
      <c r="E956" s="7">
        <v>36316</v>
      </c>
      <c r="F956" s="1" t="s">
        <v>68</v>
      </c>
      <c r="G956" s="1">
        <v>407</v>
      </c>
      <c r="H956" s="1" t="s">
        <v>59</v>
      </c>
      <c r="I956" s="1" t="s">
        <v>43</v>
      </c>
      <c r="J956" s="1" t="s">
        <v>17</v>
      </c>
      <c r="K956" s="9">
        <v>0.1</v>
      </c>
    </row>
    <row r="957" spans="1:11" x14ac:dyDescent="0.3">
      <c r="A957" s="12">
        <v>45497</v>
      </c>
      <c r="B957" s="1" t="s">
        <v>794</v>
      </c>
      <c r="C957" s="1" t="s">
        <v>811</v>
      </c>
      <c r="D957" s="1" t="s">
        <v>71</v>
      </c>
      <c r="E957" s="7">
        <v>20478</v>
      </c>
      <c r="F957" s="1" t="s">
        <v>20</v>
      </c>
      <c r="G957" s="1">
        <v>402</v>
      </c>
      <c r="H957" s="1" t="s">
        <v>34</v>
      </c>
      <c r="I957" s="1" t="s">
        <v>28</v>
      </c>
      <c r="J957" s="1" t="s">
        <v>17</v>
      </c>
      <c r="K957" s="9">
        <v>0.1</v>
      </c>
    </row>
    <row r="958" spans="1:11" x14ac:dyDescent="0.3">
      <c r="A958" s="12">
        <v>45497</v>
      </c>
      <c r="B958" s="1" t="s">
        <v>310</v>
      </c>
      <c r="C958" s="1" t="s">
        <v>818</v>
      </c>
      <c r="D958" s="1" t="s">
        <v>83</v>
      </c>
      <c r="E958" s="7">
        <v>24946</v>
      </c>
      <c r="F958" s="1" t="s">
        <v>20</v>
      </c>
      <c r="G958" s="1">
        <v>48</v>
      </c>
      <c r="H958" s="1" t="s">
        <v>21</v>
      </c>
      <c r="I958" s="1" t="s">
        <v>52</v>
      </c>
      <c r="J958" s="1" t="s">
        <v>17</v>
      </c>
      <c r="K958" s="9">
        <v>0.1</v>
      </c>
    </row>
    <row r="959" spans="1:11" x14ac:dyDescent="0.3">
      <c r="A959" s="12">
        <v>45498</v>
      </c>
      <c r="B959" s="1" t="s">
        <v>275</v>
      </c>
      <c r="C959" s="1" t="s">
        <v>116</v>
      </c>
      <c r="D959" s="1" t="s">
        <v>55</v>
      </c>
      <c r="E959" s="7">
        <v>28076</v>
      </c>
      <c r="F959" s="1" t="s">
        <v>14</v>
      </c>
      <c r="G959" s="1">
        <v>82</v>
      </c>
      <c r="H959" s="1" t="s">
        <v>56</v>
      </c>
      <c r="I959" s="1" t="s">
        <v>48</v>
      </c>
      <c r="J959" s="1" t="s">
        <v>17</v>
      </c>
      <c r="K959" s="9">
        <v>0.1</v>
      </c>
    </row>
    <row r="960" spans="1:11" x14ac:dyDescent="0.3">
      <c r="A960" s="12">
        <v>45498</v>
      </c>
      <c r="B960" s="1" t="s">
        <v>375</v>
      </c>
      <c r="C960" s="1" t="s">
        <v>376</v>
      </c>
      <c r="D960" s="1" t="s">
        <v>83</v>
      </c>
      <c r="E960" s="7">
        <v>32793</v>
      </c>
      <c r="F960" s="1" t="s">
        <v>33</v>
      </c>
      <c r="G960" s="1">
        <v>69</v>
      </c>
      <c r="H960" s="1" t="s">
        <v>15</v>
      </c>
      <c r="I960" s="1" t="s">
        <v>52</v>
      </c>
      <c r="J960" s="1" t="s">
        <v>23</v>
      </c>
      <c r="K960" s="9">
        <v>0.1</v>
      </c>
    </row>
    <row r="961" spans="1:11" x14ac:dyDescent="0.3">
      <c r="A961" s="12">
        <v>45499</v>
      </c>
      <c r="B961" s="1" t="s">
        <v>132</v>
      </c>
      <c r="C961" s="1" t="s">
        <v>133</v>
      </c>
      <c r="D961" s="1" t="s">
        <v>71</v>
      </c>
      <c r="E961" s="7">
        <v>25425</v>
      </c>
      <c r="F961" s="1" t="s">
        <v>20</v>
      </c>
      <c r="G961" s="1">
        <v>400</v>
      </c>
      <c r="H961" s="1" t="s">
        <v>64</v>
      </c>
      <c r="I961" s="1" t="s">
        <v>43</v>
      </c>
      <c r="J961" s="1" t="s">
        <v>23</v>
      </c>
      <c r="K961" s="9">
        <v>0.1</v>
      </c>
    </row>
    <row r="962" spans="1:11" x14ac:dyDescent="0.3">
      <c r="A962" s="12">
        <v>45499</v>
      </c>
      <c r="B962" s="1" t="s">
        <v>115</v>
      </c>
      <c r="C962" s="1" t="s">
        <v>309</v>
      </c>
      <c r="D962" s="1" t="s">
        <v>55</v>
      </c>
      <c r="E962" s="7">
        <v>22140</v>
      </c>
      <c r="F962" s="1" t="s">
        <v>20</v>
      </c>
      <c r="G962" s="1">
        <v>156</v>
      </c>
      <c r="H962" s="1" t="s">
        <v>34</v>
      </c>
      <c r="I962" s="1" t="s">
        <v>52</v>
      </c>
      <c r="J962" s="1" t="s">
        <v>17</v>
      </c>
      <c r="K962" s="9">
        <v>0.1</v>
      </c>
    </row>
    <row r="963" spans="1:11" x14ac:dyDescent="0.3">
      <c r="A963" s="12">
        <v>45499</v>
      </c>
      <c r="B963" s="1" t="s">
        <v>403</v>
      </c>
      <c r="C963" s="1" t="s">
        <v>137</v>
      </c>
      <c r="D963" s="1" t="s">
        <v>83</v>
      </c>
      <c r="E963" s="7">
        <v>32425</v>
      </c>
      <c r="F963" s="1" t="s">
        <v>20</v>
      </c>
      <c r="G963" s="1">
        <v>383</v>
      </c>
      <c r="H963" s="1" t="s">
        <v>65</v>
      </c>
      <c r="I963" s="1" t="s">
        <v>39</v>
      </c>
      <c r="J963" s="1" t="s">
        <v>17</v>
      </c>
      <c r="K963" s="9">
        <v>0.1</v>
      </c>
    </row>
    <row r="964" spans="1:11" x14ac:dyDescent="0.3">
      <c r="A964" s="12">
        <v>45499</v>
      </c>
      <c r="B964" s="1" t="s">
        <v>163</v>
      </c>
      <c r="C964" s="1" t="s">
        <v>89</v>
      </c>
      <c r="D964" s="1" t="s">
        <v>55</v>
      </c>
      <c r="E964" s="7">
        <v>36438</v>
      </c>
      <c r="F964" s="1" t="s">
        <v>33</v>
      </c>
      <c r="G964" s="1">
        <v>414</v>
      </c>
      <c r="H964" s="1" t="s">
        <v>15</v>
      </c>
      <c r="I964" s="1" t="s">
        <v>48</v>
      </c>
      <c r="J964" s="1" t="s">
        <v>17</v>
      </c>
      <c r="K964" s="9">
        <v>0.1</v>
      </c>
    </row>
    <row r="965" spans="1:11" x14ac:dyDescent="0.3">
      <c r="A965" s="12">
        <v>45499</v>
      </c>
      <c r="B965" s="1" t="s">
        <v>136</v>
      </c>
      <c r="C965" s="1" t="s">
        <v>660</v>
      </c>
      <c r="D965" s="1" t="s">
        <v>26</v>
      </c>
      <c r="E965" s="7">
        <v>19109</v>
      </c>
      <c r="F965" s="1"/>
      <c r="G965" s="1">
        <v>130</v>
      </c>
      <c r="H965" s="1" t="s">
        <v>59</v>
      </c>
      <c r="I965" s="1" t="s">
        <v>48</v>
      </c>
      <c r="J965" s="1" t="s">
        <v>17</v>
      </c>
      <c r="K965" s="9">
        <v>0.1</v>
      </c>
    </row>
    <row r="966" spans="1:11" x14ac:dyDescent="0.3">
      <c r="A966" s="12">
        <v>45499</v>
      </c>
      <c r="B966" s="1" t="s">
        <v>466</v>
      </c>
      <c r="C966" s="1" t="s">
        <v>104</v>
      </c>
      <c r="D966" s="1" t="s">
        <v>32</v>
      </c>
      <c r="E966" s="7">
        <v>36226</v>
      </c>
      <c r="F966" s="1" t="s">
        <v>68</v>
      </c>
      <c r="G966" s="1">
        <v>159</v>
      </c>
      <c r="H966" s="1" t="s">
        <v>59</v>
      </c>
      <c r="I966" s="1" t="s">
        <v>52</v>
      </c>
      <c r="J966" s="1" t="s">
        <v>17</v>
      </c>
      <c r="K966" s="9">
        <v>0.1</v>
      </c>
    </row>
    <row r="967" spans="1:11" x14ac:dyDescent="0.3">
      <c r="A967" s="12">
        <v>45499</v>
      </c>
      <c r="B967" s="1" t="s">
        <v>186</v>
      </c>
      <c r="C967" s="1" t="s">
        <v>873</v>
      </c>
      <c r="D967" s="1" t="s">
        <v>13</v>
      </c>
      <c r="E967" s="7">
        <v>23566</v>
      </c>
      <c r="F967" s="1" t="s">
        <v>33</v>
      </c>
      <c r="G967" s="1">
        <v>259</v>
      </c>
      <c r="H967" s="1" t="s">
        <v>56</v>
      </c>
      <c r="I967" s="1" t="s">
        <v>39</v>
      </c>
      <c r="J967" s="1" t="s">
        <v>17</v>
      </c>
      <c r="K967" s="9">
        <v>0.1</v>
      </c>
    </row>
    <row r="968" spans="1:11" x14ac:dyDescent="0.3">
      <c r="A968" s="12">
        <v>45500</v>
      </c>
      <c r="B968" s="1" t="s">
        <v>30</v>
      </c>
      <c r="C968" s="1" t="s">
        <v>31</v>
      </c>
      <c r="D968" s="1" t="s">
        <v>13</v>
      </c>
      <c r="E968" s="7">
        <v>21285</v>
      </c>
      <c r="F968" s="1" t="s">
        <v>14</v>
      </c>
      <c r="G968" s="1">
        <v>270</v>
      </c>
      <c r="H968" s="1" t="s">
        <v>56</v>
      </c>
      <c r="I968" s="1" t="s">
        <v>43</v>
      </c>
      <c r="J968" s="1" t="s">
        <v>17</v>
      </c>
      <c r="K968" s="9">
        <v>0.1</v>
      </c>
    </row>
    <row r="969" spans="1:11" x14ac:dyDescent="0.3">
      <c r="A969" s="12">
        <v>45500</v>
      </c>
      <c r="B969" s="1" t="s">
        <v>79</v>
      </c>
      <c r="C969" s="1" t="s">
        <v>80</v>
      </c>
      <c r="D969" s="1" t="s">
        <v>55</v>
      </c>
      <c r="E969" s="7">
        <v>26695</v>
      </c>
      <c r="F969" s="1" t="s">
        <v>20</v>
      </c>
      <c r="G969" s="1">
        <v>410</v>
      </c>
      <c r="H969" s="1" t="s">
        <v>59</v>
      </c>
      <c r="I969" s="1" t="s">
        <v>48</v>
      </c>
      <c r="J969" s="1" t="s">
        <v>17</v>
      </c>
      <c r="K969" s="9">
        <v>0.1</v>
      </c>
    </row>
    <row r="970" spans="1:11" x14ac:dyDescent="0.3">
      <c r="A970" s="12">
        <v>45500</v>
      </c>
      <c r="B970" s="1" t="s">
        <v>513</v>
      </c>
      <c r="C970" s="1" t="s">
        <v>266</v>
      </c>
      <c r="D970" s="1" t="s">
        <v>13</v>
      </c>
      <c r="E970" s="7">
        <v>17786</v>
      </c>
      <c r="F970" s="1" t="s">
        <v>20</v>
      </c>
      <c r="G970" s="1">
        <v>297</v>
      </c>
      <c r="H970" s="1" t="s">
        <v>27</v>
      </c>
      <c r="I970" s="1" t="s">
        <v>52</v>
      </c>
      <c r="J970" s="1" t="s">
        <v>17</v>
      </c>
      <c r="K970" s="9">
        <v>0.1</v>
      </c>
    </row>
    <row r="971" spans="1:11" x14ac:dyDescent="0.3">
      <c r="A971" s="12">
        <v>45500</v>
      </c>
      <c r="B971" s="1" t="s">
        <v>453</v>
      </c>
      <c r="C971" s="1" t="s">
        <v>535</v>
      </c>
      <c r="D971" s="1" t="s">
        <v>78</v>
      </c>
      <c r="E971" s="7">
        <v>17123</v>
      </c>
      <c r="F971" s="1" t="s">
        <v>68</v>
      </c>
      <c r="G971" s="1">
        <v>66</v>
      </c>
      <c r="H971" s="1" t="s">
        <v>47</v>
      </c>
      <c r="I971" s="1" t="s">
        <v>52</v>
      </c>
      <c r="J971" s="1" t="s">
        <v>17</v>
      </c>
      <c r="K971" s="9">
        <v>0.1</v>
      </c>
    </row>
    <row r="972" spans="1:11" x14ac:dyDescent="0.3">
      <c r="A972" s="12">
        <v>45501</v>
      </c>
      <c r="B972" s="1" t="s">
        <v>130</v>
      </c>
      <c r="C972" s="1" t="s">
        <v>131</v>
      </c>
      <c r="D972" s="1" t="s">
        <v>32</v>
      </c>
      <c r="E972" s="7">
        <v>26659</v>
      </c>
      <c r="F972" s="1" t="s">
        <v>33</v>
      </c>
      <c r="G972" s="1">
        <v>60</v>
      </c>
      <c r="H972" s="1" t="s">
        <v>56</v>
      </c>
      <c r="I972" s="1" t="s">
        <v>39</v>
      </c>
      <c r="J972" s="1" t="s">
        <v>29</v>
      </c>
      <c r="K972" s="9">
        <v>0.1</v>
      </c>
    </row>
    <row r="973" spans="1:11" x14ac:dyDescent="0.3">
      <c r="A973" s="12">
        <v>45501</v>
      </c>
      <c r="B973" s="1" t="s">
        <v>107</v>
      </c>
      <c r="C973" s="1" t="s">
        <v>367</v>
      </c>
      <c r="D973" s="1" t="s">
        <v>94</v>
      </c>
      <c r="E973" s="7">
        <v>20739</v>
      </c>
      <c r="F973" s="1" t="s">
        <v>68</v>
      </c>
      <c r="G973" s="1">
        <v>153</v>
      </c>
      <c r="H973" s="1" t="s">
        <v>34</v>
      </c>
      <c r="I973" s="1" t="s">
        <v>52</v>
      </c>
      <c r="J973" s="1" t="s">
        <v>17</v>
      </c>
      <c r="K973" s="9">
        <v>0.1</v>
      </c>
    </row>
    <row r="974" spans="1:11" x14ac:dyDescent="0.3">
      <c r="A974" s="12">
        <v>45501</v>
      </c>
      <c r="B974" s="1" t="s">
        <v>373</v>
      </c>
      <c r="C974" s="1" t="s">
        <v>374</v>
      </c>
      <c r="D974" s="1" t="s">
        <v>71</v>
      </c>
      <c r="E974" s="7">
        <v>26256</v>
      </c>
      <c r="F974" s="1" t="s">
        <v>33</v>
      </c>
      <c r="G974" s="1">
        <v>78</v>
      </c>
      <c r="H974" s="1" t="s">
        <v>59</v>
      </c>
      <c r="I974" s="1" t="s">
        <v>48</v>
      </c>
      <c r="J974" s="1" t="s">
        <v>17</v>
      </c>
      <c r="K974" s="9">
        <v>0.1</v>
      </c>
    </row>
    <row r="975" spans="1:11" x14ac:dyDescent="0.3">
      <c r="A975" s="12">
        <v>45501</v>
      </c>
      <c r="B975" s="1" t="s">
        <v>265</v>
      </c>
      <c r="C975" s="1" t="s">
        <v>414</v>
      </c>
      <c r="D975" s="1" t="s">
        <v>13</v>
      </c>
      <c r="E975" s="7">
        <v>20235</v>
      </c>
      <c r="F975" s="1" t="s">
        <v>68</v>
      </c>
      <c r="G975" s="1">
        <v>450</v>
      </c>
      <c r="H975" s="1" t="s">
        <v>34</v>
      </c>
      <c r="I975" s="1" t="s">
        <v>52</v>
      </c>
      <c r="J975" s="1" t="s">
        <v>17</v>
      </c>
      <c r="K975" s="9">
        <v>0.1</v>
      </c>
    </row>
    <row r="976" spans="1:11" x14ac:dyDescent="0.3">
      <c r="A976" s="12">
        <v>45501</v>
      </c>
      <c r="B976" s="1" t="s">
        <v>520</v>
      </c>
      <c r="C976" s="1" t="s">
        <v>407</v>
      </c>
      <c r="D976" s="1" t="s">
        <v>71</v>
      </c>
      <c r="E976" s="7">
        <v>20420</v>
      </c>
      <c r="F976" s="1" t="s">
        <v>33</v>
      </c>
      <c r="G976" s="1">
        <v>405</v>
      </c>
      <c r="H976" s="1" t="s">
        <v>27</v>
      </c>
      <c r="I976" s="1" t="s">
        <v>48</v>
      </c>
      <c r="J976" s="1" t="s">
        <v>17</v>
      </c>
      <c r="K976" s="9">
        <v>0.1</v>
      </c>
    </row>
    <row r="977" spans="1:11" x14ac:dyDescent="0.3">
      <c r="A977" s="12">
        <v>45501</v>
      </c>
      <c r="B977" s="1" t="s">
        <v>86</v>
      </c>
      <c r="C977" s="1" t="s">
        <v>824</v>
      </c>
      <c r="D977" s="1" t="s">
        <v>55</v>
      </c>
      <c r="E977" s="7">
        <v>35571</v>
      </c>
      <c r="F977" s="1" t="s">
        <v>68</v>
      </c>
      <c r="G977" s="1">
        <v>53</v>
      </c>
      <c r="H977" s="1" t="s">
        <v>64</v>
      </c>
      <c r="I977" s="1" t="s">
        <v>52</v>
      </c>
      <c r="J977" s="1" t="s">
        <v>17</v>
      </c>
      <c r="K977" s="9">
        <v>0.1</v>
      </c>
    </row>
    <row r="978" spans="1:11" x14ac:dyDescent="0.3">
      <c r="A978" s="12">
        <v>45502</v>
      </c>
      <c r="B978" s="1" t="s">
        <v>334</v>
      </c>
      <c r="C978" s="1" t="s">
        <v>335</v>
      </c>
      <c r="D978" s="1" t="s">
        <v>71</v>
      </c>
      <c r="E978" s="7">
        <v>18657</v>
      </c>
      <c r="F978" s="1" t="s">
        <v>68</v>
      </c>
      <c r="G978" s="1">
        <v>431</v>
      </c>
      <c r="H978" s="1" t="s">
        <v>56</v>
      </c>
      <c r="I978" s="1" t="s">
        <v>43</v>
      </c>
      <c r="J978" s="1" t="s">
        <v>17</v>
      </c>
      <c r="K978" s="9">
        <v>0.1</v>
      </c>
    </row>
    <row r="979" spans="1:11" x14ac:dyDescent="0.3">
      <c r="A979" s="12">
        <v>45502</v>
      </c>
      <c r="B979" s="1" t="s">
        <v>413</v>
      </c>
      <c r="C979" s="1" t="s">
        <v>31</v>
      </c>
      <c r="D979" s="1" t="s">
        <v>26</v>
      </c>
      <c r="E979" s="7">
        <v>21819</v>
      </c>
      <c r="F979" s="1" t="s">
        <v>33</v>
      </c>
      <c r="G979" s="1">
        <v>376</v>
      </c>
      <c r="H979" s="1" t="s">
        <v>65</v>
      </c>
      <c r="I979" s="1" t="s">
        <v>28</v>
      </c>
      <c r="J979" s="1" t="s">
        <v>17</v>
      </c>
      <c r="K979" s="9">
        <v>0.1</v>
      </c>
    </row>
    <row r="980" spans="1:11" x14ac:dyDescent="0.3">
      <c r="A980" s="12">
        <v>45502</v>
      </c>
      <c r="B980" s="1" t="s">
        <v>24</v>
      </c>
      <c r="C980" s="1" t="s">
        <v>605</v>
      </c>
      <c r="D980" s="1" t="s">
        <v>38</v>
      </c>
      <c r="E980" s="7">
        <v>24047</v>
      </c>
      <c r="F980" s="1" t="s">
        <v>14</v>
      </c>
      <c r="G980" s="1">
        <v>334</v>
      </c>
      <c r="H980" s="1" t="s">
        <v>21</v>
      </c>
      <c r="I980" s="1" t="s">
        <v>48</v>
      </c>
      <c r="J980" s="1"/>
      <c r="K980" s="9">
        <v>0.1</v>
      </c>
    </row>
    <row r="981" spans="1:11" x14ac:dyDescent="0.3">
      <c r="A981" s="12">
        <v>45502</v>
      </c>
      <c r="B981" s="1" t="s">
        <v>630</v>
      </c>
      <c r="C981" s="1" t="s">
        <v>407</v>
      </c>
      <c r="D981" s="1" t="s">
        <v>55</v>
      </c>
      <c r="E981" s="7">
        <v>24623</v>
      </c>
      <c r="F981" s="1" t="s">
        <v>14</v>
      </c>
      <c r="G981" s="1">
        <v>83</v>
      </c>
      <c r="H981" s="1" t="s">
        <v>27</v>
      </c>
      <c r="I981" s="1" t="s">
        <v>48</v>
      </c>
      <c r="J981" s="1" t="s">
        <v>17</v>
      </c>
      <c r="K981" s="9">
        <v>0.1</v>
      </c>
    </row>
    <row r="982" spans="1:11" x14ac:dyDescent="0.3">
      <c r="A982" s="12">
        <v>45502</v>
      </c>
      <c r="B982" s="1" t="s">
        <v>261</v>
      </c>
      <c r="C982" s="1" t="s">
        <v>187</v>
      </c>
      <c r="D982" s="1" t="s">
        <v>78</v>
      </c>
      <c r="E982" s="7">
        <v>28411</v>
      </c>
      <c r="F982" s="1" t="s">
        <v>14</v>
      </c>
      <c r="G982" s="1">
        <v>266</v>
      </c>
      <c r="H982" s="1" t="s">
        <v>47</v>
      </c>
      <c r="I982" s="1" t="s">
        <v>48</v>
      </c>
      <c r="J982" s="1" t="s">
        <v>17</v>
      </c>
      <c r="K982" s="9">
        <v>0.1</v>
      </c>
    </row>
    <row r="983" spans="1:11" x14ac:dyDescent="0.3">
      <c r="A983" s="12">
        <v>45503</v>
      </c>
      <c r="B983" s="1" t="s">
        <v>134</v>
      </c>
      <c r="C983" s="1" t="s">
        <v>135</v>
      </c>
      <c r="D983" s="1" t="s">
        <v>38</v>
      </c>
      <c r="E983" s="7">
        <v>23982</v>
      </c>
      <c r="F983" s="1" t="s">
        <v>68</v>
      </c>
      <c r="G983" s="1">
        <v>395</v>
      </c>
      <c r="H983" s="1" t="s">
        <v>27</v>
      </c>
      <c r="I983" s="1" t="s">
        <v>48</v>
      </c>
      <c r="J983" s="1" t="s">
        <v>29</v>
      </c>
      <c r="K983" s="9">
        <v>0.1</v>
      </c>
    </row>
    <row r="984" spans="1:11" x14ac:dyDescent="0.3">
      <c r="A984" s="12">
        <v>45503</v>
      </c>
      <c r="B984" s="1" t="s">
        <v>231</v>
      </c>
      <c r="C984" s="1" t="s">
        <v>232</v>
      </c>
      <c r="D984" s="1" t="s">
        <v>78</v>
      </c>
      <c r="E984" s="7">
        <v>33430</v>
      </c>
      <c r="F984" s="1" t="s">
        <v>33</v>
      </c>
      <c r="G984" s="1">
        <v>444</v>
      </c>
      <c r="H984" s="1" t="s">
        <v>59</v>
      </c>
      <c r="I984" s="1" t="s">
        <v>48</v>
      </c>
      <c r="J984" s="1" t="s">
        <v>29</v>
      </c>
      <c r="K984" s="9">
        <v>0.1</v>
      </c>
    </row>
    <row r="985" spans="1:11" x14ac:dyDescent="0.3">
      <c r="A985" s="12">
        <v>45503</v>
      </c>
      <c r="B985" s="1" t="s">
        <v>86</v>
      </c>
      <c r="C985" s="1" t="s">
        <v>354</v>
      </c>
      <c r="D985" s="1" t="s">
        <v>38</v>
      </c>
      <c r="E985" s="7">
        <v>28970</v>
      </c>
      <c r="F985" s="1" t="s">
        <v>33</v>
      </c>
      <c r="G985" s="1">
        <v>500</v>
      </c>
      <c r="H985" s="1" t="s">
        <v>21</v>
      </c>
      <c r="I985" s="1" t="s">
        <v>43</v>
      </c>
      <c r="J985" s="1" t="s">
        <v>17</v>
      </c>
      <c r="K985" s="9">
        <v>0.1</v>
      </c>
    </row>
    <row r="986" spans="1:11" x14ac:dyDescent="0.3">
      <c r="A986" s="12">
        <v>45503</v>
      </c>
      <c r="B986" s="1" t="s">
        <v>364</v>
      </c>
      <c r="C986" s="1" t="s">
        <v>365</v>
      </c>
      <c r="D986" s="1" t="s">
        <v>46</v>
      </c>
      <c r="E986" s="7">
        <v>34549</v>
      </c>
      <c r="F986" s="1" t="s">
        <v>68</v>
      </c>
      <c r="G986" s="1">
        <v>196</v>
      </c>
      <c r="H986" s="1" t="s">
        <v>56</v>
      </c>
      <c r="I986" s="1" t="s">
        <v>48</v>
      </c>
      <c r="J986" s="1" t="s">
        <v>17</v>
      </c>
      <c r="K986" s="9">
        <v>0.1</v>
      </c>
    </row>
    <row r="987" spans="1:11" x14ac:dyDescent="0.3">
      <c r="A987" s="12">
        <v>45504</v>
      </c>
      <c r="B987" s="1" t="s">
        <v>95</v>
      </c>
      <c r="C987" s="1" t="s">
        <v>96</v>
      </c>
      <c r="D987" s="1" t="s">
        <v>51</v>
      </c>
      <c r="E987" s="7">
        <v>32604</v>
      </c>
      <c r="F987" s="1" t="s">
        <v>20</v>
      </c>
      <c r="G987" s="1">
        <v>212</v>
      </c>
      <c r="H987" s="1" t="s">
        <v>65</v>
      </c>
      <c r="I987" s="1" t="s">
        <v>52</v>
      </c>
      <c r="J987" s="1" t="s">
        <v>17</v>
      </c>
      <c r="K987" s="9">
        <v>0.1</v>
      </c>
    </row>
    <row r="988" spans="1:11" x14ac:dyDescent="0.3">
      <c r="A988" s="12">
        <v>45504</v>
      </c>
      <c r="B988" s="1" t="s">
        <v>119</v>
      </c>
      <c r="C988" s="1" t="s">
        <v>120</v>
      </c>
      <c r="D988" s="1" t="s">
        <v>38</v>
      </c>
      <c r="E988" s="7">
        <v>27390</v>
      </c>
      <c r="F988" s="1" t="s">
        <v>33</v>
      </c>
      <c r="G988" s="1"/>
      <c r="H988" s="1" t="s">
        <v>15</v>
      </c>
      <c r="I988" s="1" t="s">
        <v>48</v>
      </c>
      <c r="J988" s="1" t="s">
        <v>29</v>
      </c>
      <c r="K988" s="9">
        <v>0.1</v>
      </c>
    </row>
    <row r="989" spans="1:11" x14ac:dyDescent="0.3">
      <c r="A989" s="12">
        <v>45504</v>
      </c>
      <c r="B989" s="1" t="s">
        <v>151</v>
      </c>
      <c r="C989" s="1" t="s">
        <v>89</v>
      </c>
      <c r="D989" s="1" t="s">
        <v>55</v>
      </c>
      <c r="E989" s="7">
        <v>16027</v>
      </c>
      <c r="F989" s="1" t="s">
        <v>33</v>
      </c>
      <c r="G989" s="1">
        <v>343</v>
      </c>
      <c r="H989" s="1" t="s">
        <v>21</v>
      </c>
      <c r="I989" s="1" t="s">
        <v>52</v>
      </c>
      <c r="J989" s="1" t="s">
        <v>17</v>
      </c>
      <c r="K989" s="9">
        <v>0.1</v>
      </c>
    </row>
    <row r="990" spans="1:11" x14ac:dyDescent="0.3">
      <c r="A990" s="12">
        <v>45504</v>
      </c>
      <c r="B990" s="1" t="s">
        <v>24</v>
      </c>
      <c r="C990" s="1" t="s">
        <v>163</v>
      </c>
      <c r="D990" s="1" t="s">
        <v>26</v>
      </c>
      <c r="E990" s="7">
        <v>36415</v>
      </c>
      <c r="F990" s="1" t="s">
        <v>20</v>
      </c>
      <c r="G990" s="1">
        <v>164</v>
      </c>
      <c r="H990" s="1" t="s">
        <v>27</v>
      </c>
      <c r="I990" s="1" t="s">
        <v>52</v>
      </c>
      <c r="J990" s="1" t="s">
        <v>17</v>
      </c>
      <c r="K990" s="9">
        <v>0.1</v>
      </c>
    </row>
    <row r="991" spans="1:11" x14ac:dyDescent="0.3">
      <c r="A991" s="12">
        <v>45504</v>
      </c>
      <c r="B991" s="1" t="s">
        <v>300</v>
      </c>
      <c r="C991" s="1" t="s">
        <v>568</v>
      </c>
      <c r="D991" s="1" t="s">
        <v>26</v>
      </c>
      <c r="E991" s="7">
        <v>36698</v>
      </c>
      <c r="F991" s="1" t="s">
        <v>68</v>
      </c>
      <c r="G991" s="1">
        <v>158</v>
      </c>
      <c r="H991" s="1" t="s">
        <v>47</v>
      </c>
      <c r="I991" s="1" t="s">
        <v>43</v>
      </c>
      <c r="J991" s="1" t="s">
        <v>17</v>
      </c>
      <c r="K991" s="9">
        <v>0.1</v>
      </c>
    </row>
    <row r="992" spans="1:11" x14ac:dyDescent="0.3">
      <c r="A992" s="12">
        <v>45504</v>
      </c>
      <c r="B992" s="1" t="s">
        <v>66</v>
      </c>
      <c r="C992" s="1" t="s">
        <v>694</v>
      </c>
      <c r="D992" s="1" t="s">
        <v>51</v>
      </c>
      <c r="E992" s="7">
        <v>25864</v>
      </c>
      <c r="F992" s="1" t="s">
        <v>14</v>
      </c>
      <c r="G992" s="1">
        <v>41</v>
      </c>
      <c r="H992" s="1" t="s">
        <v>21</v>
      </c>
      <c r="I992" s="1" t="s">
        <v>28</v>
      </c>
      <c r="J992" s="1" t="s">
        <v>17</v>
      </c>
      <c r="K992" s="9">
        <v>0.1</v>
      </c>
    </row>
    <row r="993" spans="1:11" x14ac:dyDescent="0.3">
      <c r="A993" s="12"/>
      <c r="B993" s="1" t="s">
        <v>189</v>
      </c>
      <c r="C993" s="1" t="s">
        <v>190</v>
      </c>
      <c r="D993" s="1" t="s">
        <v>38</v>
      </c>
      <c r="E993" s="7">
        <v>32105</v>
      </c>
      <c r="F993" s="1" t="s">
        <v>14</v>
      </c>
      <c r="G993" s="1">
        <v>486</v>
      </c>
      <c r="H993" s="1" t="s">
        <v>56</v>
      </c>
      <c r="I993" s="1"/>
      <c r="J993" s="1" t="s">
        <v>17</v>
      </c>
      <c r="K993" s="9">
        <v>0.1</v>
      </c>
    </row>
    <row r="994" spans="1:11" x14ac:dyDescent="0.3">
      <c r="A994" s="12"/>
      <c r="B994" s="1" t="s">
        <v>191</v>
      </c>
      <c r="C994" s="1" t="s">
        <v>359</v>
      </c>
      <c r="D994" s="1" t="s">
        <v>32</v>
      </c>
      <c r="E994" s="7"/>
      <c r="F994" s="1" t="s">
        <v>14</v>
      </c>
      <c r="G994" s="1">
        <v>284</v>
      </c>
      <c r="H994" s="1" t="s">
        <v>59</v>
      </c>
      <c r="I994" s="1" t="s">
        <v>39</v>
      </c>
      <c r="J994" s="1" t="s">
        <v>17</v>
      </c>
      <c r="K994" s="9">
        <v>0.1</v>
      </c>
    </row>
    <row r="995" spans="1:11" x14ac:dyDescent="0.3">
      <c r="A995" s="12"/>
      <c r="B995" s="1" t="s">
        <v>479</v>
      </c>
      <c r="C995" s="1" t="s">
        <v>480</v>
      </c>
      <c r="D995" s="1"/>
      <c r="E995" s="7">
        <v>19045</v>
      </c>
      <c r="F995" s="1" t="s">
        <v>14</v>
      </c>
      <c r="G995" s="1">
        <v>186</v>
      </c>
      <c r="H995" s="1" t="s">
        <v>56</v>
      </c>
      <c r="I995" s="1" t="s">
        <v>52</v>
      </c>
      <c r="J995" s="1" t="s">
        <v>17</v>
      </c>
      <c r="K995" s="9">
        <v>0.1</v>
      </c>
    </row>
    <row r="996" spans="1:11" x14ac:dyDescent="0.3">
      <c r="A996" s="12"/>
      <c r="B996" s="1"/>
      <c r="C996" s="1" t="s">
        <v>255</v>
      </c>
      <c r="D996" s="1" t="s">
        <v>71</v>
      </c>
      <c r="E996" s="7">
        <v>34815</v>
      </c>
      <c r="F996" s="1"/>
      <c r="G996" s="1">
        <v>357</v>
      </c>
      <c r="H996" s="1" t="s">
        <v>42</v>
      </c>
      <c r="I996" s="1" t="s">
        <v>28</v>
      </c>
      <c r="J996" s="1" t="s">
        <v>17</v>
      </c>
      <c r="K996" s="9">
        <v>0.1</v>
      </c>
    </row>
    <row r="997" spans="1:11" x14ac:dyDescent="0.3">
      <c r="A997" s="12"/>
      <c r="B997" s="1" t="s">
        <v>74</v>
      </c>
      <c r="C997" s="1" t="s">
        <v>628</v>
      </c>
      <c r="D997" s="1"/>
      <c r="E997" s="7">
        <v>38016</v>
      </c>
      <c r="F997" s="1" t="s">
        <v>68</v>
      </c>
      <c r="G997" s="1">
        <v>409</v>
      </c>
      <c r="H997" s="1" t="s">
        <v>42</v>
      </c>
      <c r="I997" s="1" t="s">
        <v>43</v>
      </c>
      <c r="J997" s="1" t="s">
        <v>17</v>
      </c>
      <c r="K997" s="9">
        <v>0.1</v>
      </c>
    </row>
    <row r="998" spans="1:11" x14ac:dyDescent="0.3">
      <c r="A998" s="12"/>
      <c r="B998" s="1" t="s">
        <v>278</v>
      </c>
      <c r="C998" s="1" t="s">
        <v>680</v>
      </c>
      <c r="D998" s="1" t="s">
        <v>13</v>
      </c>
      <c r="E998" s="7">
        <v>29489</v>
      </c>
      <c r="F998" s="1" t="s">
        <v>68</v>
      </c>
      <c r="G998" s="1">
        <v>60</v>
      </c>
      <c r="H998" s="1" t="s">
        <v>15</v>
      </c>
      <c r="I998" s="1" t="s">
        <v>28</v>
      </c>
      <c r="J998" s="1" t="s">
        <v>17</v>
      </c>
      <c r="K998" s="9">
        <v>0.1</v>
      </c>
    </row>
    <row r="999" spans="1:11" x14ac:dyDescent="0.3">
      <c r="A999" s="12"/>
      <c r="B999" s="1" t="s">
        <v>278</v>
      </c>
      <c r="C999" s="1" t="s">
        <v>772</v>
      </c>
      <c r="D999" s="1" t="s">
        <v>83</v>
      </c>
      <c r="E999" s="7"/>
      <c r="F999" s="1" t="s">
        <v>14</v>
      </c>
      <c r="G999" s="1">
        <v>332</v>
      </c>
      <c r="H999" s="1" t="s">
        <v>56</v>
      </c>
      <c r="I999" s="1" t="s">
        <v>28</v>
      </c>
      <c r="J999" s="1" t="s">
        <v>17</v>
      </c>
      <c r="K999" s="9">
        <v>0.1</v>
      </c>
    </row>
    <row r="1000" spans="1:11" x14ac:dyDescent="0.3">
      <c r="A1000" s="13"/>
      <c r="B1000" s="4" t="s">
        <v>778</v>
      </c>
      <c r="C1000" s="4" t="s">
        <v>443</v>
      </c>
      <c r="D1000" s="4" t="s">
        <v>38</v>
      </c>
      <c r="E1000" s="8">
        <v>16496</v>
      </c>
      <c r="F1000" s="4" t="s">
        <v>20</v>
      </c>
      <c r="G1000" s="4">
        <v>485</v>
      </c>
      <c r="H1000" s="4" t="s">
        <v>15</v>
      </c>
      <c r="I1000" s="4" t="s">
        <v>28</v>
      </c>
      <c r="J1000" s="4" t="s">
        <v>17</v>
      </c>
      <c r="K1000" s="10">
        <v>0.1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482B2-8870-4DE8-A86A-5823EADF68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Sales Report</vt:lpstr>
      <vt:lpstr>Product</vt:lpstr>
      <vt:lpstr>Analysis</vt:lpstr>
      <vt:lpstr>Sales  copy</vt:lpstr>
      <vt:lpstr>Biscuit_Brand</vt:lpstr>
      <vt:lpstr>Butter_Crunch</vt:lpstr>
      <vt:lpstr>Cost</vt:lpstr>
      <vt:lpstr>Pro01_</vt:lpstr>
      <vt:lpstr>Pro02_</vt:lpstr>
      <vt:lpstr>Pro03_</vt:lpstr>
      <vt:lpstr>Pro04_</vt:lpstr>
      <vt:lpstr>Pro05_</vt:lpstr>
      <vt:lpstr>Pro06_</vt:lpstr>
      <vt:lpstr>Pro07_</vt:lpstr>
      <vt:lpstr>Pro08_</vt:lpstr>
      <vt:lpstr>Pro09_</vt:lpstr>
      <vt:lpstr>Pro10_</vt:lpstr>
      <vt:lpstr>Product_Code</vt:lpstr>
      <vt:lpstr>Unit_Price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bhuvana buvi</cp:lastModifiedBy>
  <dcterms:created xsi:type="dcterms:W3CDTF">2026-06-05T11:46:26Z</dcterms:created>
  <dcterms:modified xsi:type="dcterms:W3CDTF">2026-06-14T17:59:41Z</dcterms:modified>
</cp:coreProperties>
</file>